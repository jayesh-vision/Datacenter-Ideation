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ites" sheetId="3" state="visible" r:id="rId3"/>
    <sheet name="Floors" sheetId="4" state="visible" r:id="rId4"/>
    <sheet name="Rooms" sheetId="5" state="visible" r:id="rId5"/>
    <sheet name="Racks" sheetId="6" state="visible" r:id="rId6"/>
    <sheet name="Power_Feeds" sheetId="7" state="visible" r:id="rId7"/>
    <sheet name="UPS" sheetId="8" state="visible" r:id="rId8"/>
    <sheet name="Generators" sheetId="9" state="visible" r:id="rId9"/>
    <sheet name="DC_Plant" sheetId="10" state="visible" r:id="rId10"/>
    <sheet name="Cooling_Units" sheetId="11" state="visible" r:id="rId11"/>
    <sheet name="CDUs" sheetId="12" state="visible" r:id="rId12"/>
    <sheet name="Sensors" sheetId="13" state="visible" r:id="rId13"/>
    <sheet name="Devices" sheetId="14" state="visible" r:id="rId14"/>
    <sheet name="Modules" sheetId="15" state="visible" r:id="rId15"/>
    <sheet name="Interfaces" sheetId="16" state="visible" r:id="rId16"/>
    <sheet name="Links" sheetId="17" state="visible" r:id="rId17"/>
    <sheet name="GPU_Clusters" sheetId="18" state="visible" r:id="rId18"/>
    <sheet name="GPU_Nodes" sheetId="19" state="visible" r:id="rId19"/>
    <sheet name="Customers" sheetId="20" state="visible" r:id="rId20"/>
    <sheet name="Services" sheetId="21" state="visible" r:id="rId21"/>
    <sheet name="Collectors" sheetId="22" state="visible" r:id="rId22"/>
    <sheet name="Field_Dictionary" sheetId="23" state="visible" r:id="rId23"/>
    <sheet name="Lookups" sheetId="24" state="visible" r:id="rId24"/>
  </sheets>
  <definedNames>
    <definedName name="L_business_model">Lookups!$A$2:$A$6</definedName>
    <definedName name="L_site_status">Lookups!$B$2:$B$5</definedName>
    <definedName name="L_tier">Lookups!$C$2:$C$4</definedName>
    <definedName name="L_site_category">Lookups!$D$2:$D$4</definedName>
    <definedName name="L_redundancy">Lookups!$E$2:$E$4</definedName>
    <definedName name="L_room_type">Lookups!$F$2:$F$9</definedName>
    <definedName name="L_containment">Lookups!$G$2:$G$4</definedName>
    <definedName name="L_cooling_method">Lookups!$H$2:$H$4</definedName>
    <definedName name="L_rack_role">Lookups!$I$2:$I$10</definedName>
    <definedName name="L_owner">Lookups!$J$2:$J$3</definedName>
    <definedName name="L_density">Lookups!$K$2:$K$3</definedName>
    <definedName name="L_yes_no">Lookups!$L$2:$L$3</definedName>
    <definedName name="L_feed_type">Lookups!$M$2:$M$3</definedName>
    <definedName name="L_feed_role">Lookups!$N$2:$N$3</definedName>
    <definedName name="L_plant_kind">Lookups!$O$2:$O$3</definedName>
    <definedName name="L_test_result">Lookups!$P$2:$P$3</definedName>
    <definedName name="L_cooling_type">Lookups!$Q$2:$Q$4</definedName>
    <definedName name="L_sensor_kind">Lookups!$R$2:$R$4</definedName>
    <definedName name="L_device_role">Lookups!$S$2:$S$10</definedName>
    <definedName name="L_layer">Lookups!$T$2:$T$5</definedName>
    <definedName name="L_lifecycle">Lookups!$U$2:$U$5</definedName>
    <definedName name="L_if_admin">Lookups!$V$2:$V$4</definedName>
    <definedName name="L_link_role">Lookups!$W$2:$W$6</definedName>
    <definedName name="L_protocol">Lookups!$X$2:$X$6</definedName>
    <definedName name="L_gpu_model">Lookups!$Y$2:$Y$9</definedName>
    <definedName name="L_gpu_vendor">Lookups!$Z$2:$Z$3</definedName>
    <definedName name="L_scheduler">Lookups!$AA$2:$AA$3</definedName>
    <definedName name="L_air_liquid">Lookups!$AB$2:$AB$3</definedName>
    <definedName name="L_service_type">Lookups!$AC$2:$AC$24</definedName>
    <definedName name="L_service_unit">Lookups!$AD$2:$AD$9</definedName>
    <definedName name="L_collector_protocol">Lookups!$AE$2:$AE$8</definedName>
    <definedName name="L_collector_domain">Lookups!$AF$2:$AF$5</definedName>
    <definedName name="_xlnm._FilterDatabase" localSheetId="2" hidden="1">'Sites'!$A$1:$S$3</definedName>
    <definedName name="_xlnm._FilterDatabase" localSheetId="3" hidden="1">'Floors'!$A$1:$D$5</definedName>
    <definedName name="_xlnm._FilterDatabase" localSheetId="4" hidden="1">'Rooms'!$A$1:$I$9</definedName>
    <definedName name="_xlnm._FilterDatabase" localSheetId="5" hidden="1">'Racks'!$A$1:$R$21</definedName>
    <definedName name="_xlnm._FilterDatabase" localSheetId="6" hidden="1">'Power_Feeds'!$A$1:$H$7</definedName>
    <definedName name="_xlnm._FilterDatabase" localSheetId="7" hidden="1">'UPS'!$A$1:$J$8</definedName>
    <definedName name="_xlnm._FilterDatabase" localSheetId="8" hidden="1">'Generators'!$A$1:$H$5</definedName>
    <definedName name="_xlnm._FilterDatabase" localSheetId="9" hidden="1">'DC_Plant'!$A$1:$K$5</definedName>
    <definedName name="_xlnm._FilterDatabase" localSheetId="10" hidden="1">'Cooling_Units'!$A$1:$I$13</definedName>
    <definedName name="_xlnm._FilterDatabase" localSheetId="11" hidden="1">'CDUs'!$A$1:$H$4</definedName>
    <definedName name="_xlnm._FilterDatabase" localSheetId="12" hidden="1">'Sensors'!$A$1:$F$15</definedName>
    <definedName name="_xlnm._FilterDatabase" localSheetId="13" hidden="1">'Devices'!$A$1:$T$44</definedName>
    <definedName name="_xlnm._FilterDatabase" localSheetId="14" hidden="1">'Modules'!$A$1:$D$23</definedName>
    <definedName name="_xlnm._FilterDatabase" localSheetId="15" hidden="1">'Interfaces'!$A$1:$G$306</definedName>
    <definedName name="_xlnm._FilterDatabase" localSheetId="16" hidden="1">'Links'!$A$1:$M$150</definedName>
    <definedName name="_xlnm._FilterDatabase" localSheetId="17" hidden="1">'GPU_Clusters'!$A$1:$I$2</definedName>
    <definedName name="_xlnm._FilterDatabase" localSheetId="18" hidden="1">'GPU_Nodes'!$A$1:$I$9</definedName>
    <definedName name="_xlnm._FilterDatabase" localSheetId="19" hidden="1">'Customers'!$A$1:$I$7</definedName>
    <definedName name="_xlnm._FilterDatabase" localSheetId="20" hidden="1">'Services'!$A$1:$O$16</definedName>
    <definedName name="_xlnm._FilterDatabase" localSheetId="21" hidden="1">'Collectors'!$A$1:$G$7</definedName>
    <definedName name="_xlnm._FilterDatabase" localSheetId="22" hidden="1">'Field_Dictionary'!$A$1:$H$204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i val="1"/>
      <color rgb="005B6B80"/>
      <sz val="10"/>
    </font>
    <font>
      <b val="1"/>
      <color rgb="002E6BD9"/>
      <sz val="12"/>
    </font>
    <font>
      <b val="1"/>
      <color rgb="00FFFFFF"/>
    </font>
    <font>
      <color rgb="002E6BD9"/>
      <u val="single"/>
    </font>
    <font>
      <b val="1"/>
      <color rgb="001F3A5F"/>
      <sz val="16"/>
    </font>
    <font>
      <i val="1"/>
      <color rgb="005B6B80"/>
    </font>
    <font>
      <b val="1"/>
    </font>
    <font>
      <b val="1"/>
      <color rgb="002F855A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6B80"/>
      </patternFill>
    </fill>
    <fill>
      <patternFill patternType="solid">
        <fgColor rgb="00B7791F"/>
      </patternFill>
    </fill>
    <fill>
      <patternFill patternType="solid">
        <fgColor rgb="002F855A"/>
      </patternFill>
    </fill>
    <fill>
      <patternFill patternType="solid">
        <fgColor rgb="00DDF2E3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0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0" pivotButton="0" quotePrefix="0" xfId="0"/>
    <xf numFmtId="3" fontId="0" fillId="6" borderId="0" pivotButton="0" quotePrefix="0" xfId="0"/>
    <xf numFmtId="3" fontId="4" fillId="2" borderId="1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omments/comment1.xml><?xml version="1.0" encoding="utf-8"?>
<comments xmlns="http://schemas.openxmlformats.org/spreadsheetml/2006/main">
  <authors>
    <author>DCO template</author>
  </authors>
  <commentList>
    <comment ref="A1" authorId="0" shapeId="0">
      <text>
        <t>Unique site code, format XX-DC-NNN (XX = state code). Every other sheet points to it.
Required: yes
Type: text
System field: Datacenter.id / Location.id</t>
      </text>
    </comment>
    <comment ref="B1" authorId="0" shapeId="0">
      <text>
        <t>Display name.
Required: yes
Type: text
System field: Datacenter.name</t>
      </text>
    </comment>
    <comment ref="C1" authorId="0" shapeId="0">
      <text>
        <t>Owning company. Not shown in the tool today.
Required: no
Type: text
System field: (reference only)</t>
      </text>
    </comment>
    <comment ref="D1" authorId="0" shapeId="0">
      <text>
        <t>Sets vocabulary and rack contents: colocation, neocloud (GPU as a service), cloud, enterprise, network (telco).
Required: yes
Type: list (from business_model)
System field: Persona</t>
      </text>
    </comment>
    <comment ref="E1" authorId="0" shapeId="0">
      <text>
        <t>on-air = live; in-progress = being built; planned; failed.
Required: yes
Type: list (from site_status)
System field: Datacenter.status</t>
      </text>
    </comment>
    <comment ref="F1" authorId="0" shapeId="0">
      <text>
        <t>Uptime tier.
Required: yes
Type: list (from tier)
System field: Datacenter.tier</t>
      </text>
    </comment>
    <comment ref="G1" authorId="0" shapeId="0">
      <text>
        <t>Central / Regional / Edge.
Required: yes
Type: list (from site_category)
System field: Datacenter.category</t>
      </text>
    </comment>
    <comment ref="H1" authorId="0" shapeId="0">
      <text>
        <t>For example West, South, North, East, Central.
Required: yes
Type: text
System field: Region.name / Datacenter.regionId</t>
      </text>
    </comment>
    <comment ref="I1" authorId="0" shapeId="0">
      <text>
        <t>State or province.
Required: yes
Type: text
System field: Datacenter.state</t>
      </text>
    </comment>
    <comment ref="J1" authorId="0" shapeId="0">
      <text>
        <t>City.
Required: yes
Type: text
System field: Datacenter.city</t>
      </text>
    </comment>
    <comment ref="K1" authorId="0" shapeId="0">
      <text>
        <t>Postal address.
Required: yes
Type: text
System field: Datacenter.address</t>
      </text>
    </comment>
    <comment ref="L1" authorId="0" shapeId="0">
      <text>
        <t>Decimal degrees (WGS84). Places the pin on the estate map.
Required: yes
Type: decimal
System field: Datacenter.lat</t>
      </text>
    </comment>
    <comment ref="M1" authorId="0" shapeId="0">
      <text>
        <t>Decimal degrees (WGS84).
Required: yes
Type: decimal
System field: Datacenter.lng</t>
      </text>
    </comment>
    <comment ref="N1" authorId="0" shapeId="0">
      <text>
        <t>Date the site went live.
Required: no
Type: date
System field: Datacenter.commissionedOn</t>
      </text>
    </comment>
    <comment ref="O1" authorId="0" shapeId="0">
      <text>
        <t>Design IT load (kW) the site is built for.
Required: yes
Type: decimal
System field: Datacenter.power.capacityKw</t>
      </text>
    </comment>
    <comment ref="P1" authorId="0" shapeId="0">
      <text>
        <t>Design PUE. Live PUE comes from the BMS.
Required: no
Type: decimal
System field: Datacenter.power.pue</t>
      </text>
    </comment>
    <comment ref="Q1" authorId="0" shapeId="0">
      <text>
        <t>Total installed cooling capacity (kW).
Required: yes
Type: decimal
System field: Datacenter.cooling.capacityKw</t>
      </text>
    </comment>
    <comment ref="R1" authorId="0" shapeId="0">
      <text>
        <t>N / N+1 / 2N.
Required: yes
Type: list (from redundancy)
System field: Datacenter.cooling.redundancy</t>
      </text>
    </comment>
    <comment ref="S1" authorId="0" shapeId="0">
      <text>
        <t>IANA timezone, for example Asia/Kolkata.
Required: no
Type: text
System field: (reference only)</t>
      </text>
    </comment>
  </commentList>
</comments>
</file>

<file path=xl/comments/comment2.xml><?xml version="1.0" encoding="utf-8"?>
<comments xmlns="http://schemas.openxmlformats.org/spreadsheetml/2006/main">
  <authors>
    <author>DCO template</author>
  </authors>
  <commentList>
    <comment ref="A1" authorId="0" shapeId="0">
      <text>
        <t>Must exist in Sites.
Required: yes
Type: ref (from Sites)
System field: Datacenter.id</t>
      </text>
    </comment>
    <comment ref="B1" authorId="0" shapeId="0">
      <text>
        <t>Unique within the workbook, for example MP-DC-001-F0.
Required: yes
Type: text
System field: (key)</t>
      </text>
    </comment>
    <comment ref="C1" authorId="0" shapeId="0">
      <text>
        <t>As staff call it: Ground, 1st floor…
Required: yes
Type: text
System field: Datacenter.floors[].name</t>
      </text>
    </comment>
    <comment ref="D1" authorId="0" shapeId="0">
      <text>
        <t>0 = ground, 1 = first floor…, −1 = basement.
Required: yes
Type: integer
System field: (order in the 3D twin)</t>
      </text>
    </comment>
  </commentList>
</comments>
</file>

<file path=xl/comments/comment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Datacenter.id</t>
      </text>
    </comment>
    <comment ref="B1" authorId="0" shapeId="0">
      <text>
        <t>Must exist in Floors.
Required: yes
Type: ref (from Floors)
System field: (key)</t>
      </text>
    </comment>
    <comment ref="C1" authorId="0" shapeId="0">
      <text>
        <t>Unique within the workbook.
Required: yes
Type: text
System field: (key)</t>
      </text>
    </comment>
    <comment ref="D1" authorId="0" shapeId="0">
      <text>
        <t>Shown in the twin, the racks list and alarm locations.
Required: yes
Type: text
System field: Datacenter.floors[].rooms[] / Rack.room</t>
      </text>
    </comment>
    <comment ref="E1" authorId="0" shapeId="0">
      <text>
        <t>Plant / UPS / battery rooms hold the power plant; halls hold racks.
Required: yes
Type: list (from room_type)
System field: (twin layout)</t>
      </text>
    </comment>
    <comment ref="F1" authorId="0" shapeId="0">
      <text>
        <t>Floor area.
Required: no
Type: decimal
System field: (reference only)</t>
      </text>
    </comment>
    <comment ref="G1" authorId="0" shapeId="0">
      <text>
        <t>Number of rack rows; racks face each other in pairs.
Required: no
Type: integer
System field: (twin layout)</t>
      </text>
    </comment>
    <comment ref="H1" authorId="0" shapeId="0">
      <text>
        <t>Aisle containment.
Required: no
Type: list (from containment)
System field: (twin layout)</t>
      </text>
    </comment>
    <comment ref="I1" authorId="0" shapeId="0">
      <text>
        <t>Air, Liquid or Hybrid.
Required: no
Type: list (from cooling_method)
System field: Rack.liquid</t>
      </text>
    </comment>
  </commentList>
</comments>
</file>

<file path=xl/comments/comment4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MP-DC-001-A01.
Required: yes
Type: text
System field: Rack.id</t>
      </text>
    </comment>
    <comment ref="B1" authorId="0" shapeId="0">
      <text>
        <t>Required: yes
Type: ref (from Sites)
System field: Rack.dcId</t>
      </text>
    </comment>
    <comment ref="C1" authorId="0" shapeId="0">
      <text>
        <t>Floor and room come from the Rooms row.
Required: yes
Type: ref (from Rooms)
System field: Rack.floor / Rack.room</t>
      </text>
    </comment>
    <comment ref="D1" authorId="0" shapeId="0">
      <text>
        <t>Label on the cabinet (shown on the 3D twin).
Required: yes
Type: text
System field: Rack.name</t>
      </text>
    </comment>
    <comment ref="E1" authorId="0" shapeId="0">
      <text>
        <t>Row letter or number.
Required: no
Type: text
System field: (twin layout)</t>
      </text>
    </comment>
    <comment ref="F1" authorId="0" shapeId="0">
      <text>
        <t>Position in the row, 1…n.
Required: no
Type: integer
System field: (twin layout)</t>
      </text>
    </comment>
    <comment ref="G1" authorId="0" shapeId="0">
      <text>
        <t>What the cabinet is for.
Required: yes
Type: list (from rack_role)
System field: Rack.role</t>
      </text>
    </comment>
    <comment ref="H1" authorId="0" shapeId="0">
      <text>
        <t>Usable rack units (42, 45, 48…).
Required: yes
Type: integer
System field: Rack.heightU</t>
      </text>
    </comment>
    <comment ref="I1" authorId="0" shapeId="0">
      <text>
        <t>Provisioned power (kW). Live draw comes from the PDUs.
Required: yes
Type: decimal
System field: Rack.budgetKw</t>
      </text>
    </comment>
    <comment ref="J1" authorId="0" shapeId="0">
      <text>
        <t>operator, or tenant (a leased cabinet: the operator sees power and environment only).
Required: yes
Type: list (from owner)
System field: Rack.owner</t>
      </text>
    </comment>
    <comment ref="K1" authorId="0" shapeId="0">
      <text>
        <t>Required when owner = tenant.
Required: in some cases
Type: ref (from Customers)
System field: Rack.tenantId</t>
      </text>
    </comment>
    <comment ref="L1" authorId="0" shapeId="0">
      <text>
        <t>Required when owner = tenant: the power the tenant has bought.
Required: in some cases
Type: decimal
System field: Rack.contractedKw</t>
      </text>
    </comment>
    <comment ref="M1" authorId="0" shapeId="0">
      <text>
        <t>ai = high-density GPU rack or AI cage.
Required: no
Type: list (from density)
System field: Rack.density</t>
      </text>
    </comment>
    <comment ref="N1" authorId="0" shapeId="0">
      <text>
        <t>Y = direct liquid cooling.
Required: no
Type: list (from yes_no)
System field: Rack.liquid</t>
      </text>
    </comment>
    <comment ref="O1" authorId="0" shapeId="0">
      <text>
        <t>Required when liquid_cooled = Y.
Required: in some cases
Type: ref (from CDUs)
System field: AiCage.cduId / Cdu.racks</t>
      </text>
    </comment>
    <comment ref="P1" authorId="0" shapeId="0">
      <text>
        <t>Feed powering the A-side PDU.
Required: no
Type: ref (from Power_Feeds)
System field: (power path)</t>
      </text>
    </comment>
    <comment ref="Q1" authorId="0" shapeId="0">
      <text>
        <t>Feed powering the B-side PDU.
Required: no
Type: ref (from Power_Feeds)
System field: (power path)</t>
      </text>
    </comment>
    <comment ref="R1" authorId="0" shapeId="0">
      <text>
        <t>Calculated: the sum of u_size of the devices in this rack. Don't type it.
Required: calculated
Type: formula
System field: Rack.usedU</t>
      </text>
    </comment>
  </commentList>
</comments>
</file>

<file path=xl/comments/comment5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MP-DC-001-AC-1.
Required: yes
Type: text
System field: PowerFeed.id</t>
      </text>
    </comment>
    <comment ref="B1" authorId="0" shapeId="0">
      <text>
        <t>Required: yes
Type: ref (from Sites)
System field: Datacenter.id</t>
      </text>
    </comment>
    <comment ref="C1" authorId="0" shapeId="0">
      <text>
        <t>AC or DC.
Required: yes
Type: list (from feed_type)
System field: PowerFeed.type</t>
      </text>
    </comment>
    <comment ref="D1" authorId="0" shapeId="0">
      <text>
        <t>For example "Utility feed A", "Rectifier RECT-01".
Required: yes
Type: text
System field: PowerFeed.source</t>
      </text>
    </comment>
    <comment ref="E1" authorId="0" shapeId="0">
      <text>
        <t>For example "630 A · 415 V" or "48 V · 2400 A".
Required: yes
Type: text
System field: PowerFeed.rating</t>
      </text>
    </comment>
    <comment ref="F1" authorId="0" shapeId="0">
      <text>
        <t>Required: yes
Type: decimal
System field: PowerFeed.capacityKw</t>
      </text>
    </comment>
    <comment ref="G1" authorId="0" shapeId="0">
      <text>
        <t>Active, or Standby (picked up by the ATS).
Required: no
Type: list (from feed_role)
System field: (ATS story)</t>
      </text>
    </comment>
    <comment ref="H1" authorId="0" shapeId="0">
      <text>
        <t>Utility connection / account number.
Required: no
Type: text
System field: (reference only)</t>
      </text>
    </comment>
  </commentList>
</comments>
</file>

<file path=xl/comments/comment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UpsUnit.id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Room the UPS stands in (shown and clickable in the realistic twin).
Required: no
Type: ref (from Rooms)
System field: (twin placement)</t>
      </text>
    </comment>
    <comment ref="D1" authorId="0" shapeId="0">
      <text>
        <t>For example UPS-1.
Required: yes
Type: text
System field: UpsUnit.name</t>
      </text>
    </comment>
    <comment ref="E1" authorId="0" shapeId="0">
      <text>
        <t>Required: no
Type: text
System field: (reference only)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Required: yes
Type: decimal
System field: UpsUnit.capacityKw</t>
      </text>
    </comment>
    <comment ref="I1" authorId="0" shapeId="0">
      <text>
        <t>Required: yes
Type: list (from redundancy)
System field: UpsUnit.redundancy</t>
      </text>
    </comment>
    <comment ref="J1" authorId="0" shapeId="0">
      <text>
        <t>Design autonomy at full load (minutes).
Required: yes
Type: integer
System field: UpsUnit.batteryMin</t>
      </text>
    </comment>
  </commentList>
</comments>
</file>

<file path=xl/comments/comment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(label)</t>
      </text>
    </comment>
    <comment ref="D1" authorId="0" shapeId="0">
      <text>
        <t>Rating (kVA).
Required: yes
Type: decimal
System field: power.dg.kva</t>
      </text>
    </comment>
    <comment ref="E1" authorId="0" shapeId="0">
      <text>
        <t>Required: no
Type: decimal
System field: (fuel hours)</t>
      </text>
    </comment>
    <comment ref="F1" authorId="0" shapeId="0">
      <text>
        <t>Hours on a full tank at full load.
Required: yes
Type: decimal
System field: power.dg.runtimeH</t>
      </text>
    </comment>
    <comment ref="G1" authorId="0" shapeId="0">
      <text>
        <t>Required: no
Type: date
System field: power.dg.lastTest</t>
      </text>
    </comment>
    <comment ref="H1" authorId="0" shapeId="0">
      <text>
        <t>Required: no
Type: list (from test_result)
System field: power.dg.result</t>
      </text>
    </comment>
  </commentList>
</comments>
</file>

<file path=xl/comments/comment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no
Type: ref (from Rooms)
System field: (twin placement)</t>
      </text>
    </comment>
    <comment ref="D1" authorId="0" shapeId="0">
      <text>
        <t>Required: yes
Type: list (from plant_kind)
System field: (rectifier / battery)</t>
      </text>
    </comment>
    <comment ref="E1" authorId="0" shapeId="0">
      <text>
        <t>For example RECT-01, BATT-01.
Required: yes
Type: text
System field: (label)</t>
      </text>
    </comment>
    <comment ref="F1" authorId="0" shapeId="0">
      <text>
        <t>Battery banks: nominal voltage.
Required: in some cases
Type: decimal
System field: power.battery.volts</t>
      </text>
    </comment>
    <comment ref="G1" authorId="0" shapeId="0">
      <text>
        <t>Battery banks: capacity (Ah).
Required: in some cases
Type: decimal
System field: power.battery.ah</t>
      </text>
    </comment>
    <comment ref="H1" authorId="0" shapeId="0">
      <text>
        <t>Rectifiers: for example "48 V · 2400 A".
Required: in some cases
Type: text
System field: PowerFeed.rating (DC)</t>
      </text>
    </comment>
    <comment ref="I1" authorId="0" shapeId="0">
      <text>
        <t>Rectifiers: DC output (kW).
Required: in some cases
Type: decimal
System field: PowerFeed.capacityKw (DC)</t>
      </text>
    </comment>
    <comment ref="J1" authorId="0" shapeId="0">
      <text>
        <t>Battery banks: design autonomy (hours).
Required: in some cases
Type: decimal
System field: power.battery.runtimeH</t>
      </text>
    </comment>
    <comment ref="K1" authorId="0" shapeId="0">
      <text>
        <t>Required: no
Type: date
System field: power.battery.lastTest</t>
      </text>
    </comment>
  </commentList>
</comments>
</file>

<file path=xl/comments/comment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CoolingUnit.id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The zone is "&lt;floor&gt; · &lt;room&gt;".
Required: yes
Type: ref (from Rooms)
System field: CoolingUnit.zone</t>
      </text>
    </comment>
    <comment ref="D1" authorId="0" shapeId="0">
      <text>
        <t>For example CRAH-11.
Required: yes
Type: text
System field: CoolingUnit.name</t>
      </text>
    </comment>
    <comment ref="E1" authorId="0" shapeId="0">
      <text>
        <t>Required: yes
Type: list (from cooling_type)
System field: CoolingUnit.type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Rated cooling capacity.
Required: yes
Type: decimal
System field: CoolingUnit.capacityKw</t>
      </text>
    </comment>
    <comment ref="I1" authorId="0" shapeId="0">
      <text>
        <t>Supply air / coolant setpoint.
Required: no
Type: decimal
System field: CoolingUnit.supplyC (setpoint)</t>
      </text>
    </comment>
  </commentList>
</comments>
</file>

<file path=xl/comments/comment1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Cdu.id</t>
      </text>
    </comment>
    <comment ref="B1" authorId="0" shapeId="0">
      <text>
        <t>Required: yes
Type: ref (from Sites)
System field: Cdu.dcId</t>
      </text>
    </comment>
    <comment ref="C1" authorId="0" shapeId="0">
      <text>
        <t>Required: yes
Type: ref (from Rooms)
System field: Cdu.room</t>
      </text>
    </comment>
    <comment ref="D1" authorId="0" shapeId="0">
      <text>
        <t>Required: yes
Type: text
System field: Cdu.name</t>
      </text>
    </comment>
    <comment ref="E1" authorId="0" shapeId="0">
      <text>
        <t>Required: yes
Type: decimal
System field: Cdu.capacityKw</t>
      </text>
    </comment>
    <comment ref="F1" authorId="0" shapeId="0">
      <text>
        <t>Design coolant flow (litres per minute).
Required: yes
Type: decimal
System field: Cdu.flowNominal</t>
      </text>
    </comment>
    <comment ref="G1" authorId="0" shapeId="0">
      <text>
        <t>Required: no
Type: decimal
System field: Cdu.supplyC (setpoint)</t>
      </text>
    </comment>
    <comment ref="H1" authorId="0" shapeId="0">
      <text>
        <t>Calculated from Racks.cdu_id.
Required: calculated
Type: formula
System field: Cdu.racks</t>
      </text>
    </comment>
  </commentList>
</comments>
</file>

<file path=xl/comments/comment1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EnvSensor.id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ref (from Rooms)
System field: EnvSensor.zone</t>
      </text>
    </comment>
    <comment ref="D1" authorId="0" shapeId="0">
      <text>
        <t>Required: yes
Type: list (from sensor_kind)
System field: EnvSensor (temp / humidity / smoke / leak)</t>
      </text>
    </comment>
    <comment ref="E1" authorId="0" shapeId="0">
      <text>
        <t>For example "Cold aisle 1, rack A03".
Required: no
Type: text
System field: (reference only)</t>
      </text>
    </comment>
    <comment ref="F1" authorId="0" shapeId="0">
      <text>
        <t>BMS / Modbus / BACnet point name, so live readings can be matched.
Required: no
Type: text
System field: (collector mapping)</t>
      </text>
    </comment>
  </commentList>
</comments>
</file>

<file path=xl/comments/comment12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MP-DC-001-BDR-01.
Required: yes
Type: text
System field: NetworkElement.id</t>
      </text>
    </comment>
    <comment ref="B1" authorId="0" shapeId="0">
      <text>
        <t>Required: yes
Type: ref (from Sites)
System field: NetworkElement.dcId</t>
      </text>
    </comment>
    <comment ref="C1" authorId="0" shapeId="0">
      <text>
        <t>As configured on the device (used to match SNMP / LLDP).
Required: yes
Type: text
System field: NetworkElement.name</t>
      </text>
    </comment>
    <comment ref="D1" authorId="0" shapeId="0">
      <text>
        <t>Tenant gear = an opaque block of customer equipment (never polled).
Required: yes
Type: list (from device_role)
System field: NetworkElement.role</t>
      </text>
    </comment>
    <comment ref="E1" authorId="0" shapeId="0">
      <text>
        <t>core / spine / leaf / access. For hosts use access.
Required: yes
Type: list (from layer)
System field: NetworkElement.layer</t>
      </text>
    </comment>
    <comment ref="F1" authorId="0" shapeId="0">
      <text>
        <t>Tenant gear: "Tenant".
Required: yes
Type: text
System field: NetworkElement.vendor</t>
      </text>
    </comment>
    <comment ref="G1" authorId="0" shapeId="0">
      <text>
        <t>Required: yes
Type: text
System field: NetworkElement.model</t>
      </text>
    </comment>
    <comment ref="H1" authorId="0" shapeId="0">
      <text>
        <t>Required: no
Type: text
System field: NetworkElement.os</t>
      </text>
    </comment>
    <comment ref="I1" authorId="0" shapeId="0">
      <text>
        <t>Required for operator devices; must be unique.
Required: in some cases
Type: text
System field: NetworkElement.serial</t>
      </text>
    </comment>
    <comment ref="J1" authorId="0" shapeId="0">
      <text>
        <t>Required for monitored devices.
Required: in some cases
Type: ip
System field: NetworkElement.ip</t>
      </text>
    </comment>
    <comment ref="K1" authorId="0" shapeId="0">
      <text>
        <t>Required: no
Type: text
System field: NetworkElement.mac</t>
      </text>
    </comment>
    <comment ref="L1" authorId="0" shapeId="0">
      <text>
        <t>Required: yes
Type: ref (from Racks)
System field: NetworkElement.rackId</t>
      </text>
    </comment>
    <comment ref="M1" authorId="0" shapeId="0">
      <text>
        <t>Lowest U the device occupies (1 = bottom).
Required: yes
Type: integer
System field: NetworkElement.u</t>
      </text>
    </comment>
    <comment ref="N1" authorId="0" shapeId="0">
      <text>
        <t>Height in U.
Required: yes
Type: integer
System field: NetworkElement.uSize</t>
      </text>
    </comment>
    <comment ref="O1" authorId="0" shapeId="0">
      <text>
        <t>Planned = reserved rack space, not installed.
Required: yes
Type: list (from lifecycle)
System field: NetworkElement.lifecycle</t>
      </text>
    </comment>
    <comment ref="P1" authorId="0" shapeId="0">
      <text>
        <t>Required: yes
Type: list (from owner)
System field: OpsState tenant-owned</t>
      </text>
    </comment>
    <comment ref="Q1" authorId="0" shapeId="0">
      <text>
        <t>Required when owner = tenant.
Required: in some cases
Type: ref (from Customers)
System field: NetworkElement.tenantId</t>
      </text>
    </comment>
    <comment ref="R1" authorId="0" shapeId="0">
      <text>
        <t>N = in the rack but not polled.
Required: yes
Type: list (from yes_no)
System field: OpsState in-service / unmonitored</t>
      </text>
    </comment>
    <comment ref="S1" authorId="0" shapeId="0">
      <text>
        <t>Required when monitored = Y.
Required: in some cases
Type: ref (from Collectors)
System field: NetworkElement.collector</t>
      </text>
    </comment>
    <comment ref="T1" authorId="0" shapeId="0">
      <text>
        <t>Y = border / PE router carrying the site's backhaul.
Required: no
Type: list (from yes_no)
System field: NetworkElement.isPe</t>
      </text>
    </comment>
  </commentList>
</comments>
</file>

<file path=xl/comments/comment1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NetworkElement.id</t>
      </text>
    </comment>
    <comment ref="B1" authorId="0" shapeId="0">
      <text>
        <t>For example "FPC 0", "PSU 1".
Required: yes
Type: text
System field: modules[].slot</t>
      </text>
    </comment>
    <comment ref="C1" authorId="0" shapeId="0">
      <text>
        <t>Part description.
Required: yes
Type: text
System field: modules[].name</t>
      </text>
    </comment>
    <comment ref="D1" authorId="0" shapeId="0">
      <text>
        <t>Required: no
Type: text
System field: modules[].serial</t>
      </text>
    </comment>
  </commentList>
</comments>
</file>

<file path=xl/comments/comment1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Interface.neId</t>
      </text>
    </comment>
    <comment ref="B1" authorId="0" shapeId="0">
      <text>
        <t>As the device names it (et-0/0/1, Ethernet1/1, swp1, ib0…).
Required: yes
Type: text
System field: Interface.name</t>
      </text>
    </comment>
    <comment ref="C1" authorId="0" shapeId="0">
      <text>
        <t>For example 100GE, 400G NDR, 1GE.
Required: yes
Type: text
System field: Interface.type</t>
      </text>
    </comment>
    <comment ref="D1" authorId="0" shapeId="0">
      <text>
        <t>Required: yes
Type: integer
System field: Interface.speedMbps</t>
      </text>
    </comment>
    <comment ref="E1" authorId="0" shapeId="0">
      <text>
        <t>up, admin-down or reserved. Operational up / down comes live.
Required: yes
Type: list (from if_admin)
System field: Interface.state</t>
      </text>
    </comment>
    <comment ref="F1" authorId="0" shapeId="0">
      <text>
        <t>Required: no
Type: text
System field: Interface.description</t>
      </text>
    </comment>
    <comment ref="G1" authorId="0" shapeId="0">
      <text>
        <t>Transceiver part.
Required: no
Type: text
System field: Interface.optics.model</t>
      </text>
    </comment>
  </commentList>
</comments>
</file>

<file path=xl/comments/comment1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Link.id</t>
      </text>
    </comment>
    <comment ref="B1" authorId="0" shapeId="0">
      <text>
        <t>Required: yes
Type: ref (from Devices)
System field: Link.aNe</t>
      </text>
    </comment>
    <comment ref="C1" authorId="0" shapeId="0">
      <text>
        <t>Must exist in Interfaces for a_device_id.
Required: yes
Type: text
System field: Link.aIf</t>
      </text>
    </comment>
    <comment ref="D1" authorId="0" shapeId="0">
      <text>
        <t>May be at another site (backhaul).
Required: yes
Type: ref (from Devices)
System field: Link.zNe</t>
      </text>
    </comment>
    <comment ref="E1" authorId="0" shapeId="0">
      <text>
        <t>Required: yes
Type: text
System field: Link.zIf</t>
      </text>
    </comment>
    <comment ref="F1" authorId="0" shapeId="0">
      <text>
        <t>Fabric (inside a fabric), Uplink, Backhaul (leaves the site), Peering, Access (to a host / customer).
Required: yes
Type: list (from link_role)
System field: Link.role</t>
      </text>
    </comment>
    <comment ref="G1" authorId="0" shapeId="0">
      <text>
        <t>Default LLDP (physical). Add BGP / OSPF rows for routing adjacencies if needed.
Required: no
Type: list (from protocol)
System field: Link.protocol</t>
      </text>
    </comment>
    <comment ref="H1" authorId="0" shapeId="0">
      <text>
        <t>Required: yes
Type: integer
System field: Link.capacityMbps</t>
      </text>
    </comment>
    <comment ref="I1" authorId="0" shapeId="0">
      <text>
        <t>Cable / trunk label.
Required: no
Type: text
System field: Link.physical.cable</t>
      </text>
    </comment>
    <comment ref="J1" authorId="0" shapeId="0">
      <text>
        <t>Fibre strand or pair.
Required: no
Type: text
System field: Link.physical.strand</t>
      </text>
    </comment>
    <comment ref="K1" authorId="0" shapeId="0">
      <text>
        <t>Patch panel / ODF port at the A end.
Required: no
Type: text
System field: Link.physical.aPort</t>
      </text>
    </comment>
    <comment ref="L1" authorId="0" shapeId="0">
      <text>
        <t>Required: no
Type: text
System field: Link.physical.zPort</t>
      </text>
    </comment>
    <comment ref="M1" authorId="0" shapeId="0">
      <text>
        <t>Backhaul: the carrier's circuit ID.
Required: in some cases
Type: text
System field: (reference only)</t>
      </text>
    </comment>
  </commentList>
</comments>
</file>

<file path=xl/comments/comment1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GpuCluster.id</t>
      </text>
    </comment>
    <comment ref="B1" authorId="0" shapeId="0">
      <text>
        <t>Required: yes
Type: ref (from Sites)
System field: GpuCluster.dcId</t>
      </text>
    </comment>
    <comment ref="C1" authorId="0" shapeId="0">
      <text>
        <t>Required: yes
Type: ref (from Rooms)
System field: GpuCluster.room</t>
      </text>
    </comment>
    <comment ref="D1" authorId="0" shapeId="0">
      <text>
        <t>Required: yes
Type: text
System field: GpuCluster.name</t>
      </text>
    </comment>
    <comment ref="E1" authorId="0" shapeId="0">
      <text>
        <t>Required: yes
Type: list (from scheduler)
System field: GpuCluster.scheduler</t>
      </text>
    </comment>
    <comment ref="F1" authorId="0" shapeId="0">
      <text>
        <t>For example "InfiniBand NDR 400G, rail-optimised".
Required: yes
Type: text
System field: GpuCluster.fabric</t>
      </text>
    </comment>
    <comment ref="G1" authorId="0" shapeId="0">
      <text>
        <t>One model per cluster.
Required: yes
Type: list (from gpu_model)
System field: GpuCluster.model</t>
      </text>
    </comment>
    <comment ref="H1" authorId="0" shapeId="0">
      <text>
        <t>Required: yes
Type: list (from air_liquid)
System field: GpuCluster.cooling</t>
      </text>
    </comment>
    <comment ref="I1" authorId="0" shapeId="0">
      <text>
        <t>Calculated from GPU_Nodes.
Required: calculated
Type: formula
System field: GpuCluster.nodes</t>
      </text>
    </comment>
  </commentList>
</comments>
</file>

<file path=xl/comments/comment1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GpuNode.neId</t>
      </text>
    </comment>
    <comment ref="B1" authorId="0" shapeId="0">
      <text>
        <t>Required: yes
Type: ref (from GPU_Clusters)
System field: GpuNode.clusterId</t>
      </text>
    </comment>
    <comment ref="C1" authorId="0" shapeId="0">
      <text>
        <t>Must match the cluster.
Required: yes
Type: list (from gpu_model)
System field: GpuNode.model</t>
      </text>
    </comment>
    <comment ref="D1" authorId="0" shapeId="0">
      <text>
        <t>Required: yes
Type: list (from gpu_vendor)
System field: GpuNode.vendor</t>
      </text>
    </comment>
    <comment ref="E1" authorId="0" shapeId="0">
      <text>
        <t>Usually 8.
Required: yes
Type: integer
System field: GpuNode.gpus.length</t>
      </text>
    </comment>
    <comment ref="F1" authorId="0" shapeId="0">
      <text>
        <t>Required: yes
Type: text
System field: GpuNode.server</t>
      </text>
    </comment>
    <comment ref="G1" authorId="0" shapeId="0">
      <text>
        <t>Required: yes
Type: list (from air_liquid)
System field: GpuNode.cooling</t>
      </text>
    </comment>
    <comment ref="H1" authorId="0" shapeId="0">
      <text>
        <t>Installed driver version.
Required: no
Type: text
System field: GpuNode.driver</t>
      </text>
    </comment>
    <comment ref="I1" authorId="0" shapeId="0">
      <text>
        <t>Required: no
Type: text
System field: GpuNode.firmware</t>
      </text>
    </comment>
  </commentList>
</comments>
</file>

<file path=xl/comments/comment1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Customer.id</t>
      </text>
    </comment>
    <comment ref="B1" authorId="0" shapeId="0">
      <text>
        <t>Required: yes
Type: text
System field: Customer.name</t>
      </text>
    </comment>
    <comment ref="C1" authorId="0" shapeId="0">
      <text>
        <t>For example BFSI, Media, AI / ML, Healthcare.
Required: yes
Type: text
System field: Customer.segment</t>
      </text>
    </comment>
    <comment ref="D1" authorId="0" shapeId="0">
      <text>
        <t>Billing city.
Required: yes
Type: text
System field: Customer.city</t>
      </text>
    </comment>
    <comment ref="E1" authorId="0" shapeId="0">
      <text>
        <t>Required: yes
Type: text
System field: Customer.state</t>
      </text>
    </comment>
    <comment ref="F1" authorId="0" shapeId="0">
      <text>
        <t>Contract or plan name.
Required: yes
Type: text
System field: Customer.plan</t>
      </text>
    </comment>
    <comment ref="G1" authorId="0" shapeId="0">
      <text>
        <t>Y = premium SLA (counted on the Command center).
Required: yes
Type: list (from yes_no)
System field: Customer.premium</t>
      </text>
    </comment>
    <comment ref="H1" authorId="0" shapeId="0">
      <text>
        <t>Required: no
Type: text
System field: Customer.accountManager</t>
      </text>
    </comment>
    <comment ref="I1" authorId="0" shapeId="0">
      <text>
        <t>Calculated: the sum of this customer's Services. Don't type it.
Required: calculated
Type: formula
System field: Customer.revenueMonthly</t>
      </text>
    </comment>
  </commentList>
</comments>
</file>

<file path=xl/comments/comment1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Service.id</t>
      </text>
    </comment>
    <comment ref="B1" authorId="0" shapeId="0">
      <text>
        <t>Required: yes
Type: ref (from Customers)
System field: Service.customerId</t>
      </text>
    </comment>
    <comment ref="C1" authorId="0" shapeId="0">
      <text>
        <t>Required: yes
Type: list (from service_type)
System field: Service.type</t>
      </text>
    </comment>
    <comment ref="D1" authorId="0" shapeId="0">
      <text>
        <t>Required: yes
Type: ref (from Sites)
System field: Service.dcId</t>
      </text>
    </comment>
    <comment ref="E1" authorId="0" shapeId="0">
      <text>
        <t>The device the service is delivered on (port, GPU node, MMR switch…).
Required: in some cases
Type: ref (from Devices)
System field: Service.neId</t>
      </text>
    </comment>
    <comment ref="F1" authorId="0" shapeId="0">
      <text>
        <t>Hand-off port for circuits and cross-connects.
Required: no
Type: text
System field: Service.ifName</t>
      </text>
    </comment>
    <comment ref="G1" authorId="0" shapeId="0">
      <text>
        <t>Cabinet leases / power circuits: rack ids, separated by ";".
Required: in some cases
Type: text
System field: Service path (racks)</t>
      </text>
    </comment>
    <comment ref="H1" authorId="0" shapeId="0">
      <text>
        <t>GPU services: GPU node device ids, separated by ";".
Required: in some cases
Type: text
System field: Service.path (job nodes)</t>
      </text>
    </comment>
    <comment ref="I1" authorId="0" shapeId="0">
      <text>
        <t>Required: yes
Type: decimal
System field: Service.qty</t>
      </text>
    </comment>
    <comment ref="J1" authorId="0" shapeId="0">
      <text>
        <t>Required: yes
Type: list (from service_unit)
System field: Service.unit</t>
      </text>
    </comment>
    <comment ref="K1" authorId="0" shapeId="0">
      <text>
        <t>Circuits and cross-connects.
Required: no
Type: integer
System field: Service.bandwidthMbps</t>
      </text>
    </comment>
    <comment ref="L1" authorId="0" shapeId="0">
      <text>
        <t>For example 99.95.
Required: yes
Type: decimal
System field: Service.slaTarget</t>
      </text>
    </comment>
    <comment ref="M1" authorId="0" shapeId="0">
      <text>
        <t>Monthly charge in the site currency (₹).
Required: yes
Type: decimal
System field: Service.revenueMonthly</t>
      </text>
    </comment>
    <comment ref="N1" authorId="0" shapeId="0">
      <text>
        <t>Y = business-critical for the customer.
Required: yes
Type: list (from yes_no)
System field: Service.critical</t>
      </text>
    </comment>
    <comment ref="O1" authorId="0" shapeId="0">
      <text>
        <t>Required: no
Type: date
System field: (reference only)</t>
      </text>
    </comment>
  </commentList>
</comments>
</file>

<file path=xl/comments/comment2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collectors[].id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collectors[].name</t>
      </text>
    </comment>
    <comment ref="D1" authorId="0" shapeId="0">
      <text>
        <t>Required: yes
Type: list (from collector_protocol)
System field: (integration)</t>
      </text>
    </comment>
    <comment ref="E1" authorId="0" shapeId="0">
      <text>
        <t>Network, Facility (BMS / EPMS), Compute (BMC), GPU (DCGM).
Required: yes
Type: list (from collector_domain)
System field: (integration)</t>
      </text>
    </comment>
    <comment ref="F1" authorId="0" shapeId="0">
      <text>
        <t>Required: no
Type: ip
System field: (integration)</t>
      </text>
    </comment>
    <comment ref="G1" authorId="0" shapeId="0">
      <text>
        <t>What it polls.
Required: no
Type: text
System field: (integration)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tes'!A1" TargetMode="External" Id="rId1" /><Relationship Type="http://schemas.openxmlformats.org/officeDocument/2006/relationships/hyperlink" Target="#'Floors'!A1" TargetMode="External" Id="rId2" /><Relationship Type="http://schemas.openxmlformats.org/officeDocument/2006/relationships/hyperlink" Target="#'Rooms'!A1" TargetMode="External" Id="rId3" /><Relationship Type="http://schemas.openxmlformats.org/officeDocument/2006/relationships/hyperlink" Target="#'Racks'!A1" TargetMode="External" Id="rId4" /><Relationship Type="http://schemas.openxmlformats.org/officeDocument/2006/relationships/hyperlink" Target="#'Power_Feeds'!A1" TargetMode="External" Id="rId5" /><Relationship Type="http://schemas.openxmlformats.org/officeDocument/2006/relationships/hyperlink" Target="#'UPS'!A1" TargetMode="External" Id="rId6" /><Relationship Type="http://schemas.openxmlformats.org/officeDocument/2006/relationships/hyperlink" Target="#'Generators'!A1" TargetMode="External" Id="rId7" /><Relationship Type="http://schemas.openxmlformats.org/officeDocument/2006/relationships/hyperlink" Target="#'DC_Plant'!A1" TargetMode="External" Id="rId8" /><Relationship Type="http://schemas.openxmlformats.org/officeDocument/2006/relationships/hyperlink" Target="#'Cooling_Units'!A1" TargetMode="External" Id="rId9" /><Relationship Type="http://schemas.openxmlformats.org/officeDocument/2006/relationships/hyperlink" Target="#'CDUs'!A1" TargetMode="External" Id="rId10" /><Relationship Type="http://schemas.openxmlformats.org/officeDocument/2006/relationships/hyperlink" Target="#'Sensors'!A1" TargetMode="External" Id="rId11" /><Relationship Type="http://schemas.openxmlformats.org/officeDocument/2006/relationships/hyperlink" Target="#'Devices'!A1" TargetMode="External" Id="rId12" /><Relationship Type="http://schemas.openxmlformats.org/officeDocument/2006/relationships/hyperlink" Target="#'Modules'!A1" TargetMode="External" Id="rId13" /><Relationship Type="http://schemas.openxmlformats.org/officeDocument/2006/relationships/hyperlink" Target="#'Interfaces'!A1" TargetMode="External" Id="rId14" /><Relationship Type="http://schemas.openxmlformats.org/officeDocument/2006/relationships/hyperlink" Target="#'Links'!A1" TargetMode="External" Id="rId15" /><Relationship Type="http://schemas.openxmlformats.org/officeDocument/2006/relationships/hyperlink" Target="#'GPU_Clusters'!A1" TargetMode="External" Id="rId16" /><Relationship Type="http://schemas.openxmlformats.org/officeDocument/2006/relationships/hyperlink" Target="#'GPU_Nodes'!A1" TargetMode="External" Id="rId17" /><Relationship Type="http://schemas.openxmlformats.org/officeDocument/2006/relationships/hyperlink" Target="#'Customers'!A1" TargetMode="External" Id="rId18" /><Relationship Type="http://schemas.openxmlformats.org/officeDocument/2006/relationships/hyperlink" Target="#'Services'!A1" TargetMode="External" Id="rId19" /><Relationship Type="http://schemas.openxmlformats.org/officeDocument/2006/relationships/hyperlink" Target="#'Collectors'!A1" TargetMode="External" Id="rId20" /><Relationship Type="http://schemas.openxmlformats.org/officeDocument/2006/relationships/hyperlink" Target="#'Summary'!A1" TargetMode="External" Id="rId21" /><Relationship Type="http://schemas.openxmlformats.org/officeDocument/2006/relationships/hyperlink" Target="#'Field_Dictionary'!A1" TargetMode="External" Id="rId22" /><Relationship Type="http://schemas.openxmlformats.org/officeDocument/2006/relationships/hyperlink" Target="#'Lookups'!A1" TargetMode="External" Id="rId23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0" customWidth="1" min="3" max="3"/>
    <col width="13" customWidth="1" min="4" max="4"/>
  </cols>
  <sheetData>
    <row r="1">
      <c r="A1" s="1" t="inlineStr">
        <is>
          <t>DCO · Datacenter inventory import template</t>
        </is>
      </c>
    </row>
    <row r="2">
      <c r="A2" s="2" t="inlineStr">
        <is>
          <t>Version 1.0 · 12-Oct-2026 · matches the DCO data model (app/src/api/types.ts)</t>
        </is>
      </c>
    </row>
    <row r="3">
      <c r="A3" t="inlineStr"/>
    </row>
    <row r="4">
      <c r="A4" s="3" t="inlineStr">
        <is>
          <t>What this workbook is for</t>
        </is>
      </c>
    </row>
    <row r="5" ht="32" customHeight="1">
      <c r="A5" s="4" t="inlineStr">
        <is>
          <t>Use it to collect everything the DCO platform needs to know about a customer's datacenters BEFORE monitoring is switched on: sites, floors, rooms, racks, power and cooling plant, sensors, every racked device, its ports and cables, GPU clusters, customers and the services they buy, and the monitoring sources.</t>
        </is>
      </c>
    </row>
    <row r="6" ht="32" customHeight="1">
      <c r="A6" s="4" t="inlineStr">
        <is>
          <t>The two example sites (RackBank Indore DC1 = colocation with AI cages, RackBank Chennai AI-1 = GPU cloud) are ILLUSTRATIVE sample data. Replace them, or keep them as a reference and delete before import.</t>
        </is>
      </c>
    </row>
    <row r="7">
      <c r="A7" t="inlineStr"/>
    </row>
    <row r="8">
      <c r="A8" s="3" t="inlineStr">
        <is>
          <t>How to fill it</t>
        </is>
      </c>
    </row>
    <row r="9" ht="32" customHeight="1">
      <c r="A9" s="4" t="inlineStr">
        <is>
          <t>1. Fill the sheets in tab order. A sheet can only point at IDs that exist in the sheets before it (Sites → Floors → Rooms → Racks → … → Services).</t>
        </is>
      </c>
    </row>
    <row r="10" ht="32" customHeight="1">
      <c r="A10" s="4" t="inlineStr">
        <is>
          <t>2. Row 1 holds the import keys. Don't rename, reorder or delete columns. Hover over a header for its meaning; the Field_Dictionary sheet lists every field.</t>
        </is>
      </c>
    </row>
    <row r="11" ht="32" customHeight="1">
      <c r="A11" s="4" t="inlineStr">
        <is>
          <t>3. Header colours: dark blue = required · amber = required in some cases (see the note) · grey = optional · green = calculated by a formula (don't type it).</t>
        </is>
      </c>
    </row>
    <row r="12" ht="32" customHeight="1">
      <c r="A12" s="4" t="inlineStr">
        <is>
          <t>4. Columns with a fixed set of values have a dropdown (from the Lookups sheet). Dates use YYYY-MM-DD. Numbers are plain, with no units in the cell. Lists inside a cell use ";".</t>
        </is>
      </c>
    </row>
    <row r="13" ht="32" customHeight="1">
      <c r="A13" s="4" t="inlineStr">
        <is>
          <t>5. IDs must be unique and stable: the system keys every alarm, incident and revenue figure on them. Recommended: site XX-DC-NNN, then &lt;site&gt;-&lt;object&gt; (MP-DC-001-A01).</t>
        </is>
      </c>
    </row>
    <row r="14" ht="32" customHeight="1">
      <c r="A14" s="4" t="inlineStr">
        <is>
          <t>6. Check the Summary sheet when you finish. Every count must match what the customer expects, and the checks column must say OK.</t>
        </is>
      </c>
    </row>
    <row r="15">
      <c r="A15" t="inlineStr"/>
    </row>
    <row r="16">
      <c r="A16" s="3" t="inlineStr">
        <is>
          <t>What to ask the customer for (and where it usually lives)</t>
        </is>
      </c>
    </row>
    <row r="17" ht="32" customHeight="1">
      <c r="A17" s="4" t="inlineStr">
        <is>
          <t>Sites, floors, rooms: facility master list, floor plans (DCIM or CAD).  ·  Racks: DCIM rack elevations or the space-and-power schedule.  ·  Power and cooling plant: single-line diagram, BMS / EPMS asset register, maintenance contracts.</t>
        </is>
      </c>
    </row>
    <row r="18" ht="32" customHeight="1">
      <c r="A18" s="4" t="inlineStr">
        <is>
          <t>Devices, modules: CMDB or DCIM asset export (hostname, serial, rack, U).  ·  Interfaces, links: cabling schedule or patch-panel / ODF records, plus LLDP exports for verification.  ·  GPU clusters: scheduler config (Slurm partitions / Kubernetes node pools).</t>
        </is>
      </c>
    </row>
    <row r="19" ht="32" customHeight="1">
      <c r="A19" s="4" t="inlineStr">
        <is>
          <t>Customers, services: CRM or billing (contract, monthly charge, SLA, premium flag).  ·  Collectors: the NOC's monitoring design (SNMP / gNMI pollers, BMS gateway, Redfish, DCGM exporter).</t>
        </is>
      </c>
    </row>
    <row r="20">
      <c r="A20" t="inlineStr"/>
    </row>
    <row r="21">
      <c r="A21" s="3" t="inlineStr">
        <is>
          <t>What NOT to put here (it arrives live from the collectors)</t>
        </is>
      </c>
    </row>
    <row r="22" ht="32" customHeight="1">
      <c r="A22" s="4" t="inlineStr">
        <is>
          <t>Current power draw, UPS load %, battery state, temperatures, humidity, CDU flow, interface up / down, utilisation, errors, optics levels, CPU / memory, GPU telemetry (DCGM), alarms, incidents and job state. The template carries only the static master data those readings attach to.</t>
        </is>
      </c>
    </row>
    <row r="23">
      <c r="A23" t="inlineStr"/>
    </row>
    <row r="24">
      <c r="A24" s="3" t="inlineStr">
        <is>
          <t>Sheet order and the system object each one fills</t>
        </is>
      </c>
    </row>
    <row r="25">
      <c r="A25" s="5" t="inlineStr">
        <is>
          <t>Sheet</t>
        </is>
      </c>
      <c r="B25" s="5" t="inlineStr">
        <is>
          <t>System object</t>
        </is>
      </c>
      <c r="C25" s="5" t="inlineStr">
        <is>
          <t>What goes in it</t>
        </is>
      </c>
      <c r="D25" s="5" t="inlineStr">
        <is>
          <t>Example rows</t>
        </is>
      </c>
    </row>
    <row r="26">
      <c r="A26" s="6" t="inlineStr">
        <is>
          <t>Sites</t>
        </is>
      </c>
      <c r="B26" s="7" t="inlineStr">
        <is>
          <t>Datacenter + Location</t>
        </is>
      </c>
      <c r="C26" s="7" t="inlineStr">
        <is>
          <t>One row per datacenter.</t>
        </is>
      </c>
      <c r="D26" s="7" t="n">
        <v>2</v>
      </c>
    </row>
    <row r="27">
      <c r="A27" s="6" t="inlineStr">
        <is>
          <t>Floors</t>
        </is>
      </c>
      <c r="B27" s="7" t="inlineStr">
        <is>
          <t>Datacenter.floors[]</t>
        </is>
      </c>
      <c r="C27" s="7" t="inlineStr">
        <is>
          <t>One row per floor.</t>
        </is>
      </c>
      <c r="D27" s="7" t="n">
        <v>4</v>
      </c>
    </row>
    <row r="28">
      <c r="A28" s="6" t="inlineStr">
        <is>
          <t>Rooms</t>
        </is>
      </c>
      <c r="B28" s="7" t="inlineStr">
        <is>
          <t>Datacenter.floors[].rooms[]</t>
        </is>
      </c>
      <c r="C28" s="7" t="inlineStr">
        <is>
          <t>One row per room / hall.</t>
        </is>
      </c>
      <c r="D28" s="7" t="n">
        <v>8</v>
      </c>
    </row>
    <row r="29">
      <c r="A29" s="6" t="inlineStr">
        <is>
          <t>Racks</t>
        </is>
      </c>
      <c r="B29" s="7" t="inlineStr">
        <is>
          <t>Rack</t>
        </is>
      </c>
      <c r="C29" s="7" t="inlineStr">
        <is>
          <t>One row per cabinet, including tenant cabinets and AI cages.</t>
        </is>
      </c>
      <c r="D29" s="7" t="n">
        <v>20</v>
      </c>
    </row>
    <row r="30">
      <c r="A30" s="6" t="inlineStr">
        <is>
          <t>Power_Feeds</t>
        </is>
      </c>
      <c r="B30" s="7" t="inlineStr">
        <is>
          <t>Datacenter.power.feeds[] (PowerFeed)</t>
        </is>
      </c>
      <c r="C30" s="7" t="inlineStr">
        <is>
          <t>Utility, DG and DC-plant feeds.</t>
        </is>
      </c>
      <c r="D30" s="7" t="n">
        <v>6</v>
      </c>
    </row>
    <row r="31">
      <c r="A31" s="6" t="inlineStr">
        <is>
          <t>UPS</t>
        </is>
      </c>
      <c r="B31" s="7" t="inlineStr">
        <is>
          <t>Datacenter.power.ups[] (UpsUnit)</t>
        </is>
      </c>
      <c r="C31" s="7" t="inlineStr">
        <is>
          <t>One row per UPS module or system.</t>
        </is>
      </c>
      <c r="D31" s="7" t="n">
        <v>7</v>
      </c>
    </row>
    <row r="32">
      <c r="A32" s="6" t="inlineStr">
        <is>
          <t>Generators</t>
        </is>
      </c>
      <c r="B32" s="7" t="inlineStr">
        <is>
          <t>Datacenter.power.dg</t>
        </is>
      </c>
      <c r="C32" s="7" t="inlineStr">
        <is>
          <t>Diesel generator sets.</t>
        </is>
      </c>
      <c r="D32" s="7" t="n">
        <v>4</v>
      </c>
    </row>
    <row r="33">
      <c r="A33" s="6" t="inlineStr">
        <is>
          <t>DC_Plant</t>
        </is>
      </c>
      <c r="B33" s="7" t="inlineStr">
        <is>
          <t>Datacenter.power.battery + rectifier</t>
        </is>
      </c>
      <c r="C33" s="7" t="inlineStr">
        <is>
          <t>48 V DC plant: rectifiers and battery banks.</t>
        </is>
      </c>
      <c r="D33" s="7" t="n">
        <v>4</v>
      </c>
    </row>
    <row r="34">
      <c r="A34" s="6" t="inlineStr">
        <is>
          <t>Cooling_Units</t>
        </is>
      </c>
      <c r="B34" s="7" t="inlineStr">
        <is>
          <t>Datacenter.cooling.units[] (CoolingUnit)</t>
        </is>
      </c>
      <c r="C34" s="7" t="inlineStr">
        <is>
          <t>CRAH, CRAC and CDU units.</t>
        </is>
      </c>
      <c r="D34" s="7" t="n">
        <v>12</v>
      </c>
    </row>
    <row r="35">
      <c r="A35" s="6" t="inlineStr">
        <is>
          <t>CDUs</t>
        </is>
      </c>
      <c r="B35" s="7" t="inlineStr">
        <is>
          <t>Cdu</t>
        </is>
      </c>
      <c r="C35" s="7" t="inlineStr">
        <is>
          <t>Liquid-cooling loops (only for liquid-cooled racks).</t>
        </is>
      </c>
      <c r="D35" s="7" t="n">
        <v>3</v>
      </c>
    </row>
    <row r="36">
      <c r="A36" s="6" t="inlineStr">
        <is>
          <t>Sensors</t>
        </is>
      </c>
      <c r="B36" s="7" t="inlineStr">
        <is>
          <t>Datacenter.cooling.sensors[] (EnvSensor)</t>
        </is>
      </c>
      <c r="C36" s="7" t="inlineStr">
        <is>
          <t>Environment sensors.</t>
        </is>
      </c>
      <c r="D36" s="7" t="n">
        <v>14</v>
      </c>
    </row>
    <row r="37">
      <c r="A37" s="6" t="inlineStr">
        <is>
          <t>Devices</t>
        </is>
      </c>
      <c r="B37" s="7" t="inlineStr">
        <is>
          <t>NetworkElement</t>
        </is>
      </c>
      <c r="C37" s="7" t="inlineStr">
        <is>
          <t>Every racked device: network, servers, storage, GPU nodes, and opaque tenant gear blocks.</t>
        </is>
      </c>
      <c r="D37" s="7" t="n">
        <v>43</v>
      </c>
    </row>
    <row r="38">
      <c r="A38" s="6" t="inlineStr">
        <is>
          <t>Modules</t>
        </is>
      </c>
      <c r="B38" s="7" t="inlineStr">
        <is>
          <t>NetworkElement.modules[]</t>
        </is>
      </c>
      <c r="C38" s="7" t="inlineStr">
        <is>
          <t>Optional: line cards, PSUs, fans, supervisors.</t>
        </is>
      </c>
      <c r="D38" s="7" t="n">
        <v>22</v>
      </c>
    </row>
    <row r="39">
      <c r="A39" s="6" t="inlineStr">
        <is>
          <t>Interfaces</t>
        </is>
      </c>
      <c r="B39" s="7" t="inlineStr">
        <is>
          <t>Interface</t>
        </is>
      </c>
      <c r="C39" s="7" t="inlineStr">
        <is>
          <t>Physical ports in use or reserved (including host NICs). Spare ports can be left out.</t>
        </is>
      </c>
      <c r="D39" s="7" t="n">
        <v>305</v>
      </c>
    </row>
    <row r="40">
      <c r="A40" s="6" t="inlineStr">
        <is>
          <t>Links</t>
        </is>
      </c>
      <c r="B40" s="7" t="inlineStr">
        <is>
          <t>Link</t>
        </is>
      </c>
      <c r="C40" s="7" t="inlineStr">
        <is>
          <t>One row per cable or circuit between two interfaces.</t>
        </is>
      </c>
      <c r="D40" s="7" t="n">
        <v>149</v>
      </c>
    </row>
    <row r="41">
      <c r="A41" s="6" t="inlineStr">
        <is>
          <t>GPU_Clusters</t>
        </is>
      </c>
      <c r="B41" s="7" t="inlineStr">
        <is>
          <t>GpuCluster</t>
        </is>
      </c>
      <c r="C41" s="7" t="inlineStr">
        <is>
          <t>Only for GPU estates.</t>
        </is>
      </c>
      <c r="D41" s="7" t="n">
        <v>1</v>
      </c>
    </row>
    <row r="42">
      <c r="A42" s="6" t="inlineStr">
        <is>
          <t>GPU_Nodes</t>
        </is>
      </c>
      <c r="B42" s="7" t="inlineStr">
        <is>
          <t>GpuNode</t>
        </is>
      </c>
      <c r="C42" s="7" t="inlineStr">
        <is>
          <t>One row per GPU server; it must also be in Devices with role = GPU.</t>
        </is>
      </c>
      <c r="D42" s="7" t="n">
        <v>8</v>
      </c>
    </row>
    <row r="43">
      <c r="A43" s="6" t="inlineStr">
        <is>
          <t>Customers</t>
        </is>
      </c>
      <c r="B43" s="7" t="inlineStr">
        <is>
          <t>Customer</t>
        </is>
      </c>
      <c r="C43" s="7" t="inlineStr">
        <is>
          <t>Customers or tenants served from these sites.</t>
        </is>
      </c>
      <c r="D43" s="7" t="n">
        <v>6</v>
      </c>
    </row>
    <row r="44">
      <c r="A44" s="6" t="inlineStr">
        <is>
          <t>Services</t>
        </is>
      </c>
      <c r="B44" s="7" t="inlineStr">
        <is>
          <t>Service</t>
        </is>
      </c>
      <c r="C44" s="7" t="inlineStr">
        <is>
          <t>What each customer buys and where it is delivered. This drives impact and revenue at risk.</t>
        </is>
      </c>
      <c r="D44" s="7" t="n">
        <v>15</v>
      </c>
    </row>
    <row r="45">
      <c r="A45" s="6" t="inlineStr">
        <is>
          <t>Collectors</t>
        </is>
      </c>
      <c r="B45" s="7" t="inlineStr">
        <is>
          <t>Datacenter.collectors[]</t>
        </is>
      </c>
      <c r="C45" s="7" t="inlineStr">
        <is>
          <t>Monitoring sources the system will receive live data from.</t>
        </is>
      </c>
      <c r="D45" s="7" t="n">
        <v>6</v>
      </c>
    </row>
    <row r="46">
      <c r="A46" s="8" t="inlineStr">
        <is>
          <t>Summary</t>
        </is>
      </c>
      <c r="B46" s="9" t="inlineStr">
        <is>
          <t>—</t>
        </is>
      </c>
      <c r="C46" s="9" t="inlineStr">
        <is>
          <t>Counts per site and the reconciliation checks (formulas).</t>
        </is>
      </c>
      <c r="D46" s="9" t="inlineStr"/>
    </row>
    <row r="47">
      <c r="A47" s="8" t="inlineStr">
        <is>
          <t>Field_Dictionary</t>
        </is>
      </c>
      <c r="B47" s="9" t="inlineStr">
        <is>
          <t>—</t>
        </is>
      </c>
      <c r="C47" s="9" t="inlineStr">
        <is>
          <t>Every column: required, type, allowed values, the system field it maps to.</t>
        </is>
      </c>
      <c r="D47" s="9" t="inlineStr"/>
    </row>
    <row r="48">
      <c r="A48" s="8" t="inlineStr">
        <is>
          <t>Lookups</t>
        </is>
      </c>
      <c r="B48" s="9" t="inlineStr">
        <is>
          <t>—</t>
        </is>
      </c>
      <c r="C48" s="9" t="inlineStr">
        <is>
          <t>Allowed values behind the dropdowns.</t>
        </is>
      </c>
      <c r="D48" s="9" t="inlineStr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  <hyperlink xmlns:r="http://schemas.openxmlformats.org/officeDocument/2006/relationships" ref="A33" r:id="rId8"/>
    <hyperlink xmlns:r="http://schemas.openxmlformats.org/officeDocument/2006/relationships" ref="A34" r:id="rId9"/>
    <hyperlink xmlns:r="http://schemas.openxmlformats.org/officeDocument/2006/relationships" ref="A35" r:id="rId10"/>
    <hyperlink xmlns:r="http://schemas.openxmlformats.org/officeDocument/2006/relationships" ref="A36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55A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Summary and reconciliation checks</t>
        </is>
      </c>
    </row>
    <row r="2">
      <c r="A2" s="11" t="inlineStr">
        <is>
          <t>Every figure is a formula over the data sheets. Check it with the customer: these are the numbers the platform will show.</t>
        </is>
      </c>
    </row>
    <row r="4">
      <c r="A4" s="12" t="inlineStr">
        <is>
          <t>Measure</t>
        </is>
      </c>
      <c r="B4" s="12">
        <f>IF('Sites'!A2="","(site 1)",'Sites'!A2)</f>
        <v/>
      </c>
      <c r="C4" s="12">
        <f>IF('Sites'!A3="","(site 2)",'Sites'!A3)</f>
        <v/>
      </c>
      <c r="D4" s="12">
        <f>IF('Sites'!A4="","(site 3)",'Sites'!A4)</f>
        <v/>
      </c>
      <c r="E4" s="12">
        <f>IF('Sites'!A5="","(site 4)",'Sites'!A5)</f>
        <v/>
      </c>
      <c r="F4" s="12">
        <f>IF('Sites'!A6="","(site 5)",'Sites'!A6)</f>
        <v/>
      </c>
      <c r="G4" s="12">
        <f>IF('Sites'!A7="","(site 6)",'Sites'!A7)</f>
        <v/>
      </c>
      <c r="H4" s="12" t="inlineStr">
        <is>
          <t>Total</t>
        </is>
      </c>
    </row>
    <row r="5">
      <c r="A5" s="9" t="inlineStr">
        <is>
          <t>Floors</t>
        </is>
      </c>
      <c r="B5" s="13">
        <f>IF('Sites'!$A$2="","",COUNTIF('Floors'!$A$2:$A$2000,B$4))</f>
        <v/>
      </c>
      <c r="C5" s="13">
        <f>IF('Sites'!$A$3="","",COUNTIF('Floors'!$A$2:$A$2000,C$4))</f>
        <v/>
      </c>
      <c r="D5" s="13">
        <f>IF('Sites'!$A$4="","",COUNTIF('Floors'!$A$2:$A$2000,D$4))</f>
        <v/>
      </c>
      <c r="E5" s="13">
        <f>IF('Sites'!$A$5="","",COUNTIF('Floors'!$A$2:$A$2000,E$4))</f>
        <v/>
      </c>
      <c r="F5" s="13">
        <f>IF('Sites'!$A$6="","",COUNTIF('Floors'!$A$2:$A$2000,F$4))</f>
        <v/>
      </c>
      <c r="G5" s="13">
        <f>IF('Sites'!$A$7="","",COUNTIF('Floors'!$A$2:$A$2000,G$4))</f>
        <v/>
      </c>
      <c r="H5" s="14">
        <f>SUM(B5:G5)</f>
        <v/>
      </c>
    </row>
    <row r="6">
      <c r="A6" s="9" t="inlineStr">
        <is>
          <t>Rooms</t>
        </is>
      </c>
      <c r="B6" s="13">
        <f>IF('Sites'!$A$2="","",COUNTIF('Rooms'!$A$2:$A$2000,B$4))</f>
        <v/>
      </c>
      <c r="C6" s="13">
        <f>IF('Sites'!$A$3="","",COUNTIF('Rooms'!$A$2:$A$2000,C$4))</f>
        <v/>
      </c>
      <c r="D6" s="13">
        <f>IF('Sites'!$A$4="","",COUNTIF('Rooms'!$A$2:$A$2000,D$4))</f>
        <v/>
      </c>
      <c r="E6" s="13">
        <f>IF('Sites'!$A$5="","",COUNTIF('Rooms'!$A$2:$A$2000,E$4))</f>
        <v/>
      </c>
      <c r="F6" s="13">
        <f>IF('Sites'!$A$6="","",COUNTIF('Rooms'!$A$2:$A$2000,F$4))</f>
        <v/>
      </c>
      <c r="G6" s="13">
        <f>IF('Sites'!$A$7="","",COUNTIF('Rooms'!$A$2:$A$2000,G$4))</f>
        <v/>
      </c>
      <c r="H6" s="14">
        <f>SUM(B6:G6)</f>
        <v/>
      </c>
    </row>
    <row r="7">
      <c r="A7" s="9" t="inlineStr">
        <is>
          <t>Racks</t>
        </is>
      </c>
      <c r="B7" s="13">
        <f>IF('Sites'!$A$2="","",COUNTIF('Racks'!$B$2:$B$2000,B$4))</f>
        <v/>
      </c>
      <c r="C7" s="13">
        <f>IF('Sites'!$A$3="","",COUNTIF('Racks'!$B$2:$B$2000,C$4))</f>
        <v/>
      </c>
      <c r="D7" s="13">
        <f>IF('Sites'!$A$4="","",COUNTIF('Racks'!$B$2:$B$2000,D$4))</f>
        <v/>
      </c>
      <c r="E7" s="13">
        <f>IF('Sites'!$A$5="","",COUNTIF('Racks'!$B$2:$B$2000,E$4))</f>
        <v/>
      </c>
      <c r="F7" s="13">
        <f>IF('Sites'!$A$6="","",COUNTIF('Racks'!$B$2:$B$2000,F$4))</f>
        <v/>
      </c>
      <c r="G7" s="13">
        <f>IF('Sites'!$A$7="","",COUNTIF('Racks'!$B$2:$B$2000,G$4))</f>
        <v/>
      </c>
      <c r="H7" s="14">
        <f>SUM(B7:G7)</f>
        <v/>
      </c>
    </row>
    <row r="8">
      <c r="A8" s="9" t="inlineStr">
        <is>
          <t xml:space="preserve">  of which tenant cabinets</t>
        </is>
      </c>
      <c r="B8" s="13">
        <f>IF('Sites'!$A$2="","",COUNTIFS('Racks'!$B$2:$B$2000,B$4,'Racks'!$J$2:$J$2000,"tenant"))</f>
        <v/>
      </c>
      <c r="C8" s="13">
        <f>IF('Sites'!$A$3="","",COUNTIFS('Racks'!$B$2:$B$2000,C$4,'Racks'!$J$2:$J$2000,"tenant"))</f>
        <v/>
      </c>
      <c r="D8" s="13">
        <f>IF('Sites'!$A$4="","",COUNTIFS('Racks'!$B$2:$B$2000,D$4,'Racks'!$J$2:$J$2000,"tenant"))</f>
        <v/>
      </c>
      <c r="E8" s="13">
        <f>IF('Sites'!$A$5="","",COUNTIFS('Racks'!$B$2:$B$2000,E$4,'Racks'!$J$2:$J$2000,"tenant"))</f>
        <v/>
      </c>
      <c r="F8" s="13">
        <f>IF('Sites'!$A$6="","",COUNTIFS('Racks'!$B$2:$B$2000,F$4,'Racks'!$J$2:$J$2000,"tenant"))</f>
        <v/>
      </c>
      <c r="G8" s="13">
        <f>IF('Sites'!$A$7="","",COUNTIFS('Racks'!$B$2:$B$2000,G$4,'Racks'!$J$2:$J$2000,"tenant"))</f>
        <v/>
      </c>
      <c r="H8" s="14">
        <f>SUM(B8:G8)</f>
        <v/>
      </c>
    </row>
    <row r="9">
      <c r="A9" s="9" t="inlineStr">
        <is>
          <t xml:space="preserve">  of which AI / high-density</t>
        </is>
      </c>
      <c r="B9" s="13">
        <f>IF('Sites'!$A$2="","",COUNTIFS('Racks'!$B$2:$B$2000,B$4,'Racks'!$M$2:$M$2000,"ai"))</f>
        <v/>
      </c>
      <c r="C9" s="13">
        <f>IF('Sites'!$A$3="","",COUNTIFS('Racks'!$B$2:$B$2000,C$4,'Racks'!$M$2:$M$2000,"ai"))</f>
        <v/>
      </c>
      <c r="D9" s="13">
        <f>IF('Sites'!$A$4="","",COUNTIFS('Racks'!$B$2:$B$2000,D$4,'Racks'!$M$2:$M$2000,"ai"))</f>
        <v/>
      </c>
      <c r="E9" s="13">
        <f>IF('Sites'!$A$5="","",COUNTIFS('Racks'!$B$2:$B$2000,E$4,'Racks'!$M$2:$M$2000,"ai"))</f>
        <v/>
      </c>
      <c r="F9" s="13">
        <f>IF('Sites'!$A$6="","",COUNTIFS('Racks'!$B$2:$B$2000,F$4,'Racks'!$M$2:$M$2000,"ai"))</f>
        <v/>
      </c>
      <c r="G9" s="13">
        <f>IF('Sites'!$A$7="","",COUNTIFS('Racks'!$B$2:$B$2000,G$4,'Racks'!$M$2:$M$2000,"ai"))</f>
        <v/>
      </c>
      <c r="H9" s="14">
        <f>SUM(B9:G9)</f>
        <v/>
      </c>
    </row>
    <row r="10">
      <c r="A10" s="9" t="inlineStr">
        <is>
          <t>Rack power budget (kW)</t>
        </is>
      </c>
      <c r="B10" s="13">
        <f>IF('Sites'!$A$2="","",SUMIF('Racks'!$B$2:$B$2000,B$4,'Racks'!$I$2:$I$2000))</f>
        <v/>
      </c>
      <c r="C10" s="13">
        <f>IF('Sites'!$A$3="","",SUMIF('Racks'!$B$2:$B$2000,C$4,'Racks'!$I$2:$I$2000))</f>
        <v/>
      </c>
      <c r="D10" s="13">
        <f>IF('Sites'!$A$4="","",SUMIF('Racks'!$B$2:$B$2000,D$4,'Racks'!$I$2:$I$2000))</f>
        <v/>
      </c>
      <c r="E10" s="13">
        <f>IF('Sites'!$A$5="","",SUMIF('Racks'!$B$2:$B$2000,E$4,'Racks'!$I$2:$I$2000))</f>
        <v/>
      </c>
      <c r="F10" s="13">
        <f>IF('Sites'!$A$6="","",SUMIF('Racks'!$B$2:$B$2000,F$4,'Racks'!$I$2:$I$2000))</f>
        <v/>
      </c>
      <c r="G10" s="13">
        <f>IF('Sites'!$A$7="","",SUMIF('Racks'!$B$2:$B$2000,G$4,'Racks'!$I$2:$I$2000))</f>
        <v/>
      </c>
      <c r="H10" s="14">
        <f>SUM(B10:G10)</f>
        <v/>
      </c>
    </row>
    <row r="11">
      <c r="A11" s="9" t="inlineStr">
        <is>
          <t>Site IT capacity (kW)</t>
        </is>
      </c>
      <c r="B11" s="13">
        <f>IF('Sites'!$A$2="","",SUMIF('Sites'!$A$2:$A$2000,B$4,'Sites'!$O$2:$O$2000))</f>
        <v/>
      </c>
      <c r="C11" s="13">
        <f>IF('Sites'!$A$3="","",SUMIF('Sites'!$A$2:$A$2000,C$4,'Sites'!$O$2:$O$2000))</f>
        <v/>
      </c>
      <c r="D11" s="13">
        <f>IF('Sites'!$A$4="","",SUMIF('Sites'!$A$2:$A$2000,D$4,'Sites'!$O$2:$O$2000))</f>
        <v/>
      </c>
      <c r="E11" s="13">
        <f>IF('Sites'!$A$5="","",SUMIF('Sites'!$A$2:$A$2000,E$4,'Sites'!$O$2:$O$2000))</f>
        <v/>
      </c>
      <c r="F11" s="13">
        <f>IF('Sites'!$A$6="","",SUMIF('Sites'!$A$2:$A$2000,F$4,'Sites'!$O$2:$O$2000))</f>
        <v/>
      </c>
      <c r="G11" s="13">
        <f>IF('Sites'!$A$7="","",SUMIF('Sites'!$A$2:$A$2000,G$4,'Sites'!$O$2:$O$2000))</f>
        <v/>
      </c>
      <c r="H11" s="14">
        <f>SUM(B11:G11)</f>
        <v/>
      </c>
    </row>
    <row r="12">
      <c r="A12" s="9" t="inlineStr">
        <is>
          <t>Devices (all)</t>
        </is>
      </c>
      <c r="B12" s="13">
        <f>IF('Sites'!$A$2="","",COUNTIFS('Devices'!$B$2:$B$2000,B$4))</f>
        <v/>
      </c>
      <c r="C12" s="13">
        <f>IF('Sites'!$A$3="","",COUNTIFS('Devices'!$B$2:$B$2000,C$4))</f>
        <v/>
      </c>
      <c r="D12" s="13">
        <f>IF('Sites'!$A$4="","",COUNTIFS('Devices'!$B$2:$B$2000,D$4))</f>
        <v/>
      </c>
      <c r="E12" s="13">
        <f>IF('Sites'!$A$5="","",COUNTIFS('Devices'!$B$2:$B$2000,E$4))</f>
        <v/>
      </c>
      <c r="F12" s="13">
        <f>IF('Sites'!$A$6="","",COUNTIFS('Devices'!$B$2:$B$2000,F$4))</f>
        <v/>
      </c>
      <c r="G12" s="13">
        <f>IF('Sites'!$A$7="","",COUNTIFS('Devices'!$B$2:$B$2000,G$4))</f>
        <v/>
      </c>
      <c r="H12" s="14">
        <f>SUM(B12:G12)</f>
        <v/>
      </c>
    </row>
    <row r="13">
      <c r="A13" s="9" t="inlineStr">
        <is>
          <t xml:space="preserve">  operator devices</t>
        </is>
      </c>
      <c r="B13" s="13">
        <f>IF('Sites'!$A$2="","",COUNTIFS('Devices'!$B$2:$B$2000,B$4,'Devices'!$P$2:$P$2000,"operator"))</f>
        <v/>
      </c>
      <c r="C13" s="13">
        <f>IF('Sites'!$A$3="","",COUNTIFS('Devices'!$B$2:$B$2000,C$4,'Devices'!$P$2:$P$2000,"operator"))</f>
        <v/>
      </c>
      <c r="D13" s="13">
        <f>IF('Sites'!$A$4="","",COUNTIFS('Devices'!$B$2:$B$2000,D$4,'Devices'!$P$2:$P$2000,"operator"))</f>
        <v/>
      </c>
      <c r="E13" s="13">
        <f>IF('Sites'!$A$5="","",COUNTIFS('Devices'!$B$2:$B$2000,E$4,'Devices'!$P$2:$P$2000,"operator"))</f>
        <v/>
      </c>
      <c r="F13" s="13">
        <f>IF('Sites'!$A$6="","",COUNTIFS('Devices'!$B$2:$B$2000,F$4,'Devices'!$P$2:$P$2000,"operator"))</f>
        <v/>
      </c>
      <c r="G13" s="13">
        <f>IF('Sites'!$A$7="","",COUNTIFS('Devices'!$B$2:$B$2000,G$4,'Devices'!$P$2:$P$2000,"operator"))</f>
        <v/>
      </c>
      <c r="H13" s="14">
        <f>SUM(B13:G13)</f>
        <v/>
      </c>
    </row>
    <row r="14">
      <c r="A14" s="9" t="inlineStr">
        <is>
          <t xml:space="preserve">  tenant gear blocks</t>
        </is>
      </c>
      <c r="B14" s="13">
        <f>IF('Sites'!$A$2="","",COUNTIFS('Devices'!$B$2:$B$2000,B$4,'Devices'!$P$2:$P$2000,"tenant"))</f>
        <v/>
      </c>
      <c r="C14" s="13">
        <f>IF('Sites'!$A$3="","",COUNTIFS('Devices'!$B$2:$B$2000,C$4,'Devices'!$P$2:$P$2000,"tenant"))</f>
        <v/>
      </c>
      <c r="D14" s="13">
        <f>IF('Sites'!$A$4="","",COUNTIFS('Devices'!$B$2:$B$2000,D$4,'Devices'!$P$2:$P$2000,"tenant"))</f>
        <v/>
      </c>
      <c r="E14" s="13">
        <f>IF('Sites'!$A$5="","",COUNTIFS('Devices'!$B$2:$B$2000,E$4,'Devices'!$P$2:$P$2000,"tenant"))</f>
        <v/>
      </c>
      <c r="F14" s="13">
        <f>IF('Sites'!$A$6="","",COUNTIFS('Devices'!$B$2:$B$2000,F$4,'Devices'!$P$2:$P$2000,"tenant"))</f>
        <v/>
      </c>
      <c r="G14" s="13">
        <f>IF('Sites'!$A$7="","",COUNTIFS('Devices'!$B$2:$B$2000,G$4,'Devices'!$P$2:$P$2000,"tenant"))</f>
        <v/>
      </c>
      <c r="H14" s="14">
        <f>SUM(B14:G14)</f>
        <v/>
      </c>
    </row>
    <row r="15">
      <c r="A15" s="9" t="inlineStr">
        <is>
          <t xml:space="preserve">  GPU nodes</t>
        </is>
      </c>
      <c r="B15" s="13">
        <f>IF('Sites'!$A$2="","",COUNTIFS('Devices'!$B$2:$B$2000,B$4,'Devices'!$D$2:$D$2000,"GPU"))</f>
        <v/>
      </c>
      <c r="C15" s="13">
        <f>IF('Sites'!$A$3="","",COUNTIFS('Devices'!$B$2:$B$2000,C$4,'Devices'!$D$2:$D$2000,"GPU"))</f>
        <v/>
      </c>
      <c r="D15" s="13">
        <f>IF('Sites'!$A$4="","",COUNTIFS('Devices'!$B$2:$B$2000,D$4,'Devices'!$D$2:$D$2000,"GPU"))</f>
        <v/>
      </c>
      <c r="E15" s="13">
        <f>IF('Sites'!$A$5="","",COUNTIFS('Devices'!$B$2:$B$2000,E$4,'Devices'!$D$2:$D$2000,"GPU"))</f>
        <v/>
      </c>
      <c r="F15" s="13">
        <f>IF('Sites'!$A$6="","",COUNTIFS('Devices'!$B$2:$B$2000,F$4,'Devices'!$D$2:$D$2000,"GPU"))</f>
        <v/>
      </c>
      <c r="G15" s="13">
        <f>IF('Sites'!$A$7="","",COUNTIFS('Devices'!$B$2:$B$2000,G$4,'Devices'!$D$2:$D$2000,"GPU"))</f>
        <v/>
      </c>
      <c r="H15" s="14">
        <f>SUM(B15:G15)</f>
        <v/>
      </c>
    </row>
    <row r="16">
      <c r="A16" s="9" t="inlineStr">
        <is>
          <t xml:space="preserve">  network (routers, firewalls, switches)</t>
        </is>
      </c>
      <c r="B16" s="13">
        <f>IF('Sites'!$A$2="","",COUNTIFS('Devices'!$B$2:$B$2000,B$4,'Devices'!$D$2:$D$2000,"Router")+COUNTIFS('Devices'!$B$2:$B$2000,B$4,'Devices'!$D$2:$D$2000,"Firewall")+COUNTIFS('Devices'!$B$2:$B$2000,B$4,'Devices'!$D$2:$D$2000,"Switch"))</f>
        <v/>
      </c>
      <c r="C16" s="13">
        <f>IF('Sites'!$A$3="","",COUNTIFS('Devices'!$B$2:$B$2000,C$4,'Devices'!$D$2:$D$2000,"Router")+COUNTIFS('Devices'!$B$2:$B$2000,C$4,'Devices'!$D$2:$D$2000,"Firewall")+COUNTIFS('Devices'!$B$2:$B$2000,C$4,'Devices'!$D$2:$D$2000,"Switch"))</f>
        <v/>
      </c>
      <c r="D16" s="13">
        <f>IF('Sites'!$A$4="","",COUNTIFS('Devices'!$B$2:$B$2000,D$4,'Devices'!$D$2:$D$2000,"Router")+COUNTIFS('Devices'!$B$2:$B$2000,D$4,'Devices'!$D$2:$D$2000,"Firewall")+COUNTIFS('Devices'!$B$2:$B$2000,D$4,'Devices'!$D$2:$D$2000,"Switch"))</f>
        <v/>
      </c>
      <c r="E16" s="13">
        <f>IF('Sites'!$A$5="","",COUNTIFS('Devices'!$B$2:$B$2000,E$4,'Devices'!$D$2:$D$2000,"Router")+COUNTIFS('Devices'!$B$2:$B$2000,E$4,'Devices'!$D$2:$D$2000,"Firewall")+COUNTIFS('Devices'!$B$2:$B$2000,E$4,'Devices'!$D$2:$D$2000,"Switch"))</f>
        <v/>
      </c>
      <c r="F16" s="13">
        <f>IF('Sites'!$A$6="","",COUNTIFS('Devices'!$B$2:$B$2000,F$4,'Devices'!$D$2:$D$2000,"Router")+COUNTIFS('Devices'!$B$2:$B$2000,F$4,'Devices'!$D$2:$D$2000,"Firewall")+COUNTIFS('Devices'!$B$2:$B$2000,F$4,'Devices'!$D$2:$D$2000,"Switch"))</f>
        <v/>
      </c>
      <c r="G16" s="13">
        <f>IF('Sites'!$A$7="","",COUNTIFS('Devices'!$B$2:$B$2000,G$4,'Devices'!$D$2:$D$2000,"Router")+COUNTIFS('Devices'!$B$2:$B$2000,G$4,'Devices'!$D$2:$D$2000,"Firewall")+COUNTIFS('Devices'!$B$2:$B$2000,G$4,'Devices'!$D$2:$D$2000,"Switch"))</f>
        <v/>
      </c>
      <c r="H16" s="14">
        <f>SUM(B16:G16)</f>
        <v/>
      </c>
    </row>
    <row r="17">
      <c r="A17" s="9" t="inlineStr">
        <is>
          <t>UPS units</t>
        </is>
      </c>
      <c r="B17" s="13">
        <f>IF('Sites'!$A$2="","",COUNTIF('UPS'!$B$2:$B$2000,B$4))</f>
        <v/>
      </c>
      <c r="C17" s="13">
        <f>IF('Sites'!$A$3="","",COUNTIF('UPS'!$B$2:$B$2000,C$4))</f>
        <v/>
      </c>
      <c r="D17" s="13">
        <f>IF('Sites'!$A$4="","",COUNTIF('UPS'!$B$2:$B$2000,D$4))</f>
        <v/>
      </c>
      <c r="E17" s="13">
        <f>IF('Sites'!$A$5="","",COUNTIF('UPS'!$B$2:$B$2000,E$4))</f>
        <v/>
      </c>
      <c r="F17" s="13">
        <f>IF('Sites'!$A$6="","",COUNTIF('UPS'!$B$2:$B$2000,F$4))</f>
        <v/>
      </c>
      <c r="G17" s="13">
        <f>IF('Sites'!$A$7="","",COUNTIF('UPS'!$B$2:$B$2000,G$4))</f>
        <v/>
      </c>
      <c r="H17" s="14">
        <f>SUM(B17:G17)</f>
        <v/>
      </c>
    </row>
    <row r="18">
      <c r="A18" s="9" t="inlineStr">
        <is>
          <t>UPS capacity (kW)</t>
        </is>
      </c>
      <c r="B18" s="13">
        <f>IF('Sites'!$A$2="","",SUMIF('UPS'!$B$2:$B$2000,B$4,'UPS'!$H$2:$H$2000))</f>
        <v/>
      </c>
      <c r="C18" s="13">
        <f>IF('Sites'!$A$3="","",SUMIF('UPS'!$B$2:$B$2000,C$4,'UPS'!$H$2:$H$2000))</f>
        <v/>
      </c>
      <c r="D18" s="13">
        <f>IF('Sites'!$A$4="","",SUMIF('UPS'!$B$2:$B$2000,D$4,'UPS'!$H$2:$H$2000))</f>
        <v/>
      </c>
      <c r="E18" s="13">
        <f>IF('Sites'!$A$5="","",SUMIF('UPS'!$B$2:$B$2000,E$4,'UPS'!$H$2:$H$2000))</f>
        <v/>
      </c>
      <c r="F18" s="13">
        <f>IF('Sites'!$A$6="","",SUMIF('UPS'!$B$2:$B$2000,F$4,'UPS'!$H$2:$H$2000))</f>
        <v/>
      </c>
      <c r="G18" s="13">
        <f>IF('Sites'!$A$7="","",SUMIF('UPS'!$B$2:$B$2000,G$4,'UPS'!$H$2:$H$2000))</f>
        <v/>
      </c>
      <c r="H18" s="14">
        <f>SUM(B18:G18)</f>
        <v/>
      </c>
    </row>
    <row r="19">
      <c r="A19" s="9" t="inlineStr">
        <is>
          <t>Generators</t>
        </is>
      </c>
      <c r="B19" s="13">
        <f>IF('Sites'!$A$2="","",COUNTIF('Generators'!$B$2:$B$2000,B$4))</f>
        <v/>
      </c>
      <c r="C19" s="13">
        <f>IF('Sites'!$A$3="","",COUNTIF('Generators'!$B$2:$B$2000,C$4))</f>
        <v/>
      </c>
      <c r="D19" s="13">
        <f>IF('Sites'!$A$4="","",COUNTIF('Generators'!$B$2:$B$2000,D$4))</f>
        <v/>
      </c>
      <c r="E19" s="13">
        <f>IF('Sites'!$A$5="","",COUNTIF('Generators'!$B$2:$B$2000,E$4))</f>
        <v/>
      </c>
      <c r="F19" s="13">
        <f>IF('Sites'!$A$6="","",COUNTIF('Generators'!$B$2:$B$2000,F$4))</f>
        <v/>
      </c>
      <c r="G19" s="13">
        <f>IF('Sites'!$A$7="","",COUNTIF('Generators'!$B$2:$B$2000,G$4))</f>
        <v/>
      </c>
      <c r="H19" s="14">
        <f>SUM(B19:G19)</f>
        <v/>
      </c>
    </row>
    <row r="20">
      <c r="A20" s="9" t="inlineStr">
        <is>
          <t>Cooling units</t>
        </is>
      </c>
      <c r="B20" s="13">
        <f>IF('Sites'!$A$2="","",COUNTIF('Cooling_Units'!$B$2:$B$2000,B$4))</f>
        <v/>
      </c>
      <c r="C20" s="13">
        <f>IF('Sites'!$A$3="","",COUNTIF('Cooling_Units'!$B$2:$B$2000,C$4))</f>
        <v/>
      </c>
      <c r="D20" s="13">
        <f>IF('Sites'!$A$4="","",COUNTIF('Cooling_Units'!$B$2:$B$2000,D$4))</f>
        <v/>
      </c>
      <c r="E20" s="13">
        <f>IF('Sites'!$A$5="","",COUNTIF('Cooling_Units'!$B$2:$B$2000,E$4))</f>
        <v/>
      </c>
      <c r="F20" s="13">
        <f>IF('Sites'!$A$6="","",COUNTIF('Cooling_Units'!$B$2:$B$2000,F$4))</f>
        <v/>
      </c>
      <c r="G20" s="13">
        <f>IF('Sites'!$A$7="","",COUNTIF('Cooling_Units'!$B$2:$B$2000,G$4))</f>
        <v/>
      </c>
      <c r="H20" s="14">
        <f>SUM(B20:G20)</f>
        <v/>
      </c>
    </row>
    <row r="21">
      <c r="A21" s="9" t="inlineStr">
        <is>
          <t>Cooling unit capacity (kW)</t>
        </is>
      </c>
      <c r="B21" s="13">
        <f>IF('Sites'!$A$2="","",SUMIF('Cooling_Units'!$B$2:$B$2000,B$4,'Cooling_Units'!$H$2:$H$2000))</f>
        <v/>
      </c>
      <c r="C21" s="13">
        <f>IF('Sites'!$A$3="","",SUMIF('Cooling_Units'!$B$2:$B$2000,C$4,'Cooling_Units'!$H$2:$H$2000))</f>
        <v/>
      </c>
      <c r="D21" s="13">
        <f>IF('Sites'!$A$4="","",SUMIF('Cooling_Units'!$B$2:$B$2000,D$4,'Cooling_Units'!$H$2:$H$2000))</f>
        <v/>
      </c>
      <c r="E21" s="13">
        <f>IF('Sites'!$A$5="","",SUMIF('Cooling_Units'!$B$2:$B$2000,E$4,'Cooling_Units'!$H$2:$H$2000))</f>
        <v/>
      </c>
      <c r="F21" s="13">
        <f>IF('Sites'!$A$6="","",SUMIF('Cooling_Units'!$B$2:$B$2000,F$4,'Cooling_Units'!$H$2:$H$2000))</f>
        <v/>
      </c>
      <c r="G21" s="13">
        <f>IF('Sites'!$A$7="","",SUMIF('Cooling_Units'!$B$2:$B$2000,G$4,'Cooling_Units'!$H$2:$H$2000))</f>
        <v/>
      </c>
      <c r="H21" s="14">
        <f>SUM(B21:G21)</f>
        <v/>
      </c>
    </row>
    <row r="22">
      <c r="A22" s="9" t="inlineStr">
        <is>
          <t>Sensors</t>
        </is>
      </c>
      <c r="B22" s="13">
        <f>IF('Sites'!$A$2="","",COUNTIF('Sensors'!$B$2:$B$2000,B$4))</f>
        <v/>
      </c>
      <c r="C22" s="13">
        <f>IF('Sites'!$A$3="","",COUNTIF('Sensors'!$B$2:$B$2000,C$4))</f>
        <v/>
      </c>
      <c r="D22" s="13">
        <f>IF('Sites'!$A$4="","",COUNTIF('Sensors'!$B$2:$B$2000,D$4))</f>
        <v/>
      </c>
      <c r="E22" s="13">
        <f>IF('Sites'!$A$5="","",COUNTIF('Sensors'!$B$2:$B$2000,E$4))</f>
        <v/>
      </c>
      <c r="F22" s="13">
        <f>IF('Sites'!$A$6="","",COUNTIF('Sensors'!$B$2:$B$2000,F$4))</f>
        <v/>
      </c>
      <c r="G22" s="13">
        <f>IF('Sites'!$A$7="","",COUNTIF('Sensors'!$B$2:$B$2000,G$4))</f>
        <v/>
      </c>
      <c r="H22" s="14">
        <f>SUM(B22:G22)</f>
        <v/>
      </c>
    </row>
    <row r="23">
      <c r="A23" s="9" t="inlineStr">
        <is>
          <t>Collectors</t>
        </is>
      </c>
      <c r="B23" s="13">
        <f>IF('Sites'!$A$2="","",COUNTIF('Collectors'!$B$2:$B$2000,B$4))</f>
        <v/>
      </c>
      <c r="C23" s="13">
        <f>IF('Sites'!$A$3="","",COUNTIF('Collectors'!$B$2:$B$2000,C$4))</f>
        <v/>
      </c>
      <c r="D23" s="13">
        <f>IF('Sites'!$A$4="","",COUNTIF('Collectors'!$B$2:$B$2000,D$4))</f>
        <v/>
      </c>
      <c r="E23" s="13">
        <f>IF('Sites'!$A$5="","",COUNTIF('Collectors'!$B$2:$B$2000,E$4))</f>
        <v/>
      </c>
      <c r="F23" s="13">
        <f>IF('Sites'!$A$6="","",COUNTIF('Collectors'!$B$2:$B$2000,F$4))</f>
        <v/>
      </c>
      <c r="G23" s="13">
        <f>IF('Sites'!$A$7="","",COUNTIF('Collectors'!$B$2:$B$2000,G$4))</f>
        <v/>
      </c>
      <c r="H23" s="14">
        <f>SUM(B23:G23)</f>
        <v/>
      </c>
    </row>
    <row r="24">
      <c r="A24" s="9" t="inlineStr">
        <is>
          <t>Services</t>
        </is>
      </c>
      <c r="B24" s="13">
        <f>IF('Sites'!$A$2="","",COUNTIF('Services'!$D$2:$D$2000,B$4))</f>
        <v/>
      </c>
      <c r="C24" s="13">
        <f>IF('Sites'!$A$3="","",COUNTIF('Services'!$D$2:$D$2000,C$4))</f>
        <v/>
      </c>
      <c r="D24" s="13">
        <f>IF('Sites'!$A$4="","",COUNTIF('Services'!$D$2:$D$2000,D$4))</f>
        <v/>
      </c>
      <c r="E24" s="13">
        <f>IF('Sites'!$A$5="","",COUNTIF('Services'!$D$2:$D$2000,E$4))</f>
        <v/>
      </c>
      <c r="F24" s="13">
        <f>IF('Sites'!$A$6="","",COUNTIF('Services'!$D$2:$D$2000,F$4))</f>
        <v/>
      </c>
      <c r="G24" s="13">
        <f>IF('Sites'!$A$7="","",COUNTIF('Services'!$D$2:$D$2000,G$4))</f>
        <v/>
      </c>
      <c r="H24" s="14">
        <f>SUM(B24:G24)</f>
        <v/>
      </c>
    </row>
    <row r="25">
      <c r="A25" s="9" t="inlineStr">
        <is>
          <t>Services monthly revenue (₹)</t>
        </is>
      </c>
      <c r="B25" s="13">
        <f>IF('Sites'!$A$2="","",SUMIF('Services'!$D$2:$D$2000,B$4,'Services'!$M$2:$M$2000))</f>
        <v/>
      </c>
      <c r="C25" s="13">
        <f>IF('Sites'!$A$3="","",SUMIF('Services'!$D$2:$D$2000,C$4,'Services'!$M$2:$M$2000))</f>
        <v/>
      </c>
      <c r="D25" s="13">
        <f>IF('Sites'!$A$4="","",SUMIF('Services'!$D$2:$D$2000,D$4,'Services'!$M$2:$M$2000))</f>
        <v/>
      </c>
      <c r="E25" s="13">
        <f>IF('Sites'!$A$5="","",SUMIF('Services'!$D$2:$D$2000,E$4,'Services'!$M$2:$M$2000))</f>
        <v/>
      </c>
      <c r="F25" s="13">
        <f>IF('Sites'!$A$6="","",SUMIF('Services'!$D$2:$D$2000,F$4,'Services'!$M$2:$M$2000))</f>
        <v/>
      </c>
      <c r="G25" s="13">
        <f>IF('Sites'!$A$7="","",SUMIF('Services'!$D$2:$D$2000,G$4,'Services'!$M$2:$M$2000))</f>
        <v/>
      </c>
      <c r="H25" s="14">
        <f>SUM(B25:G25)</f>
        <v/>
      </c>
    </row>
    <row r="28">
      <c r="A28" s="3" t="inlineStr">
        <is>
          <t>Checks</t>
        </is>
      </c>
    </row>
    <row r="29">
      <c r="A29" s="5" t="inlineStr">
        <is>
          <t>Check</t>
        </is>
      </c>
      <c r="B29" s="5" t="inlineStr">
        <is>
          <t>Result</t>
        </is>
      </c>
      <c r="C29" s="5" t="inlineStr">
        <is>
          <t>Why it matters</t>
        </is>
      </c>
    </row>
    <row r="30">
      <c r="A30" s="9" t="inlineStr">
        <is>
          <t>Every device sits in a rack that exists</t>
        </is>
      </c>
      <c r="B30" s="15">
        <f>IF(SUMPRODUCT(--(COUNTIF('Racks'!$A$2:$A$2000,'Devices'!$L$2:$L$44)=0))=0,"OK","FIX: unknown rack_id")</f>
        <v/>
      </c>
      <c r="C30" s="9" t="inlineStr">
        <is>
          <t>The twin and rack views place devices by rack_id.</t>
        </is>
      </c>
    </row>
    <row r="31">
      <c r="A31" s="9" t="inlineStr">
        <is>
          <t>No rack is over-filled (used U ≤ height U)</t>
        </is>
      </c>
      <c r="B31" s="15">
        <f>IF(SUMPRODUCT(--('Racks'!$R$2:$R$21&gt;'Racks'!$H$2:$H$21))=0,"OK","FIX: rack over capacity")</f>
        <v/>
      </c>
      <c r="C31" s="9" t="inlineStr">
        <is>
          <t>used_u is calculated from Devices.</t>
        </is>
      </c>
    </row>
    <row r="32">
      <c r="A32" s="9" t="inlineStr">
        <is>
          <t>Device IDs are unique</t>
        </is>
      </c>
      <c r="B32" s="15">
        <f>IF(SUMPRODUCT(--(COUNTIF('Devices'!$A$2:$A$44,'Devices'!$A$2:$A$44)&gt;1))=0,"OK","FIX: duplicate device_id")</f>
        <v/>
      </c>
      <c r="C32" s="9" t="inlineStr">
        <is>
          <t>Alarms and incidents key on the device ID.</t>
        </is>
      </c>
    </row>
    <row r="33">
      <c r="A33" s="9" t="inlineStr">
        <is>
          <t>Operator serial numbers are unique</t>
        </is>
      </c>
      <c r="B33" s="15">
        <f>IF(SUMPRODUCT(('Devices'!$I$2:$I$44&lt;&gt;"")*(COUNTIF('Devices'!$I$2:$I$44,'Devices'!$I$2:$I$44)&gt;1))=0,"OK","FIX: duplicate serial")</f>
        <v/>
      </c>
      <c r="C33" s="9" t="inlineStr">
        <is>
          <t>Discovery matches the polled serial against this one.</t>
        </is>
      </c>
    </row>
    <row r="34">
      <c r="A34" s="9" t="inlineStr">
        <is>
          <t>Tenant racks name a tenant and contracted kW</t>
        </is>
      </c>
      <c r="B34" s="15">
        <f>IF(COUNTIFS('Racks'!$J$2:$J$21,"tenant",'Racks'!$K$2:$K$21,"")+COUNTIFS('Racks'!$J$2:$J$21,"tenant",'Racks'!$L$2:$L$21,"")=0,"OK","FIX: tenant rack missing data")</f>
        <v/>
      </c>
      <c r="C34" s="9" t="inlineStr">
        <is>
          <t>Colocation power-over-contract is measured against it.</t>
        </is>
      </c>
    </row>
    <row r="35">
      <c r="A35" s="9" t="inlineStr">
        <is>
          <t>Liquid racks name a CDU</t>
        </is>
      </c>
      <c r="B35" s="15">
        <f>IF(COUNTIFS('Racks'!$N$2:$N$21,"Y",'Racks'!$O$2:$O$21,"")=0,"OK","FIX: liquid rack without CDU")</f>
        <v/>
      </c>
      <c r="C35" s="9" t="inlineStr">
        <is>
          <t>A CDU fault is traced to the racks it feeds.</t>
        </is>
      </c>
    </row>
    <row r="36">
      <c r="A36" s="9" t="inlineStr">
        <is>
          <t>Rack budget fits site IT capacity</t>
        </is>
      </c>
      <c r="B36" s="15">
        <f>IF(SUMPRODUCT(--(B10:G10&gt;B11:G11))=0,"OK","CHECK: racks exceed IT capacity")</f>
        <v/>
      </c>
      <c r="C36" s="9" t="inlineStr">
        <is>
          <t>Power and space views compare the two.</t>
        </is>
      </c>
    </row>
    <row r="37">
      <c r="A37" s="9" t="inlineStr">
        <is>
          <t>GPU nodes = Devices with role GPU</t>
        </is>
      </c>
      <c r="B37" s="15">
        <f>IF(COUNTA('GPU_Nodes'!$A$2:$A$2000)=COUNTIF('Devices'!$D$2:$D$2000,"GPU"),"OK","FIX: GPU_Nodes and Devices differ")</f>
        <v/>
      </c>
      <c r="C37" s="9" t="inlineStr">
        <is>
          <t>Each GPU node needs a rack position and a telemetry record.</t>
        </is>
      </c>
    </row>
    <row r="38">
      <c r="A38" s="9" t="inlineStr">
        <is>
          <t>Customer revenue = sum of services</t>
        </is>
      </c>
      <c r="B38" s="15">
        <f>IF(ROUND(SUM('Customers'!$I$2:$I$2000)-SUM('Services'!$M$2:$M$2000),0)=0,"OK","FIX: a service names an unknown customer")</f>
        <v/>
      </c>
      <c r="C38" s="9" t="inlineStr">
        <is>
          <t>Revenue impact adds up only if every service has a customer.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BD9"/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19" customWidth="1" min="4" max="4"/>
    <col width="11" customWidth="1" min="5" max="5"/>
    <col width="10" customWidth="1" min="6" max="6"/>
    <col width="13" customWidth="1" min="7" max="7"/>
    <col width="11" customWidth="1" min="8" max="8"/>
    <col width="16" customWidth="1" min="9" max="9"/>
    <col width="10" customWidth="1" min="10" max="10"/>
    <col width="48" customWidth="1" min="11" max="11"/>
    <col width="13" customWidth="1" min="12" max="12"/>
    <col width="14" customWidth="1" min="13" max="13"/>
    <col width="20" customWidth="1" min="14" max="14"/>
    <col width="19" customWidth="1" min="15" max="15"/>
    <col width="15" customWidth="1" min="16" max="16"/>
    <col width="24" customWidth="1" min="17" max="17"/>
    <col width="23" customWidth="1" min="18" max="18"/>
    <col width="14" customWidth="1" min="19" max="19"/>
  </cols>
  <sheetData>
    <row r="1" ht="30" customHeight="1">
      <c r="A1" s="16" t="inlineStr">
        <is>
          <t>site_id *</t>
        </is>
      </c>
      <c r="B1" s="16" t="inlineStr">
        <is>
          <t>site_name *</t>
        </is>
      </c>
      <c r="C1" s="17" t="inlineStr">
        <is>
          <t>operator</t>
        </is>
      </c>
      <c r="D1" s="16" t="inlineStr">
        <is>
          <t>business_model *</t>
        </is>
      </c>
      <c r="E1" s="16" t="inlineStr">
        <is>
          <t>status *</t>
        </is>
      </c>
      <c r="F1" s="16" t="inlineStr">
        <is>
          <t>tier *</t>
        </is>
      </c>
      <c r="G1" s="16" t="inlineStr">
        <is>
          <t>category *</t>
        </is>
      </c>
      <c r="H1" s="16" t="inlineStr">
        <is>
          <t>region *</t>
        </is>
      </c>
      <c r="I1" s="16" t="inlineStr">
        <is>
          <t>state *</t>
        </is>
      </c>
      <c r="J1" s="16" t="inlineStr">
        <is>
          <t>city *</t>
        </is>
      </c>
      <c r="K1" s="16" t="inlineStr">
        <is>
          <t>address *</t>
        </is>
      </c>
      <c r="L1" s="16" t="inlineStr">
        <is>
          <t>latitude *</t>
        </is>
      </c>
      <c r="M1" s="16" t="inlineStr">
        <is>
          <t>longitude *</t>
        </is>
      </c>
      <c r="N1" s="17" t="inlineStr">
        <is>
          <t>commissioned_on</t>
        </is>
      </c>
      <c r="O1" s="16" t="inlineStr">
        <is>
          <t>it_capacity_kw *</t>
        </is>
      </c>
      <c r="P1" s="17" t="inlineStr">
        <is>
          <t>design_pue</t>
        </is>
      </c>
      <c r="Q1" s="16" t="inlineStr">
        <is>
          <t>cooling_capacity_kw *</t>
        </is>
      </c>
      <c r="R1" s="16" t="inlineStr">
        <is>
          <t>cooling_redundancy *</t>
        </is>
      </c>
      <c r="S1" s="17" t="inlineStr">
        <is>
          <t>timezone</t>
        </is>
      </c>
    </row>
    <row r="2">
      <c r="A2" t="inlineStr">
        <is>
          <t>MP-DC-001</t>
        </is>
      </c>
      <c r="B2" t="inlineStr">
        <is>
          <t>RackBank Indore DC1</t>
        </is>
      </c>
      <c r="C2" t="inlineStr">
        <is>
          <t>RackBank Datacenters (sample)</t>
        </is>
      </c>
      <c r="D2" t="inlineStr">
        <is>
          <t>colocation</t>
        </is>
      </c>
      <c r="E2" t="inlineStr">
        <is>
          <t>on-air</t>
        </is>
      </c>
      <c r="F2" t="inlineStr">
        <is>
          <t>Tier III</t>
        </is>
      </c>
      <c r="G2" t="inlineStr">
        <is>
          <t>Central</t>
        </is>
      </c>
      <c r="H2" t="inlineStr">
        <is>
          <t>Central</t>
        </is>
      </c>
      <c r="I2" t="inlineStr">
        <is>
          <t>Madhya Pradesh</t>
        </is>
      </c>
      <c r="J2" t="inlineStr">
        <is>
          <t>Indore</t>
        </is>
      </c>
      <c r="K2" t="inlineStr">
        <is>
          <t>Plot 12, Sample IT Park, Indore 452010 (illustrative)</t>
        </is>
      </c>
      <c r="L2" t="n">
        <v>22.7196</v>
      </c>
      <c r="M2" t="n">
        <v>75.85769999999999</v>
      </c>
      <c r="N2" s="18" t="n">
        <v>44635</v>
      </c>
      <c r="O2" t="n">
        <v>1200</v>
      </c>
      <c r="P2" t="n">
        <v>1.45</v>
      </c>
      <c r="Q2" t="n">
        <v>1500</v>
      </c>
      <c r="R2" t="inlineStr">
        <is>
          <t>N+1</t>
        </is>
      </c>
      <c r="S2" t="inlineStr">
        <is>
          <t>Asia/Kolkata</t>
        </is>
      </c>
    </row>
    <row r="3">
      <c r="A3" t="inlineStr">
        <is>
          <t>TN-DC-002</t>
        </is>
      </c>
      <c r="B3" t="inlineStr">
        <is>
          <t>RackBank Chennai AI-1</t>
        </is>
      </c>
      <c r="C3" t="inlineStr">
        <is>
          <t>RackBank Datacenters (sample)</t>
        </is>
      </c>
      <c r="D3" t="inlineStr">
        <is>
          <t>neocloud</t>
        </is>
      </c>
      <c r="E3" t="inlineStr">
        <is>
          <t>on-air</t>
        </is>
      </c>
      <c r="F3" t="inlineStr">
        <is>
          <t>Tier III</t>
        </is>
      </c>
      <c r="G3" t="inlineStr">
        <is>
          <t>Regional</t>
        </is>
      </c>
      <c r="H3" t="inlineStr">
        <is>
          <t>South</t>
        </is>
      </c>
      <c r="I3" t="inlineStr">
        <is>
          <t>Tamil Nadu</t>
        </is>
      </c>
      <c r="J3" t="inlineStr">
        <is>
          <t>Chennai</t>
        </is>
      </c>
      <c r="K3" t="inlineStr">
        <is>
          <t>Survey 45, Sample Industrial Estate, Chennai 600058 (illustrative)</t>
        </is>
      </c>
      <c r="L3" t="n">
        <v>13.1143</v>
      </c>
      <c r="M3" t="n">
        <v>80.15479999999999</v>
      </c>
      <c r="N3" s="18" t="n">
        <v>45677</v>
      </c>
      <c r="O3" t="n">
        <v>2000</v>
      </c>
      <c r="P3" t="n">
        <v>1.25</v>
      </c>
      <c r="Q3" t="n">
        <v>2400</v>
      </c>
      <c r="R3" t="inlineStr">
        <is>
          <t>N+1</t>
        </is>
      </c>
      <c r="S3" t="inlineStr">
        <is>
          <t>Asia/Kolkata</t>
        </is>
      </c>
    </row>
  </sheetData>
  <autoFilter ref="A1:S3"/>
  <dataValidations count="5">
    <dataValidation sqref="D2:D2000" showDropDown="0" showInputMessage="0" showErrorMessage="1" allowBlank="1" errorTitle="Not an allowed value" error="Pick a value from the list (Lookups → business_model)." type="list">
      <formula1>=L_business_model</formula1>
    </dataValidation>
    <dataValidation sqref="E2:E2000" showDropDown="0" showInputMessage="0" showErrorMessage="1" allowBlank="1" errorTitle="Not an allowed value" error="Pick a value from the list (Lookups → site_status)." type="list">
      <formula1>=L_site_status</formula1>
    </dataValidation>
    <dataValidation sqref="F2:F2000" showDropDown="0" showInputMessage="0" showErrorMessage="1" allowBlank="1" errorTitle="Not an allowed value" error="Pick a value from the list (Lookups → tier)." type="list">
      <formula1>=L_tier</formula1>
    </dataValidation>
    <dataValidation sqref="G2:G2000" showDropDown="0" showInputMessage="0" showErrorMessage="1" allowBlank="1" errorTitle="Not an allowed value" error="Pick a value from the list (Lookups → site_category)." type="list">
      <formula1>=L_site_category</formula1>
    </dataValidation>
    <dataValidation sqref="R2:R2000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BD9"/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floor_name *</t>
        </is>
      </c>
      <c r="D1" s="16" t="inlineStr">
        <is>
          <t>level *</t>
        </is>
      </c>
    </row>
    <row r="2">
      <c r="A2" t="inlineStr">
        <is>
          <t>MP-DC-001</t>
        </is>
      </c>
      <c r="B2" t="inlineStr">
        <is>
          <t>MP-DC-001-F0</t>
        </is>
      </c>
      <c r="C2" t="inlineStr">
        <is>
          <t>Ground</t>
        </is>
      </c>
      <c r="D2" t="n">
        <v>0</v>
      </c>
    </row>
    <row r="3">
      <c r="A3" t="inlineStr">
        <is>
          <t>MP-DC-001</t>
        </is>
      </c>
      <c r="B3" t="inlineStr">
        <is>
          <t>MP-DC-001-F1</t>
        </is>
      </c>
      <c r="C3" t="inlineStr">
        <is>
          <t>1st floor</t>
        </is>
      </c>
      <c r="D3" t="n">
        <v>1</v>
      </c>
    </row>
    <row r="4">
      <c r="A4" t="inlineStr">
        <is>
          <t>TN-DC-002</t>
        </is>
      </c>
      <c r="B4" t="inlineStr">
        <is>
          <t>TN-DC-002-F0</t>
        </is>
      </c>
      <c r="C4" t="inlineStr">
        <is>
          <t>Ground</t>
        </is>
      </c>
      <c r="D4" t="n">
        <v>0</v>
      </c>
    </row>
    <row r="5">
      <c r="A5" t="inlineStr">
        <is>
          <t>TN-DC-002</t>
        </is>
      </c>
      <c r="B5" t="inlineStr">
        <is>
          <t>TN-DC-002-F1</t>
        </is>
      </c>
      <c r="C5" t="inlineStr">
        <is>
          <t>1st floor</t>
        </is>
      </c>
      <c r="D5" t="n">
        <v>1</v>
      </c>
    </row>
  </sheetData>
  <autoFilter ref="A1:D5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6BD9"/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4" customWidth="1" min="4" max="4"/>
    <col width="14" customWidth="1" min="5" max="5"/>
    <col width="13" customWidth="1" min="6" max="6"/>
    <col width="14" customWidth="1" min="7" max="7"/>
    <col width="16" customWidth="1" min="8" max="8"/>
    <col width="19" customWidth="1" min="9" max="9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room_id *</t>
        </is>
      </c>
      <c r="D1" s="16" t="inlineStr">
        <is>
          <t>room_name *</t>
        </is>
      </c>
      <c r="E1" s="16" t="inlineStr">
        <is>
          <t>room_type *</t>
        </is>
      </c>
      <c r="F1" s="17" t="inlineStr">
        <is>
          <t>area_sqm</t>
        </is>
      </c>
      <c r="G1" s="17" t="inlineStr">
        <is>
          <t>rack_rows</t>
        </is>
      </c>
      <c r="H1" s="17" t="inlineStr">
        <is>
          <t>containment</t>
        </is>
      </c>
      <c r="I1" s="17" t="inlineStr">
        <is>
          <t>cooling_method</t>
        </is>
      </c>
    </row>
    <row r="2">
      <c r="A2" t="inlineStr">
        <is>
          <t>MP-DC-001</t>
        </is>
      </c>
      <c r="B2" t="inlineStr">
        <is>
          <t>MP-DC-001-F0</t>
        </is>
      </c>
      <c r="C2" t="inlineStr">
        <is>
          <t>MP-DC-001-MMR</t>
        </is>
      </c>
      <c r="D2" t="inlineStr">
        <is>
          <t>Meet-me room</t>
        </is>
      </c>
      <c r="E2" t="inlineStr">
        <is>
          <t>Meet-me room</t>
        </is>
      </c>
      <c r="F2" t="n">
        <v>60</v>
      </c>
      <c r="G2" t="n">
        <v>1</v>
      </c>
      <c r="H2" t="inlineStr">
        <is>
          <t>None</t>
        </is>
      </c>
      <c r="I2" t="inlineStr">
        <is>
          <t>Air</t>
        </is>
      </c>
    </row>
    <row r="3">
      <c r="A3" t="inlineStr">
        <is>
          <t>MP-DC-001</t>
        </is>
      </c>
      <c r="B3" t="inlineStr">
        <is>
          <t>MP-DC-001-F0</t>
        </is>
      </c>
      <c r="C3" t="inlineStr">
        <is>
          <t>MP-DC-001-PLANT</t>
        </is>
      </c>
      <c r="D3" t="inlineStr">
        <is>
          <t>Plant room</t>
        </is>
      </c>
      <c r="E3" t="inlineStr">
        <is>
          <t>Plant room</t>
        </is>
      </c>
      <c r="F3" t="n">
        <v>140</v>
      </c>
      <c r="H3" t="inlineStr">
        <is>
          <t>None</t>
        </is>
      </c>
      <c r="I3" t="inlineStr">
        <is>
          <t>Air</t>
        </is>
      </c>
    </row>
    <row r="4">
      <c r="A4" t="inlineStr">
        <is>
          <t>MP-DC-001</t>
        </is>
      </c>
      <c r="B4" t="inlineStr">
        <is>
          <t>MP-DC-001-F1</t>
        </is>
      </c>
      <c r="C4" t="inlineStr">
        <is>
          <t>MP-DC-001-HALLA</t>
        </is>
      </c>
      <c r="D4" t="inlineStr">
        <is>
          <t>Hall A</t>
        </is>
      </c>
      <c r="E4" t="inlineStr">
        <is>
          <t>Data hall</t>
        </is>
      </c>
      <c r="F4" t="n">
        <v>420</v>
      </c>
      <c r="G4" t="n">
        <v>2</v>
      </c>
      <c r="H4" t="inlineStr">
        <is>
          <t>Cold aisle</t>
        </is>
      </c>
      <c r="I4" t="inlineStr">
        <is>
          <t>Air</t>
        </is>
      </c>
    </row>
    <row r="5">
      <c r="A5" t="inlineStr">
        <is>
          <t>MP-DC-001</t>
        </is>
      </c>
      <c r="B5" t="inlineStr">
        <is>
          <t>MP-DC-001-F1</t>
        </is>
      </c>
      <c r="C5" t="inlineStr">
        <is>
          <t>MP-DC-001-HALLB</t>
        </is>
      </c>
      <c r="D5" t="inlineStr">
        <is>
          <t>Hall B (AI cages)</t>
        </is>
      </c>
      <c r="E5" t="inlineStr">
        <is>
          <t>AI hall</t>
        </is>
      </c>
      <c r="F5" t="n">
        <v>260</v>
      </c>
      <c r="G5" t="n">
        <v>2</v>
      </c>
      <c r="H5" t="inlineStr">
        <is>
          <t>Hot aisle</t>
        </is>
      </c>
      <c r="I5" t="inlineStr">
        <is>
          <t>Liquid</t>
        </is>
      </c>
    </row>
    <row r="6">
      <c r="A6" t="inlineStr">
        <is>
          <t>TN-DC-002</t>
        </is>
      </c>
      <c r="B6" t="inlineStr">
        <is>
          <t>TN-DC-002-F0</t>
        </is>
      </c>
      <c r="C6" t="inlineStr">
        <is>
          <t>TN-DC-002-MMR</t>
        </is>
      </c>
      <c r="D6" t="inlineStr">
        <is>
          <t>Meet-me room</t>
        </is>
      </c>
      <c r="E6" t="inlineStr">
        <is>
          <t>Meet-me room</t>
        </is>
      </c>
      <c r="F6" t="n">
        <v>50</v>
      </c>
      <c r="G6" t="n">
        <v>1</v>
      </c>
      <c r="H6" t="inlineStr">
        <is>
          <t>None</t>
        </is>
      </c>
      <c r="I6" t="inlineStr">
        <is>
          <t>Air</t>
        </is>
      </c>
    </row>
    <row r="7">
      <c r="A7" t="inlineStr">
        <is>
          <t>TN-DC-002</t>
        </is>
      </c>
      <c r="B7" t="inlineStr">
        <is>
          <t>TN-DC-002-F0</t>
        </is>
      </c>
      <c r="C7" t="inlineStr">
        <is>
          <t>TN-DC-002-PLANT</t>
        </is>
      </c>
      <c r="D7" t="inlineStr">
        <is>
          <t>Plant room</t>
        </is>
      </c>
      <c r="E7" t="inlineStr">
        <is>
          <t>Plant room</t>
        </is>
      </c>
      <c r="F7" t="n">
        <v>180</v>
      </c>
      <c r="H7" t="inlineStr">
        <is>
          <t>None</t>
        </is>
      </c>
      <c r="I7" t="inlineStr">
        <is>
          <t>Air</t>
        </is>
      </c>
    </row>
    <row r="8">
      <c r="A8" t="inlineStr">
        <is>
          <t>TN-DC-002</t>
        </is>
      </c>
      <c r="B8" t="inlineStr">
        <is>
          <t>TN-DC-002-F1</t>
        </is>
      </c>
      <c r="C8" t="inlineStr">
        <is>
          <t>TN-DC-002-NET</t>
        </is>
      </c>
      <c r="D8" t="inlineStr">
        <is>
          <t>Network &amp; storage room</t>
        </is>
      </c>
      <c r="E8" t="inlineStr">
        <is>
          <t>Network room</t>
        </is>
      </c>
      <c r="F8" t="n">
        <v>120</v>
      </c>
      <c r="G8" t="n">
        <v>1</v>
      </c>
      <c r="H8" t="inlineStr">
        <is>
          <t>Cold aisle</t>
        </is>
      </c>
      <c r="I8" t="inlineStr">
        <is>
          <t>Air</t>
        </is>
      </c>
    </row>
    <row r="9">
      <c r="A9" t="inlineStr">
        <is>
          <t>TN-DC-002</t>
        </is>
      </c>
      <c r="B9" t="inlineStr">
        <is>
          <t>TN-DC-002-F1</t>
        </is>
      </c>
      <c r="C9" t="inlineStr">
        <is>
          <t>TN-DC-002-GPU1</t>
        </is>
      </c>
      <c r="D9" t="inlineStr">
        <is>
          <t>GPU hall 1</t>
        </is>
      </c>
      <c r="E9" t="inlineStr">
        <is>
          <t>AI hall</t>
        </is>
      </c>
      <c r="F9" t="n">
        <v>380</v>
      </c>
      <c r="G9" t="n">
        <v>2</v>
      </c>
      <c r="H9" t="inlineStr">
        <is>
          <t>Hot aisle</t>
        </is>
      </c>
      <c r="I9" t="inlineStr">
        <is>
          <t>Liquid</t>
        </is>
      </c>
    </row>
  </sheetData>
  <autoFilter ref="A1:I9"/>
  <dataValidations count="3">
    <dataValidation sqref="E2:E2000" showDropDown="0" showInputMessage="0" showErrorMessage="1" allowBlank="1" errorTitle="Not an allowed value" error="Pick a value from the list (Lookups → room_type)." type="list">
      <formula1>=L_room_type</formula1>
    </dataValidation>
    <dataValidation sqref="H2:H2000" showDropDown="0" showInputMessage="0" showErrorMessage="1" allowBlank="1" errorTitle="Not an allowed value" error="Pick a value from the list (Lookups → containment)." type="list">
      <formula1>=L_containment</formula1>
    </dataValidation>
    <dataValidation sqref="I2:I2000" showDropDown="0" showInputMessage="0" showErrorMessage="1" allowBlank="1" errorTitle="Not an allowed value" error="Pick a value from the list (Lookups → cooling_method)." type="list">
      <formula1>=L_cooling_method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6BD9"/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4" customWidth="1" min="4" max="4"/>
    <col width="10" customWidth="1" min="5" max="5"/>
    <col width="13" customWidth="1" min="6" max="6"/>
    <col width="14" customWidth="1" min="7" max="7"/>
    <col width="13" customWidth="1" min="8" max="8"/>
    <col width="20" customWidth="1" min="9" max="9"/>
    <col width="10" customWidth="1" min="10" max="10"/>
    <col width="23" customWidth="1" min="11" max="11"/>
    <col width="18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18" customWidth="1" min="18" max="18"/>
  </cols>
  <sheetData>
    <row r="1" ht="30" customHeight="1">
      <c r="A1" s="16" t="inlineStr">
        <is>
          <t>rack_id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rack_name *</t>
        </is>
      </c>
      <c r="E1" s="17" t="inlineStr">
        <is>
          <t>row</t>
        </is>
      </c>
      <c r="F1" s="17" t="inlineStr">
        <is>
          <t>position</t>
        </is>
      </c>
      <c r="G1" s="16" t="inlineStr">
        <is>
          <t>role *</t>
        </is>
      </c>
      <c r="H1" s="16" t="inlineStr">
        <is>
          <t>height_u *</t>
        </is>
      </c>
      <c r="I1" s="16" t="inlineStr">
        <is>
          <t>power_budget_kw *</t>
        </is>
      </c>
      <c r="J1" s="16" t="inlineStr">
        <is>
          <t>owner *</t>
        </is>
      </c>
      <c r="K1" s="19" t="inlineStr">
        <is>
          <t>tenant_customer_id</t>
        </is>
      </c>
      <c r="L1" s="19" t="inlineStr">
        <is>
          <t>contracted_kw</t>
        </is>
      </c>
      <c r="M1" s="17" t="inlineStr">
        <is>
          <t>density</t>
        </is>
      </c>
      <c r="N1" s="17" t="inlineStr">
        <is>
          <t>liquid_cooled</t>
        </is>
      </c>
      <c r="O1" s="19" t="inlineStr">
        <is>
          <t>cdu_id</t>
        </is>
      </c>
      <c r="P1" s="17" t="inlineStr">
        <is>
          <t>pdu_feed_a</t>
        </is>
      </c>
      <c r="Q1" s="17" t="inlineStr">
        <is>
          <t>pdu_feed_b</t>
        </is>
      </c>
      <c r="R1" s="20" t="inlineStr">
        <is>
          <t>used_u (calc)</t>
        </is>
      </c>
    </row>
    <row r="2">
      <c r="A2" t="inlineStr">
        <is>
          <t>MP-DC-001-MMR-R01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MMR-R01</t>
        </is>
      </c>
      <c r="E2" t="inlineStr">
        <is>
          <t>M</t>
        </is>
      </c>
      <c r="F2" t="n">
        <v>1</v>
      </c>
      <c r="G2" t="inlineStr">
        <is>
          <t>Core</t>
        </is>
      </c>
      <c r="H2" t="n">
        <v>45</v>
      </c>
      <c r="I2" t="n">
        <v>12</v>
      </c>
      <c r="J2" t="inlineStr">
        <is>
          <t>operator</t>
        </is>
      </c>
      <c r="M2" t="inlineStr">
        <is>
          <t>standard</t>
        </is>
      </c>
      <c r="N2" t="inlineStr">
        <is>
          <t>N</t>
        </is>
      </c>
      <c r="P2" t="inlineStr">
        <is>
          <t>MP-DC-001-AC-1</t>
        </is>
      </c>
      <c r="Q2" t="inlineStr">
        <is>
          <t>MP-DC-001-AC-2</t>
        </is>
      </c>
      <c r="R2" s="21">
        <f>SUMIF('Devices'!$L$2:$L$2000,A2,'Devices'!$N$2:$N$2000)</f>
        <v/>
      </c>
    </row>
    <row r="3">
      <c r="A3" t="inlineStr">
        <is>
          <t>MP-DC-001-MMR-R02</t>
        </is>
      </c>
      <c r="B3" t="inlineStr">
        <is>
          <t>MP-DC-001</t>
        </is>
      </c>
      <c r="C3" t="inlineStr">
        <is>
          <t>MP-DC-001-MMR</t>
        </is>
      </c>
      <c r="D3" t="inlineStr">
        <is>
          <t>MMR-R02</t>
        </is>
      </c>
      <c r="E3" t="inlineStr">
        <is>
          <t>M</t>
        </is>
      </c>
      <c r="F3" t="n">
        <v>2</v>
      </c>
      <c r="G3" t="inlineStr">
        <is>
          <t>Meet-me room</t>
        </is>
      </c>
      <c r="H3" t="n">
        <v>45</v>
      </c>
      <c r="I3" t="n">
        <v>6</v>
      </c>
      <c r="J3" t="inlineStr">
        <is>
          <t>operator</t>
        </is>
      </c>
      <c r="M3" t="inlineStr">
        <is>
          <t>standard</t>
        </is>
      </c>
      <c r="N3" t="inlineStr">
        <is>
          <t>N</t>
        </is>
      </c>
      <c r="P3" t="inlineStr">
        <is>
          <t>MP-DC-001-AC-1</t>
        </is>
      </c>
      <c r="Q3" t="inlineStr">
        <is>
          <t>MP-DC-001-AC-2</t>
        </is>
      </c>
      <c r="R3" s="21">
        <f>SUMIF('Devices'!$L$2:$L$2000,A3,'Devices'!$N$2:$N$2000)</f>
        <v/>
      </c>
    </row>
    <row r="4">
      <c r="A4" t="inlineStr">
        <is>
          <t>MP-DC-001-A01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A01</t>
        </is>
      </c>
      <c r="E4" t="inlineStr">
        <is>
          <t>A</t>
        </is>
      </c>
      <c r="F4" t="n">
        <v>1</v>
      </c>
      <c r="G4" t="inlineStr">
        <is>
          <t>Aggregation</t>
        </is>
      </c>
      <c r="H4" t="n">
        <v>45</v>
      </c>
      <c r="I4" t="n">
        <v>10</v>
      </c>
      <c r="J4" t="inlineStr">
        <is>
          <t>operator</t>
        </is>
      </c>
      <c r="M4" t="inlineStr">
        <is>
          <t>standard</t>
        </is>
      </c>
      <c r="N4" t="inlineStr">
        <is>
          <t>N</t>
        </is>
      </c>
      <c r="P4" t="inlineStr">
        <is>
          <t>MP-DC-001-AC-1</t>
        </is>
      </c>
      <c r="Q4" t="inlineStr">
        <is>
          <t>MP-DC-001-AC-2</t>
        </is>
      </c>
      <c r="R4" s="21">
        <f>SUMIF('Devices'!$L$2:$L$2000,A4,'Devices'!$N$2:$N$2000)</f>
        <v/>
      </c>
    </row>
    <row r="5">
      <c r="A5" t="inlineStr">
        <is>
          <t>MP-DC-001-A02</t>
        </is>
      </c>
      <c r="B5" t="inlineStr">
        <is>
          <t>MP-DC-001</t>
        </is>
      </c>
      <c r="C5" t="inlineStr">
        <is>
          <t>MP-DC-001-HALLA</t>
        </is>
      </c>
      <c r="D5" t="inlineStr">
        <is>
          <t>A02</t>
        </is>
      </c>
      <c r="E5" t="inlineStr">
        <is>
          <t>A</t>
        </is>
      </c>
      <c r="F5" t="n">
        <v>2</v>
      </c>
      <c r="G5" t="inlineStr">
        <is>
          <t>Tenant</t>
        </is>
      </c>
      <c r="H5" t="n">
        <v>42</v>
      </c>
      <c r="I5" t="n">
        <v>8</v>
      </c>
      <c r="J5" t="inlineStr">
        <is>
          <t>tenant</t>
        </is>
      </c>
      <c r="K5" t="inlineStr">
        <is>
          <t>CUST-001</t>
        </is>
      </c>
      <c r="L5" t="n">
        <v>6</v>
      </c>
      <c r="M5" t="inlineStr">
        <is>
          <t>standard</t>
        </is>
      </c>
      <c r="N5" t="inlineStr">
        <is>
          <t>N</t>
        </is>
      </c>
      <c r="P5" t="inlineStr">
        <is>
          <t>MP-DC-001-AC-1</t>
        </is>
      </c>
      <c r="Q5" t="inlineStr">
        <is>
          <t>MP-DC-001-AC-2</t>
        </is>
      </c>
      <c r="R5" s="21">
        <f>SUMIF('Devices'!$L$2:$L$2000,A5,'Devices'!$N$2:$N$2000)</f>
        <v/>
      </c>
    </row>
    <row r="6">
      <c r="A6" t="inlineStr">
        <is>
          <t>MP-DC-001-A03</t>
        </is>
      </c>
      <c r="B6" t="inlineStr">
        <is>
          <t>MP-DC-001</t>
        </is>
      </c>
      <c r="C6" t="inlineStr">
        <is>
          <t>MP-DC-001-HALLA</t>
        </is>
      </c>
      <c r="D6" t="inlineStr">
        <is>
          <t>A03</t>
        </is>
      </c>
      <c r="E6" t="inlineStr">
        <is>
          <t>A</t>
        </is>
      </c>
      <c r="F6" t="n">
        <v>3</v>
      </c>
      <c r="G6" t="inlineStr">
        <is>
          <t>Tenant</t>
        </is>
      </c>
      <c r="H6" t="n">
        <v>42</v>
      </c>
      <c r="I6" t="n">
        <v>8</v>
      </c>
      <c r="J6" t="inlineStr">
        <is>
          <t>tenant</t>
        </is>
      </c>
      <c r="K6" t="inlineStr">
        <is>
          <t>CUST-001</t>
        </is>
      </c>
      <c r="L6" t="n">
        <v>6</v>
      </c>
      <c r="M6" t="inlineStr">
        <is>
          <t>standard</t>
        </is>
      </c>
      <c r="N6" t="inlineStr">
        <is>
          <t>N</t>
        </is>
      </c>
      <c r="P6" t="inlineStr">
        <is>
          <t>MP-DC-001-AC-1</t>
        </is>
      </c>
      <c r="Q6" t="inlineStr">
        <is>
          <t>MP-DC-001-AC-2</t>
        </is>
      </c>
      <c r="R6" s="21">
        <f>SUMIF('Devices'!$L$2:$L$2000,A6,'Devices'!$N$2:$N$2000)</f>
        <v/>
      </c>
    </row>
    <row r="7">
      <c r="A7" t="inlineStr">
        <is>
          <t>MP-DC-001-A04</t>
        </is>
      </c>
      <c r="B7" t="inlineStr">
        <is>
          <t>MP-DC-001</t>
        </is>
      </c>
      <c r="C7" t="inlineStr">
        <is>
          <t>MP-DC-001-HALLA</t>
        </is>
      </c>
      <c r="D7" t="inlineStr">
        <is>
          <t>A04</t>
        </is>
      </c>
      <c r="E7" t="inlineStr">
        <is>
          <t>B</t>
        </is>
      </c>
      <c r="F7" t="n">
        <v>1</v>
      </c>
      <c r="G7" t="inlineStr">
        <is>
          <t>Tenant</t>
        </is>
      </c>
      <c r="H7" t="n">
        <v>42</v>
      </c>
      <c r="I7" t="n">
        <v>10</v>
      </c>
      <c r="J7" t="inlineStr">
        <is>
          <t>tenant</t>
        </is>
      </c>
      <c r="K7" t="inlineStr">
        <is>
          <t>CUST-002</t>
        </is>
      </c>
      <c r="L7" t="n">
        <v>8</v>
      </c>
      <c r="M7" t="inlineStr">
        <is>
          <t>standard</t>
        </is>
      </c>
      <c r="N7" t="inlineStr">
        <is>
          <t>N</t>
        </is>
      </c>
      <c r="P7" t="inlineStr">
        <is>
          <t>MP-DC-001-AC-1</t>
        </is>
      </c>
      <c r="Q7" t="inlineStr">
        <is>
          <t>MP-DC-001-AC-2</t>
        </is>
      </c>
      <c r="R7" s="21">
        <f>SUMIF('Devices'!$L$2:$L$2000,A7,'Devices'!$N$2:$N$2000)</f>
        <v/>
      </c>
    </row>
    <row r="8">
      <c r="A8" t="inlineStr">
        <is>
          <t>MP-DC-001-A05</t>
        </is>
      </c>
      <c r="B8" t="inlineStr">
        <is>
          <t>MP-DC-001</t>
        </is>
      </c>
      <c r="C8" t="inlineStr">
        <is>
          <t>MP-DC-001-HALLA</t>
        </is>
      </c>
      <c r="D8" t="inlineStr">
        <is>
          <t>A05</t>
        </is>
      </c>
      <c r="E8" t="inlineStr">
        <is>
          <t>B</t>
        </is>
      </c>
      <c r="F8" t="n">
        <v>2</v>
      </c>
      <c r="G8" t="inlineStr">
        <is>
          <t>Tenant</t>
        </is>
      </c>
      <c r="H8" t="n">
        <v>42</v>
      </c>
      <c r="I8" t="n">
        <v>8</v>
      </c>
      <c r="J8" t="inlineStr">
        <is>
          <t>tenant</t>
        </is>
      </c>
      <c r="K8" t="inlineStr">
        <is>
          <t>CUST-003</t>
        </is>
      </c>
      <c r="L8" t="n">
        <v>6</v>
      </c>
      <c r="M8" t="inlineStr">
        <is>
          <t>standard</t>
        </is>
      </c>
      <c r="N8" t="inlineStr">
        <is>
          <t>N</t>
        </is>
      </c>
      <c r="P8" t="inlineStr">
        <is>
          <t>MP-DC-001-AC-1</t>
        </is>
      </c>
      <c r="Q8" t="inlineStr">
        <is>
          <t>MP-DC-001-AC-2</t>
        </is>
      </c>
      <c r="R8" s="21">
        <f>SUMIF('Devices'!$L$2:$L$2000,A8,'Devices'!$N$2:$N$2000)</f>
        <v/>
      </c>
    </row>
    <row r="9">
      <c r="A9" t="inlineStr">
        <is>
          <t>MP-DC-001-A06</t>
        </is>
      </c>
      <c r="B9" t="inlineStr">
        <is>
          <t>MP-DC-001</t>
        </is>
      </c>
      <c r="C9" t="inlineStr">
        <is>
          <t>MP-DC-001-HALLA</t>
        </is>
      </c>
      <c r="D9" t="inlineStr">
        <is>
          <t>A06</t>
        </is>
      </c>
      <c r="E9" t="inlineStr">
        <is>
          <t>B</t>
        </is>
      </c>
      <c r="F9" t="n">
        <v>3</v>
      </c>
      <c r="G9" t="inlineStr">
        <is>
          <t>Tenant</t>
        </is>
      </c>
      <c r="H9" t="n">
        <v>42</v>
      </c>
      <c r="I9" t="n">
        <v>8</v>
      </c>
      <c r="J9" t="inlineStr">
        <is>
          <t>tenant</t>
        </is>
      </c>
      <c r="K9" t="inlineStr">
        <is>
          <t>CUST-003</t>
        </is>
      </c>
      <c r="L9" t="n">
        <v>6</v>
      </c>
      <c r="M9" t="inlineStr">
        <is>
          <t>standard</t>
        </is>
      </c>
      <c r="N9" t="inlineStr">
        <is>
          <t>N</t>
        </is>
      </c>
      <c r="P9" t="inlineStr">
        <is>
          <t>MP-DC-001-AC-1</t>
        </is>
      </c>
      <c r="Q9" t="inlineStr">
        <is>
          <t>MP-DC-001-AC-2</t>
        </is>
      </c>
      <c r="R9" s="21">
        <f>SUMIF('Devices'!$L$2:$L$2000,A9,'Devices'!$N$2:$N$2000)</f>
        <v/>
      </c>
    </row>
    <row r="10">
      <c r="A10" t="inlineStr">
        <is>
          <t>MP-DC-001-B01</t>
        </is>
      </c>
      <c r="B10" t="inlineStr">
        <is>
          <t>MP-DC-001</t>
        </is>
      </c>
      <c r="C10" t="inlineStr">
        <is>
          <t>MP-DC-001-HALLB</t>
        </is>
      </c>
      <c r="D10" t="inlineStr">
        <is>
          <t>B01</t>
        </is>
      </c>
      <c r="E10" t="inlineStr">
        <is>
          <t>C</t>
        </is>
      </c>
      <c r="F10" t="n">
        <v>1</v>
      </c>
      <c r="G10" t="inlineStr">
        <is>
          <t>AI cage</t>
        </is>
      </c>
      <c r="H10" t="n">
        <v>48</v>
      </c>
      <c r="I10" t="n">
        <v>50</v>
      </c>
      <c r="J10" t="inlineStr">
        <is>
          <t>tenant</t>
        </is>
      </c>
      <c r="K10" t="inlineStr">
        <is>
          <t>CUST-004</t>
        </is>
      </c>
      <c r="L10" t="n">
        <v>40</v>
      </c>
      <c r="M10" t="inlineStr">
        <is>
          <t>ai</t>
        </is>
      </c>
      <c r="N10" t="inlineStr">
        <is>
          <t>Y</t>
        </is>
      </c>
      <c r="O10" t="inlineStr">
        <is>
          <t>MP-DC-001-CDU-01</t>
        </is>
      </c>
      <c r="P10" t="inlineStr">
        <is>
          <t>MP-DC-001-AC-1</t>
        </is>
      </c>
      <c r="Q10" t="inlineStr">
        <is>
          <t>MP-DC-001-AC-2</t>
        </is>
      </c>
      <c r="R10" s="21">
        <f>SUMIF('Devices'!$L$2:$L$2000,A10,'Devices'!$N$2:$N$2000)</f>
        <v/>
      </c>
    </row>
    <row r="11">
      <c r="A11" t="inlineStr">
        <is>
          <t>MP-DC-001-B02</t>
        </is>
      </c>
      <c r="B11" t="inlineStr">
        <is>
          <t>MP-DC-001</t>
        </is>
      </c>
      <c r="C11" t="inlineStr">
        <is>
          <t>MP-DC-001-HALLB</t>
        </is>
      </c>
      <c r="D11" t="inlineStr">
        <is>
          <t>B02</t>
        </is>
      </c>
      <c r="E11" t="inlineStr">
        <is>
          <t>C</t>
        </is>
      </c>
      <c r="F11" t="n">
        <v>2</v>
      </c>
      <c r="G11" t="inlineStr">
        <is>
          <t>AI cage</t>
        </is>
      </c>
      <c r="H11" t="n">
        <v>48</v>
      </c>
      <c r="I11" t="n">
        <v>50</v>
      </c>
      <c r="J11" t="inlineStr">
        <is>
          <t>tenant</t>
        </is>
      </c>
      <c r="K11" t="inlineStr">
        <is>
          <t>CUST-004</t>
        </is>
      </c>
      <c r="L11" t="n">
        <v>40</v>
      </c>
      <c r="M11" t="inlineStr">
        <is>
          <t>ai</t>
        </is>
      </c>
      <c r="N11" t="inlineStr">
        <is>
          <t>Y</t>
        </is>
      </c>
      <c r="O11" t="inlineStr">
        <is>
          <t>MP-DC-001-CDU-01</t>
        </is>
      </c>
      <c r="P11" t="inlineStr">
        <is>
          <t>MP-DC-001-AC-1</t>
        </is>
      </c>
      <c r="Q11" t="inlineStr">
        <is>
          <t>MP-DC-001-AC-2</t>
        </is>
      </c>
      <c r="R11" s="21">
        <f>SUMIF('Devices'!$L$2:$L$2000,A11,'Devices'!$N$2:$N$2000)</f>
        <v/>
      </c>
    </row>
    <row r="12">
      <c r="A12" t="inlineStr">
        <is>
          <t>MP-DC-001-B03</t>
        </is>
      </c>
      <c r="B12" t="inlineStr">
        <is>
          <t>MP-DC-001</t>
        </is>
      </c>
      <c r="C12" t="inlineStr">
        <is>
          <t>MP-DC-001-HALLB</t>
        </is>
      </c>
      <c r="D12" t="inlineStr">
        <is>
          <t>B03</t>
        </is>
      </c>
      <c r="E12" t="inlineStr">
        <is>
          <t>D</t>
        </is>
      </c>
      <c r="F12" t="n">
        <v>1</v>
      </c>
      <c r="G12" t="inlineStr">
        <is>
          <t>AI cage</t>
        </is>
      </c>
      <c r="H12" t="n">
        <v>48</v>
      </c>
      <c r="I12" t="n">
        <v>50</v>
      </c>
      <c r="J12" t="inlineStr">
        <is>
          <t>tenant</t>
        </is>
      </c>
      <c r="K12" t="inlineStr">
        <is>
          <t>CUST-004</t>
        </is>
      </c>
      <c r="L12" t="n">
        <v>40</v>
      </c>
      <c r="M12" t="inlineStr">
        <is>
          <t>ai</t>
        </is>
      </c>
      <c r="N12" t="inlineStr">
        <is>
          <t>Y</t>
        </is>
      </c>
      <c r="O12" t="inlineStr">
        <is>
          <t>MP-DC-001-CDU-01</t>
        </is>
      </c>
      <c r="P12" t="inlineStr">
        <is>
          <t>MP-DC-001-AC-1</t>
        </is>
      </c>
      <c r="Q12" t="inlineStr">
        <is>
          <t>MP-DC-001-AC-2</t>
        </is>
      </c>
      <c r="R12" s="21">
        <f>SUMIF('Devices'!$L$2:$L$2000,A12,'Devices'!$N$2:$N$2000)</f>
        <v/>
      </c>
    </row>
    <row r="13">
      <c r="A13" t="inlineStr">
        <is>
          <t>MP-DC-001-B04</t>
        </is>
      </c>
      <c r="B13" t="inlineStr">
        <is>
          <t>MP-DC-001</t>
        </is>
      </c>
      <c r="C13" t="inlineStr">
        <is>
          <t>MP-DC-001-HALLB</t>
        </is>
      </c>
      <c r="D13" t="inlineStr">
        <is>
          <t>B04</t>
        </is>
      </c>
      <c r="E13" t="inlineStr">
        <is>
          <t>D</t>
        </is>
      </c>
      <c r="F13" t="n">
        <v>2</v>
      </c>
      <c r="G13" t="inlineStr">
        <is>
          <t>AI cage</t>
        </is>
      </c>
      <c r="H13" t="n">
        <v>48</v>
      </c>
      <c r="I13" t="n">
        <v>50</v>
      </c>
      <c r="J13" t="inlineStr">
        <is>
          <t>tenant</t>
        </is>
      </c>
      <c r="K13" t="inlineStr">
        <is>
          <t>CUST-004</t>
        </is>
      </c>
      <c r="L13" t="n">
        <v>40</v>
      </c>
      <c r="M13" t="inlineStr">
        <is>
          <t>ai</t>
        </is>
      </c>
      <c r="N13" t="inlineStr">
        <is>
          <t>Y</t>
        </is>
      </c>
      <c r="O13" t="inlineStr">
        <is>
          <t>MP-DC-001-CDU-01</t>
        </is>
      </c>
      <c r="P13" t="inlineStr">
        <is>
          <t>MP-DC-001-AC-1</t>
        </is>
      </c>
      <c r="Q13" t="inlineStr">
        <is>
          <t>MP-DC-001-AC-2</t>
        </is>
      </c>
      <c r="R13" s="21">
        <f>SUMIF('Devices'!$L$2:$L$2000,A13,'Devices'!$N$2:$N$2000)</f>
        <v/>
      </c>
    </row>
    <row r="14">
      <c r="A14" t="inlineStr">
        <is>
          <t>TN-DC-002-MMR-R01</t>
        </is>
      </c>
      <c r="B14" t="inlineStr">
        <is>
          <t>TN-DC-002</t>
        </is>
      </c>
      <c r="C14" t="inlineStr">
        <is>
          <t>TN-DC-002-MMR</t>
        </is>
      </c>
      <c r="D14" t="inlineStr">
        <is>
          <t>MMR-R01</t>
        </is>
      </c>
      <c r="E14" t="inlineStr">
        <is>
          <t>M</t>
        </is>
      </c>
      <c r="F14" t="n">
        <v>1</v>
      </c>
      <c r="G14" t="inlineStr">
        <is>
          <t>Core</t>
        </is>
      </c>
      <c r="H14" t="n">
        <v>45</v>
      </c>
      <c r="I14" t="n">
        <v>12</v>
      </c>
      <c r="J14" t="inlineStr">
        <is>
          <t>operator</t>
        </is>
      </c>
      <c r="M14" t="inlineStr">
        <is>
          <t>standard</t>
        </is>
      </c>
      <c r="N14" t="inlineStr">
        <is>
          <t>N</t>
        </is>
      </c>
      <c r="P14" t="inlineStr">
        <is>
          <t>TN-DC-002-AC-1</t>
        </is>
      </c>
      <c r="Q14" t="inlineStr">
        <is>
          <t>TN-DC-002-AC-2</t>
        </is>
      </c>
      <c r="R14" s="21">
        <f>SUMIF('Devices'!$L$2:$L$2000,A14,'Devices'!$N$2:$N$2000)</f>
        <v/>
      </c>
    </row>
    <row r="15">
      <c r="A15" t="inlineStr">
        <is>
          <t>TN-DC-002-NET-R01</t>
        </is>
      </c>
      <c r="B15" t="inlineStr">
        <is>
          <t>TN-DC-002</t>
        </is>
      </c>
      <c r="C15" t="inlineStr">
        <is>
          <t>TN-DC-002-NET</t>
        </is>
      </c>
      <c r="D15" t="inlineStr">
        <is>
          <t>NET-R01</t>
        </is>
      </c>
      <c r="E15" t="inlineStr">
        <is>
          <t>N</t>
        </is>
      </c>
      <c r="F15" t="n">
        <v>1</v>
      </c>
      <c r="G15" t="inlineStr">
        <is>
          <t>Network</t>
        </is>
      </c>
      <c r="H15" t="n">
        <v>45</v>
      </c>
      <c r="I15" t="n">
        <v>15</v>
      </c>
      <c r="J15" t="inlineStr">
        <is>
          <t>operator</t>
        </is>
      </c>
      <c r="M15" t="inlineStr">
        <is>
          <t>standard</t>
        </is>
      </c>
      <c r="N15" t="inlineStr">
        <is>
          <t>N</t>
        </is>
      </c>
      <c r="P15" t="inlineStr">
        <is>
          <t>TN-DC-002-AC-1</t>
        </is>
      </c>
      <c r="Q15" t="inlineStr">
        <is>
          <t>TN-DC-002-AC-2</t>
        </is>
      </c>
      <c r="R15" s="21">
        <f>SUMIF('Devices'!$L$2:$L$2000,A15,'Devices'!$N$2:$N$2000)</f>
        <v/>
      </c>
    </row>
    <row r="16">
      <c r="A16" t="inlineStr">
        <is>
          <t>TN-DC-002-NET-R02</t>
        </is>
      </c>
      <c r="B16" t="inlineStr">
        <is>
          <t>TN-DC-002</t>
        </is>
      </c>
      <c r="C16" t="inlineStr">
        <is>
          <t>TN-DC-002-NET</t>
        </is>
      </c>
      <c r="D16" t="inlineStr">
        <is>
          <t>NET-R02</t>
        </is>
      </c>
      <c r="E16" t="inlineStr">
        <is>
          <t>N</t>
        </is>
      </c>
      <c r="F16" t="n">
        <v>2</v>
      </c>
      <c r="G16" t="inlineStr">
        <is>
          <t>Network</t>
        </is>
      </c>
      <c r="H16" t="n">
        <v>45</v>
      </c>
      <c r="I16" t="n">
        <v>15</v>
      </c>
      <c r="J16" t="inlineStr">
        <is>
          <t>operator</t>
        </is>
      </c>
      <c r="M16" t="inlineStr">
        <is>
          <t>standard</t>
        </is>
      </c>
      <c r="N16" t="inlineStr">
        <is>
          <t>N</t>
        </is>
      </c>
      <c r="P16" t="inlineStr">
        <is>
          <t>TN-DC-002-AC-1</t>
        </is>
      </c>
      <c r="Q16" t="inlineStr">
        <is>
          <t>TN-DC-002-AC-2</t>
        </is>
      </c>
      <c r="R16" s="21">
        <f>SUMIF('Devices'!$L$2:$L$2000,A16,'Devices'!$N$2:$N$2000)</f>
        <v/>
      </c>
    </row>
    <row r="17">
      <c r="A17" t="inlineStr">
        <is>
          <t>TN-DC-002-STG-R01</t>
        </is>
      </c>
      <c r="B17" t="inlineStr">
        <is>
          <t>TN-DC-002</t>
        </is>
      </c>
      <c r="C17" t="inlineStr">
        <is>
          <t>TN-DC-002-NET</t>
        </is>
      </c>
      <c r="D17" t="inlineStr">
        <is>
          <t>STG-R01</t>
        </is>
      </c>
      <c r="E17" t="inlineStr">
        <is>
          <t>N</t>
        </is>
      </c>
      <c r="F17" t="n">
        <v>3</v>
      </c>
      <c r="G17" t="inlineStr">
        <is>
          <t>Storage</t>
        </is>
      </c>
      <c r="H17" t="n">
        <v>45</v>
      </c>
      <c r="I17" t="n">
        <v>20</v>
      </c>
      <c r="J17" t="inlineStr">
        <is>
          <t>operator</t>
        </is>
      </c>
      <c r="M17" t="inlineStr">
        <is>
          <t>standard</t>
        </is>
      </c>
      <c r="N17" t="inlineStr">
        <is>
          <t>N</t>
        </is>
      </c>
      <c r="P17" t="inlineStr">
        <is>
          <t>TN-DC-002-AC-1</t>
        </is>
      </c>
      <c r="Q17" t="inlineStr">
        <is>
          <t>TN-DC-002-AC-2</t>
        </is>
      </c>
      <c r="R17" s="21">
        <f>SUMIF('Devices'!$L$2:$L$2000,A17,'Devices'!$N$2:$N$2000)</f>
        <v/>
      </c>
    </row>
    <row r="18">
      <c r="A18" t="inlineStr">
        <is>
          <t>TN-DC-002-GPU-R01</t>
        </is>
      </c>
      <c r="B18" t="inlineStr">
        <is>
          <t>TN-DC-002</t>
        </is>
      </c>
      <c r="C18" t="inlineStr">
        <is>
          <t>TN-DC-002-GPU1</t>
        </is>
      </c>
      <c r="D18" t="inlineStr">
        <is>
          <t>GPU-R01</t>
        </is>
      </c>
      <c r="E18" t="inlineStr">
        <is>
          <t>G</t>
        </is>
      </c>
      <c r="F18" t="n">
        <v>1</v>
      </c>
      <c r="G18" t="inlineStr">
        <is>
          <t>GPU</t>
        </is>
      </c>
      <c r="H18" t="n">
        <v>48</v>
      </c>
      <c r="I18" t="n">
        <v>60</v>
      </c>
      <c r="J18" t="inlineStr">
        <is>
          <t>operator</t>
        </is>
      </c>
      <c r="M18" t="inlineStr">
        <is>
          <t>ai</t>
        </is>
      </c>
      <c r="N18" t="inlineStr">
        <is>
          <t>Y</t>
        </is>
      </c>
      <c r="O18" t="inlineStr">
        <is>
          <t>TN-DC-002-CDU-01</t>
        </is>
      </c>
      <c r="P18" t="inlineStr">
        <is>
          <t>TN-DC-002-AC-1</t>
        </is>
      </c>
      <c r="Q18" t="inlineStr">
        <is>
          <t>TN-DC-002-AC-2</t>
        </is>
      </c>
      <c r="R18" s="21">
        <f>SUMIF('Devices'!$L$2:$L$2000,A18,'Devices'!$N$2:$N$2000)</f>
        <v/>
      </c>
    </row>
    <row r="19">
      <c r="A19" t="inlineStr">
        <is>
          <t>TN-DC-002-GPU-R02</t>
        </is>
      </c>
      <c r="B19" t="inlineStr">
        <is>
          <t>TN-DC-002</t>
        </is>
      </c>
      <c r="C19" t="inlineStr">
        <is>
          <t>TN-DC-002-GPU1</t>
        </is>
      </c>
      <c r="D19" t="inlineStr">
        <is>
          <t>GPU-R02</t>
        </is>
      </c>
      <c r="E19" t="inlineStr">
        <is>
          <t>G</t>
        </is>
      </c>
      <c r="F19" t="n">
        <v>2</v>
      </c>
      <c r="G19" t="inlineStr">
        <is>
          <t>GPU</t>
        </is>
      </c>
      <c r="H19" t="n">
        <v>48</v>
      </c>
      <c r="I19" t="n">
        <v>60</v>
      </c>
      <c r="J19" t="inlineStr">
        <is>
          <t>operator</t>
        </is>
      </c>
      <c r="M19" t="inlineStr">
        <is>
          <t>ai</t>
        </is>
      </c>
      <c r="N19" t="inlineStr">
        <is>
          <t>Y</t>
        </is>
      </c>
      <c r="O19" t="inlineStr">
        <is>
          <t>TN-DC-002-CDU-01</t>
        </is>
      </c>
      <c r="P19" t="inlineStr">
        <is>
          <t>TN-DC-002-AC-1</t>
        </is>
      </c>
      <c r="Q19" t="inlineStr">
        <is>
          <t>TN-DC-002-AC-2</t>
        </is>
      </c>
      <c r="R19" s="21">
        <f>SUMIF('Devices'!$L$2:$L$2000,A19,'Devices'!$N$2:$N$2000)</f>
        <v/>
      </c>
    </row>
    <row r="20">
      <c r="A20" t="inlineStr">
        <is>
          <t>TN-DC-002-GPU-R03</t>
        </is>
      </c>
      <c r="B20" t="inlineStr">
        <is>
          <t>TN-DC-002</t>
        </is>
      </c>
      <c r="C20" t="inlineStr">
        <is>
          <t>TN-DC-002-GPU1</t>
        </is>
      </c>
      <c r="D20" t="inlineStr">
        <is>
          <t>GPU-R03</t>
        </is>
      </c>
      <c r="E20" t="inlineStr">
        <is>
          <t>H</t>
        </is>
      </c>
      <c r="F20" t="n">
        <v>1</v>
      </c>
      <c r="G20" t="inlineStr">
        <is>
          <t>GPU</t>
        </is>
      </c>
      <c r="H20" t="n">
        <v>48</v>
      </c>
      <c r="I20" t="n">
        <v>60</v>
      </c>
      <c r="J20" t="inlineStr">
        <is>
          <t>operator</t>
        </is>
      </c>
      <c r="M20" t="inlineStr">
        <is>
          <t>ai</t>
        </is>
      </c>
      <c r="N20" t="inlineStr">
        <is>
          <t>Y</t>
        </is>
      </c>
      <c r="O20" t="inlineStr">
        <is>
          <t>TN-DC-002-CDU-02</t>
        </is>
      </c>
      <c r="P20" t="inlineStr">
        <is>
          <t>TN-DC-002-AC-1</t>
        </is>
      </c>
      <c r="Q20" t="inlineStr">
        <is>
          <t>TN-DC-002-AC-2</t>
        </is>
      </c>
      <c r="R20" s="21">
        <f>SUMIF('Devices'!$L$2:$L$2000,A20,'Devices'!$N$2:$N$2000)</f>
        <v/>
      </c>
    </row>
    <row r="21">
      <c r="A21" t="inlineStr">
        <is>
          <t>TN-DC-002-GPU-R04</t>
        </is>
      </c>
      <c r="B21" t="inlineStr">
        <is>
          <t>TN-DC-002</t>
        </is>
      </c>
      <c r="C21" t="inlineStr">
        <is>
          <t>TN-DC-002-GPU1</t>
        </is>
      </c>
      <c r="D21" t="inlineStr">
        <is>
          <t>GPU-R04</t>
        </is>
      </c>
      <c r="E21" t="inlineStr">
        <is>
          <t>H</t>
        </is>
      </c>
      <c r="F21" t="n">
        <v>2</v>
      </c>
      <c r="G21" t="inlineStr">
        <is>
          <t>GPU</t>
        </is>
      </c>
      <c r="H21" t="n">
        <v>48</v>
      </c>
      <c r="I21" t="n">
        <v>60</v>
      </c>
      <c r="J21" t="inlineStr">
        <is>
          <t>operator</t>
        </is>
      </c>
      <c r="M21" t="inlineStr">
        <is>
          <t>ai</t>
        </is>
      </c>
      <c r="N21" t="inlineStr">
        <is>
          <t>Y</t>
        </is>
      </c>
      <c r="O21" t="inlineStr">
        <is>
          <t>TN-DC-002-CDU-02</t>
        </is>
      </c>
      <c r="P21" t="inlineStr">
        <is>
          <t>TN-DC-002-AC-1</t>
        </is>
      </c>
      <c r="Q21" t="inlineStr">
        <is>
          <t>TN-DC-002-AC-2</t>
        </is>
      </c>
      <c r="R21" s="21">
        <f>SUMIF('Devices'!$L$2:$L$2000,A21,'Devices'!$N$2:$N$2000)</f>
        <v/>
      </c>
    </row>
  </sheetData>
  <autoFilter ref="A1:R21"/>
  <dataValidations count="4">
    <dataValidation sqref="G2:G2000" showDropDown="0" showInputMessage="0" showErrorMessage="1" allowBlank="1" errorTitle="Not an allowed value" error="Pick a value from the list (Lookups → rack_role)." type="list">
      <formula1>=L_rack_role</formula1>
    </dataValidation>
    <dataValidation sqref="J2:J2000" showDropDown="0" showInputMessage="0" showErrorMessage="1" allowBlank="1" errorTitle="Not an allowed value" error="Pick a value from the list (Lookups → owner)." type="list">
      <formula1>=L_owner</formula1>
    </dataValidation>
    <dataValidation sqref="M2:M2000" showDropDown="0" showInputMessage="0" showErrorMessage="1" allowBlank="1" errorTitle="Not an allowed value" error="Pick a value from the list (Lookups → density)." type="list">
      <formula1>=L_density</formula1>
    </dataValidation>
    <dataValidation sqref="N2:N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6BD9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4" customWidth="1" min="4" max="4"/>
    <col width="16" customWidth="1" min="5" max="5"/>
    <col width="16" customWidth="1" min="6" max="6"/>
    <col width="16" customWidth="1" min="7" max="7"/>
    <col width="25" customWidth="1" min="8" max="8"/>
  </cols>
  <sheetData>
    <row r="1" ht="30" customHeight="1">
      <c r="A1" s="16" t="inlineStr">
        <is>
          <t>feed_id *</t>
        </is>
      </c>
      <c r="B1" s="16" t="inlineStr">
        <is>
          <t>site_id *</t>
        </is>
      </c>
      <c r="C1" s="16" t="inlineStr">
        <is>
          <t>type *</t>
        </is>
      </c>
      <c r="D1" s="16" t="inlineStr">
        <is>
          <t>source *</t>
        </is>
      </c>
      <c r="E1" s="16" t="inlineStr">
        <is>
          <t>rating *</t>
        </is>
      </c>
      <c r="F1" s="16" t="inlineStr">
        <is>
          <t>capacity_kw *</t>
        </is>
      </c>
      <c r="G1" s="17" t="inlineStr">
        <is>
          <t>normal_role</t>
        </is>
      </c>
      <c r="H1" s="17" t="inlineStr">
        <is>
          <t>utility_account</t>
        </is>
      </c>
    </row>
    <row r="2">
      <c r="A2" t="inlineStr">
        <is>
          <t>MP-DC-001-AC-1</t>
        </is>
      </c>
      <c r="B2" t="inlineStr">
        <is>
          <t>MP-DC-001</t>
        </is>
      </c>
      <c r="C2" t="inlineStr">
        <is>
          <t>AC</t>
        </is>
      </c>
      <c r="D2" t="inlineStr">
        <is>
          <t>Utility feed A (MPPKVVCL 33 kV)</t>
        </is>
      </c>
      <c r="E2" t="inlineStr">
        <is>
          <t>1250 A · 415 V</t>
        </is>
      </c>
      <c r="F2" t="n">
        <v>800</v>
      </c>
      <c r="G2" t="inlineStr">
        <is>
          <t>Active</t>
        </is>
      </c>
      <c r="H2" t="inlineStr">
        <is>
          <t>MPW-33KV-0001 (sample)</t>
        </is>
      </c>
    </row>
    <row r="3">
      <c r="A3" t="inlineStr">
        <is>
          <t>MP-DC-001-AC-2</t>
        </is>
      </c>
      <c r="B3" t="inlineStr">
        <is>
          <t>MP-DC-001</t>
        </is>
      </c>
      <c r="C3" t="inlineStr">
        <is>
          <t>AC</t>
        </is>
      </c>
      <c r="D3" t="inlineStr">
        <is>
          <t>Utility feed B (MPPKVVCL 33 kV)</t>
        </is>
      </c>
      <c r="E3" t="inlineStr">
        <is>
          <t>1250 A · 415 V</t>
        </is>
      </c>
      <c r="F3" t="n">
        <v>800</v>
      </c>
      <c r="G3" t="inlineStr">
        <is>
          <t>Standby</t>
        </is>
      </c>
      <c r="H3" t="inlineStr">
        <is>
          <t>MPW-33KV-0002 (sample)</t>
        </is>
      </c>
    </row>
    <row r="4">
      <c r="A4" t="inlineStr">
        <is>
          <t>MP-DC-001-DC-1</t>
        </is>
      </c>
      <c r="B4" t="inlineStr">
        <is>
          <t>MP-DC-001</t>
        </is>
      </c>
      <c r="C4" t="inlineStr">
        <is>
          <t>DC</t>
        </is>
      </c>
      <c r="D4" t="inlineStr">
        <is>
          <t>Rectifier RECT-01</t>
        </is>
      </c>
      <c r="E4" t="inlineStr">
        <is>
          <t>48 V · 2400 A</t>
        </is>
      </c>
      <c r="F4" t="n">
        <v>115</v>
      </c>
      <c r="G4" t="inlineStr">
        <is>
          <t>Active</t>
        </is>
      </c>
    </row>
    <row r="5">
      <c r="A5" t="inlineStr">
        <is>
          <t>TN-DC-002-AC-1</t>
        </is>
      </c>
      <c r="B5" t="inlineStr">
        <is>
          <t>TN-DC-002</t>
        </is>
      </c>
      <c r="C5" t="inlineStr">
        <is>
          <t>AC</t>
        </is>
      </c>
      <c r="D5" t="inlineStr">
        <is>
          <t>Utility feed A (TANGEDCO 110 kV)</t>
        </is>
      </c>
      <c r="E5" t="inlineStr">
        <is>
          <t>2000 A · 415 V</t>
        </is>
      </c>
      <c r="F5" t="n">
        <v>1300</v>
      </c>
      <c r="G5" t="inlineStr">
        <is>
          <t>Active</t>
        </is>
      </c>
      <c r="H5" t="inlineStr">
        <is>
          <t>TNE-110KV-0001 (sample)</t>
        </is>
      </c>
    </row>
    <row r="6">
      <c r="A6" t="inlineStr">
        <is>
          <t>TN-DC-002-AC-2</t>
        </is>
      </c>
      <c r="B6" t="inlineStr">
        <is>
          <t>TN-DC-002</t>
        </is>
      </c>
      <c r="C6" t="inlineStr">
        <is>
          <t>AC</t>
        </is>
      </c>
      <c r="D6" t="inlineStr">
        <is>
          <t>Utility feed B (TANGEDCO 110 kV)</t>
        </is>
      </c>
      <c r="E6" t="inlineStr">
        <is>
          <t>2000 A · 415 V</t>
        </is>
      </c>
      <c r="F6" t="n">
        <v>1300</v>
      </c>
      <c r="G6" t="inlineStr">
        <is>
          <t>Standby</t>
        </is>
      </c>
      <c r="H6" t="inlineStr">
        <is>
          <t>TNE-110KV-0002 (sample)</t>
        </is>
      </c>
    </row>
    <row r="7">
      <c r="A7" t="inlineStr">
        <is>
          <t>TN-DC-002-DC-1</t>
        </is>
      </c>
      <c r="B7" t="inlineStr">
        <is>
          <t>TN-DC-002</t>
        </is>
      </c>
      <c r="C7" t="inlineStr">
        <is>
          <t>DC</t>
        </is>
      </c>
      <c r="D7" t="inlineStr">
        <is>
          <t>Rectifier RECT-01</t>
        </is>
      </c>
      <c r="E7" t="inlineStr">
        <is>
          <t>48 V · 1600 A</t>
        </is>
      </c>
      <c r="F7" t="n">
        <v>77</v>
      </c>
      <c r="G7" t="inlineStr">
        <is>
          <t>Active</t>
        </is>
      </c>
    </row>
  </sheetData>
  <autoFilter ref="A1:H7"/>
  <dataValidations count="2">
    <dataValidation sqref="C2:C2000" showDropDown="0" showInputMessage="0" showErrorMessage="1" allowBlank="1" errorTitle="Not an allowed value" error="Pick a value from the list (Lookups → feed_type)." type="list">
      <formula1>=L_feed_type</formula1>
    </dataValidation>
    <dataValidation sqref="G2:G2000" showDropDown="0" showInputMessage="0" showErrorMessage="1" allowBlank="1" errorTitle="Not an allowed value" error="Pick a value from the list (Lookups → feed_role)." type="list">
      <formula1>=L_feed_role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6BD9"/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0" customWidth="1" min="4" max="4"/>
    <col width="20" customWidth="1" min="5" max="5"/>
    <col width="20" customWidth="1" min="6" max="6"/>
    <col width="14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6" t="inlineStr">
        <is>
          <t>ups_id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name *</t>
        </is>
      </c>
      <c r="E1" s="17" t="inlineStr">
        <is>
          <t>vendor</t>
        </is>
      </c>
      <c r="F1" s="17" t="inlineStr">
        <is>
          <t>model</t>
        </is>
      </c>
      <c r="G1" s="17" t="inlineStr">
        <is>
          <t>serial</t>
        </is>
      </c>
      <c r="H1" s="16" t="inlineStr">
        <is>
          <t>capacity_kw *</t>
        </is>
      </c>
      <c r="I1" s="16" t="inlineStr">
        <is>
          <t>redundancy *</t>
        </is>
      </c>
      <c r="J1" s="16" t="inlineStr">
        <is>
          <t>battery_autonomy_min *</t>
        </is>
      </c>
    </row>
    <row r="2">
      <c r="A2" t="inlineStr">
        <is>
          <t>MP-DC-001-UPS-1</t>
        </is>
      </c>
      <c r="B2" t="inlineStr">
        <is>
          <t>MP-DC-001</t>
        </is>
      </c>
      <c r="C2" t="inlineStr">
        <is>
          <t>MP-DC-001-PLANT</t>
        </is>
      </c>
      <c r="D2" t="inlineStr">
        <is>
          <t>UPS-1</t>
        </is>
      </c>
      <c r="E2" t="inlineStr">
        <is>
          <t>Vertiv</t>
        </is>
      </c>
      <c r="F2" t="inlineStr">
        <is>
          <t>Liebert EXL S1 500</t>
        </is>
      </c>
      <c r="G2" t="inlineStr">
        <is>
          <t>VTV-EXL-4101</t>
        </is>
      </c>
      <c r="H2" t="n">
        <v>500</v>
      </c>
      <c r="I2" t="inlineStr">
        <is>
          <t>N+1</t>
        </is>
      </c>
      <c r="J2" t="n">
        <v>15</v>
      </c>
    </row>
    <row r="3">
      <c r="A3" t="inlineStr">
        <is>
          <t>MP-DC-001-UPS-2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UPS-2</t>
        </is>
      </c>
      <c r="E3" t="inlineStr">
        <is>
          <t>Vertiv</t>
        </is>
      </c>
      <c r="F3" t="inlineStr">
        <is>
          <t>Liebert EXL S1 500</t>
        </is>
      </c>
      <c r="G3" t="inlineStr">
        <is>
          <t>VTV-EXL-4102</t>
        </is>
      </c>
      <c r="H3" t="n">
        <v>500</v>
      </c>
      <c r="I3" t="inlineStr">
        <is>
          <t>N+1</t>
        </is>
      </c>
      <c r="J3" t="n">
        <v>15</v>
      </c>
    </row>
    <row r="4">
      <c r="A4" t="inlineStr">
        <is>
          <t>MP-DC-001-UPS-3</t>
        </is>
      </c>
      <c r="B4" t="inlineStr">
        <is>
          <t>MP-DC-001</t>
        </is>
      </c>
      <c r="C4" t="inlineStr">
        <is>
          <t>MP-DC-001-PLANT</t>
        </is>
      </c>
      <c r="D4" t="inlineStr">
        <is>
          <t>UPS-3</t>
        </is>
      </c>
      <c r="E4" t="inlineStr">
        <is>
          <t>Vertiv</t>
        </is>
      </c>
      <c r="F4" t="inlineStr">
        <is>
          <t>Liebert EXL S1 500</t>
        </is>
      </c>
      <c r="G4" t="inlineStr">
        <is>
          <t>VTV-EXL-4103</t>
        </is>
      </c>
      <c r="H4" t="n">
        <v>500</v>
      </c>
      <c r="I4" t="inlineStr">
        <is>
          <t>N+1</t>
        </is>
      </c>
      <c r="J4" t="n">
        <v>15</v>
      </c>
    </row>
    <row r="5">
      <c r="A5" t="inlineStr">
        <is>
          <t>TN-DC-002-UPS-1</t>
        </is>
      </c>
      <c r="B5" t="inlineStr">
        <is>
          <t>TN-DC-002</t>
        </is>
      </c>
      <c r="C5" t="inlineStr">
        <is>
          <t>TN-DC-002-PLANT</t>
        </is>
      </c>
      <c r="D5" t="inlineStr">
        <is>
          <t>UPS-1</t>
        </is>
      </c>
      <c r="E5" t="inlineStr">
        <is>
          <t>Schneider Electric</t>
        </is>
      </c>
      <c r="F5" t="inlineStr">
        <is>
          <t>Galaxy VX 750</t>
        </is>
      </c>
      <c r="G5" t="inlineStr">
        <is>
          <t>SE-GVX-7701</t>
        </is>
      </c>
      <c r="H5" t="n">
        <v>750</v>
      </c>
      <c r="I5" t="inlineStr">
        <is>
          <t>N+1</t>
        </is>
      </c>
      <c r="J5" t="n">
        <v>10</v>
      </c>
    </row>
    <row r="6">
      <c r="A6" t="inlineStr">
        <is>
          <t>TN-DC-002-UPS-2</t>
        </is>
      </c>
      <c r="B6" t="inlineStr">
        <is>
          <t>TN-DC-002</t>
        </is>
      </c>
      <c r="C6" t="inlineStr">
        <is>
          <t>TN-DC-002-PLANT</t>
        </is>
      </c>
      <c r="D6" t="inlineStr">
        <is>
          <t>UPS-2</t>
        </is>
      </c>
      <c r="E6" t="inlineStr">
        <is>
          <t>Schneider Electric</t>
        </is>
      </c>
      <c r="F6" t="inlineStr">
        <is>
          <t>Galaxy VX 750</t>
        </is>
      </c>
      <c r="G6" t="inlineStr">
        <is>
          <t>SE-GVX-7702</t>
        </is>
      </c>
      <c r="H6" t="n">
        <v>750</v>
      </c>
      <c r="I6" t="inlineStr">
        <is>
          <t>N+1</t>
        </is>
      </c>
      <c r="J6" t="n">
        <v>10</v>
      </c>
    </row>
    <row r="7">
      <c r="A7" t="inlineStr">
        <is>
          <t>TN-DC-002-UPS-3</t>
        </is>
      </c>
      <c r="B7" t="inlineStr">
        <is>
          <t>TN-DC-002</t>
        </is>
      </c>
      <c r="C7" t="inlineStr">
        <is>
          <t>TN-DC-002-PLANT</t>
        </is>
      </c>
      <c r="D7" t="inlineStr">
        <is>
          <t>UPS-3</t>
        </is>
      </c>
      <c r="E7" t="inlineStr">
        <is>
          <t>Schneider Electric</t>
        </is>
      </c>
      <c r="F7" t="inlineStr">
        <is>
          <t>Galaxy VX 750</t>
        </is>
      </c>
      <c r="G7" t="inlineStr">
        <is>
          <t>SE-GVX-7703</t>
        </is>
      </c>
      <c r="H7" t="n">
        <v>750</v>
      </c>
      <c r="I7" t="inlineStr">
        <is>
          <t>N+1</t>
        </is>
      </c>
      <c r="J7" t="n">
        <v>10</v>
      </c>
    </row>
    <row r="8">
      <c r="A8" t="inlineStr">
        <is>
          <t>TN-DC-002-UPS-4</t>
        </is>
      </c>
      <c r="B8" t="inlineStr">
        <is>
          <t>TN-DC-002</t>
        </is>
      </c>
      <c r="C8" t="inlineStr">
        <is>
          <t>TN-DC-002-PLANT</t>
        </is>
      </c>
      <c r="D8" t="inlineStr">
        <is>
          <t>UPS-4</t>
        </is>
      </c>
      <c r="E8" t="inlineStr">
        <is>
          <t>Schneider Electric</t>
        </is>
      </c>
      <c r="F8" t="inlineStr">
        <is>
          <t>Galaxy VX 750</t>
        </is>
      </c>
      <c r="G8" t="inlineStr">
        <is>
          <t>SE-GVX-7704</t>
        </is>
      </c>
      <c r="H8" t="n">
        <v>750</v>
      </c>
      <c r="I8" t="inlineStr">
        <is>
          <t>N+1</t>
        </is>
      </c>
      <c r="J8" t="n">
        <v>10</v>
      </c>
    </row>
  </sheetData>
  <autoFilter ref="A1:J8"/>
  <dataValidations count="1">
    <dataValidation sqref="I2:I2000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6BD9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21" customWidth="1" min="5" max="5"/>
    <col width="24" customWidth="1" min="6" max="6"/>
    <col width="19" customWidth="1" min="7" max="7"/>
    <col width="21" customWidth="1" min="8" max="8"/>
  </cols>
  <sheetData>
    <row r="1" ht="30" customHeight="1">
      <c r="A1" s="16" t="inlineStr">
        <is>
          <t>dg_id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kva *</t>
        </is>
      </c>
      <c r="E1" s="17" t="inlineStr">
        <is>
          <t>fuel_tank_litres</t>
        </is>
      </c>
      <c r="F1" s="16" t="inlineStr">
        <is>
          <t>runtime_h_full_load *</t>
        </is>
      </c>
      <c r="G1" s="17" t="inlineStr">
        <is>
          <t>last_test_date</t>
        </is>
      </c>
      <c r="H1" s="17" t="inlineStr">
        <is>
          <t>last_test_result</t>
        </is>
      </c>
    </row>
    <row r="2">
      <c r="A2" t="inlineStr">
        <is>
          <t>MP-DC-001-DG-1</t>
        </is>
      </c>
      <c r="B2" t="inlineStr">
        <is>
          <t>MP-DC-001</t>
        </is>
      </c>
      <c r="C2" t="inlineStr">
        <is>
          <t>DG-1</t>
        </is>
      </c>
      <c r="D2" t="n">
        <v>1500</v>
      </c>
      <c r="E2" t="n">
        <v>5000</v>
      </c>
      <c r="F2" t="n">
        <v>12</v>
      </c>
      <c r="G2" s="18" t="n">
        <v>46293</v>
      </c>
      <c r="H2" t="inlineStr">
        <is>
          <t>Pass</t>
        </is>
      </c>
    </row>
    <row r="3">
      <c r="A3" t="inlineStr">
        <is>
          <t>MP-DC-001-DG-2</t>
        </is>
      </c>
      <c r="B3" t="inlineStr">
        <is>
          <t>MP-DC-001</t>
        </is>
      </c>
      <c r="C3" t="inlineStr">
        <is>
          <t>DG-2</t>
        </is>
      </c>
      <c r="D3" t="n">
        <v>1500</v>
      </c>
      <c r="E3" t="n">
        <v>5000</v>
      </c>
      <c r="F3" t="n">
        <v>12</v>
      </c>
      <c r="G3" s="18" t="n">
        <v>46293</v>
      </c>
      <c r="H3" t="inlineStr">
        <is>
          <t>Pass</t>
        </is>
      </c>
    </row>
    <row r="4">
      <c r="A4" t="inlineStr">
        <is>
          <t>TN-DC-002-DG-1</t>
        </is>
      </c>
      <c r="B4" t="inlineStr">
        <is>
          <t>TN-DC-002</t>
        </is>
      </c>
      <c r="C4" t="inlineStr">
        <is>
          <t>DG-1</t>
        </is>
      </c>
      <c r="D4" t="n">
        <v>2250</v>
      </c>
      <c r="E4" t="n">
        <v>8000</v>
      </c>
      <c r="F4" t="n">
        <v>14</v>
      </c>
      <c r="G4" s="18" t="n">
        <v>46297</v>
      </c>
      <c r="H4" t="inlineStr">
        <is>
          <t>Pass</t>
        </is>
      </c>
    </row>
    <row r="5">
      <c r="A5" t="inlineStr">
        <is>
          <t>TN-DC-002-DG-2</t>
        </is>
      </c>
      <c r="B5" t="inlineStr">
        <is>
          <t>TN-DC-002</t>
        </is>
      </c>
      <c r="C5" t="inlineStr">
        <is>
          <t>DG-2</t>
        </is>
      </c>
      <c r="D5" t="n">
        <v>2250</v>
      </c>
      <c r="E5" t="n">
        <v>8000</v>
      </c>
      <c r="F5" t="n">
        <v>14</v>
      </c>
      <c r="G5" s="18" t="n">
        <v>46297</v>
      </c>
      <c r="H5" t="inlineStr">
        <is>
          <t>Pass</t>
        </is>
      </c>
    </row>
  </sheetData>
  <autoFilter ref="A1:H5"/>
  <dataValidations count="1">
    <dataValidation sqref="H2:H2000" showDropDown="0" showInputMessage="0" showErrorMessage="1" allowBlank="1" errorTitle="Not an allowed value" error="Pick a value from the list (Lookups → test_result)." type="list">
      <formula1>=L_test_result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2E6BD9"/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4" customWidth="1" min="4" max="4"/>
    <col width="10" customWidth="1" min="5" max="5"/>
    <col width="10" customWidth="1" min="6" max="6"/>
    <col width="10" customWidth="1" min="7" max="7"/>
    <col width="17" customWidth="1" min="8" max="8"/>
    <col width="16" customWidth="1" min="9" max="9"/>
    <col width="15" customWidth="1" min="10" max="10"/>
    <col width="19" customWidth="1" min="11" max="11"/>
  </cols>
  <sheetData>
    <row r="1" ht="30" customHeight="1">
      <c r="A1" s="16" t="inlineStr">
        <is>
          <t>plant_id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kind *</t>
        </is>
      </c>
      <c r="E1" s="16" t="inlineStr">
        <is>
          <t>name *</t>
        </is>
      </c>
      <c r="F1" s="19" t="inlineStr">
        <is>
          <t>volts</t>
        </is>
      </c>
      <c r="G1" s="19" t="inlineStr">
        <is>
          <t>ah</t>
        </is>
      </c>
      <c r="H1" s="19" t="inlineStr">
        <is>
          <t>rated_output</t>
        </is>
      </c>
      <c r="I1" s="19" t="inlineStr">
        <is>
          <t>capacity_kw</t>
        </is>
      </c>
      <c r="J1" s="19" t="inlineStr">
        <is>
          <t>autonomy_h</t>
        </is>
      </c>
      <c r="K1" s="17" t="inlineStr">
        <is>
          <t>last_test_date</t>
        </is>
      </c>
    </row>
    <row r="2">
      <c r="A2" t="inlineStr">
        <is>
          <t>MP-DC-001-RECT-01</t>
        </is>
      </c>
      <c r="B2" t="inlineStr">
        <is>
          <t>MP-DC-001</t>
        </is>
      </c>
      <c r="C2" t="inlineStr">
        <is>
          <t>MP-DC-001-PLANT</t>
        </is>
      </c>
      <c r="D2" t="inlineStr">
        <is>
          <t>Rectifier</t>
        </is>
      </c>
      <c r="E2" t="inlineStr">
        <is>
          <t>RECT-01</t>
        </is>
      </c>
      <c r="H2" t="inlineStr">
        <is>
          <t>48 V · 2400 A</t>
        </is>
      </c>
      <c r="I2" t="n">
        <v>115</v>
      </c>
      <c r="K2" s="18" t="n">
        <v>46248</v>
      </c>
    </row>
    <row r="3">
      <c r="A3" t="inlineStr">
        <is>
          <t>MP-DC-001-BATT-01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Battery bank</t>
        </is>
      </c>
      <c r="E3" t="inlineStr">
        <is>
          <t>BATT-01</t>
        </is>
      </c>
      <c r="F3" t="n">
        <v>48</v>
      </c>
      <c r="G3" t="n">
        <v>2000</v>
      </c>
      <c r="J3" t="n">
        <v>4</v>
      </c>
      <c r="K3" s="18" t="n">
        <v>46248</v>
      </c>
    </row>
    <row r="4">
      <c r="A4" t="inlineStr">
        <is>
          <t>TN-DC-002-RECT-01</t>
        </is>
      </c>
      <c r="B4" t="inlineStr">
        <is>
          <t>TN-DC-002</t>
        </is>
      </c>
      <c r="C4" t="inlineStr">
        <is>
          <t>TN-DC-002-PLANT</t>
        </is>
      </c>
      <c r="D4" t="inlineStr">
        <is>
          <t>Rectifier</t>
        </is>
      </c>
      <c r="E4" t="inlineStr">
        <is>
          <t>RECT-01</t>
        </is>
      </c>
      <c r="H4" t="inlineStr">
        <is>
          <t>48 V · 1600 A</t>
        </is>
      </c>
      <c r="I4" t="n">
        <v>77</v>
      </c>
      <c r="K4" s="18" t="n">
        <v>46233</v>
      </c>
    </row>
    <row r="5">
      <c r="A5" t="inlineStr">
        <is>
          <t>TN-DC-002-BATT-01</t>
        </is>
      </c>
      <c r="B5" t="inlineStr">
        <is>
          <t>TN-DC-002</t>
        </is>
      </c>
      <c r="C5" t="inlineStr">
        <is>
          <t>TN-DC-002-PLANT</t>
        </is>
      </c>
      <c r="D5" t="inlineStr">
        <is>
          <t>Battery bank</t>
        </is>
      </c>
      <c r="E5" t="inlineStr">
        <is>
          <t>BATT-01</t>
        </is>
      </c>
      <c r="F5" t="n">
        <v>48</v>
      </c>
      <c r="G5" t="n">
        <v>1500</v>
      </c>
      <c r="J5" t="n">
        <v>3</v>
      </c>
      <c r="K5" s="18" t="n">
        <v>46233</v>
      </c>
    </row>
  </sheetData>
  <autoFilter ref="A1:K5"/>
  <dataValidations count="1">
    <dataValidation sqref="D2:D2000" showDropDown="0" showInputMessage="0" showErrorMessage="1" allowBlank="1" errorTitle="Not an allowed value" error="Pick a value from the list (Lookups → plant_kind)." type="list">
      <formula1>=L_plant_kind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6BD9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0" customWidth="1" min="4" max="4"/>
    <col width="10" customWidth="1" min="5" max="5"/>
    <col width="11" customWidth="1" min="6" max="6"/>
    <col width="17" customWidth="1" min="7" max="7"/>
    <col width="16" customWidth="1" min="8" max="8"/>
    <col width="20" customWidth="1" min="9" max="9"/>
  </cols>
  <sheetData>
    <row r="1" ht="30" customHeight="1">
      <c r="A1" s="16" t="inlineStr">
        <is>
          <t>unit_id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type *</t>
        </is>
      </c>
      <c r="F1" s="17" t="inlineStr">
        <is>
          <t>vendor</t>
        </is>
      </c>
      <c r="G1" s="17" t="inlineStr">
        <is>
          <t>model</t>
        </is>
      </c>
      <c r="H1" s="16" t="inlineStr">
        <is>
          <t>capacity_kw *</t>
        </is>
      </c>
      <c r="I1" s="17" t="inlineStr">
        <is>
          <t>design_supply_c</t>
        </is>
      </c>
    </row>
    <row r="2">
      <c r="A2" t="inlineStr">
        <is>
          <t>MP-DC-001-CRAH-01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CRAH-01</t>
        </is>
      </c>
      <c r="E2" t="inlineStr">
        <is>
          <t>CRAH</t>
        </is>
      </c>
      <c r="F2" t="inlineStr">
        <is>
          <t>Stulz</t>
        </is>
      </c>
      <c r="G2" t="inlineStr">
        <is>
          <t>CyberAir 3PRO</t>
        </is>
      </c>
      <c r="H2" t="n">
        <v>60</v>
      </c>
      <c r="I2" t="n">
        <v>18</v>
      </c>
    </row>
    <row r="3">
      <c r="A3" t="inlineStr">
        <is>
          <t>MP-DC-001-CRAH-11</t>
        </is>
      </c>
      <c r="B3" t="inlineStr">
        <is>
          <t>MP-DC-001</t>
        </is>
      </c>
      <c r="C3" t="inlineStr">
        <is>
          <t>MP-DC-001-HALLA</t>
        </is>
      </c>
      <c r="D3" t="inlineStr">
        <is>
          <t>CRAH-11</t>
        </is>
      </c>
      <c r="E3" t="inlineStr">
        <is>
          <t>CRAH</t>
        </is>
      </c>
      <c r="F3" t="inlineStr">
        <is>
          <t>Vertiv</t>
        </is>
      </c>
      <c r="G3" t="inlineStr">
        <is>
          <t>Liebert PDX</t>
        </is>
      </c>
      <c r="H3" t="n">
        <v>120</v>
      </c>
      <c r="I3" t="n">
        <v>18</v>
      </c>
    </row>
    <row r="4">
      <c r="A4" t="inlineStr">
        <is>
          <t>MP-DC-001-CRAH-12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CRAH-12</t>
        </is>
      </c>
      <c r="E4" t="inlineStr">
        <is>
          <t>CRAH</t>
        </is>
      </c>
      <c r="F4" t="inlineStr">
        <is>
          <t>Vertiv</t>
        </is>
      </c>
      <c r="G4" t="inlineStr">
        <is>
          <t>Liebert PDX</t>
        </is>
      </c>
      <c r="H4" t="n">
        <v>120</v>
      </c>
      <c r="I4" t="n">
        <v>18</v>
      </c>
    </row>
    <row r="5">
      <c r="A5" t="inlineStr">
        <is>
          <t>MP-DC-001-CRAH-13</t>
        </is>
      </c>
      <c r="B5" t="inlineStr">
        <is>
          <t>MP-DC-001</t>
        </is>
      </c>
      <c r="C5" t="inlineStr">
        <is>
          <t>MP-DC-001-HALLA</t>
        </is>
      </c>
      <c r="D5" t="inlineStr">
        <is>
          <t>CRAH-13</t>
        </is>
      </c>
      <c r="E5" t="inlineStr">
        <is>
          <t>CRAH</t>
        </is>
      </c>
      <c r="F5" t="inlineStr">
        <is>
          <t>Vertiv</t>
        </is>
      </c>
      <c r="G5" t="inlineStr">
        <is>
          <t>Liebert PDX</t>
        </is>
      </c>
      <c r="H5" t="n">
        <v>120</v>
      </c>
      <c r="I5" t="n">
        <v>18</v>
      </c>
    </row>
    <row r="6">
      <c r="A6" t="inlineStr">
        <is>
          <t>MP-DC-001-CDU-01</t>
        </is>
      </c>
      <c r="B6" t="inlineStr">
        <is>
          <t>MP-DC-001</t>
        </is>
      </c>
      <c r="C6" t="inlineStr">
        <is>
          <t>MP-DC-001-HALLB</t>
        </is>
      </c>
      <c r="D6" t="inlineStr">
        <is>
          <t>CDU-01</t>
        </is>
      </c>
      <c r="E6" t="inlineStr">
        <is>
          <t>CDU</t>
        </is>
      </c>
      <c r="F6" t="inlineStr">
        <is>
          <t>CoolIT</t>
        </is>
      </c>
      <c r="G6" t="inlineStr">
        <is>
          <t>CHx750</t>
        </is>
      </c>
      <c r="H6" t="n">
        <v>750</v>
      </c>
      <c r="I6" t="n">
        <v>32</v>
      </c>
    </row>
    <row r="7">
      <c r="A7" t="inlineStr">
        <is>
          <t>MP-DC-001-CRAH-21</t>
        </is>
      </c>
      <c r="B7" t="inlineStr">
        <is>
          <t>MP-DC-001</t>
        </is>
      </c>
      <c r="C7" t="inlineStr">
        <is>
          <t>MP-DC-001-HALLB</t>
        </is>
      </c>
      <c r="D7" t="inlineStr">
        <is>
          <t>CRAH-21</t>
        </is>
      </c>
      <c r="E7" t="inlineStr">
        <is>
          <t>CRAH</t>
        </is>
      </c>
      <c r="F7" t="inlineStr">
        <is>
          <t>Vertiv</t>
        </is>
      </c>
      <c r="G7" t="inlineStr">
        <is>
          <t>Liebert PDX</t>
        </is>
      </c>
      <c r="H7" t="n">
        <v>120</v>
      </c>
      <c r="I7" t="n">
        <v>20</v>
      </c>
    </row>
    <row r="8">
      <c r="A8" t="inlineStr">
        <is>
          <t>TN-DC-002-CRAH-01</t>
        </is>
      </c>
      <c r="B8" t="inlineStr">
        <is>
          <t>TN-DC-002</t>
        </is>
      </c>
      <c r="C8" t="inlineStr">
        <is>
          <t>TN-DC-002-MMR</t>
        </is>
      </c>
      <c r="D8" t="inlineStr">
        <is>
          <t>CRAH-01</t>
        </is>
      </c>
      <c r="E8" t="inlineStr">
        <is>
          <t>CRAH</t>
        </is>
      </c>
      <c r="F8" t="inlineStr">
        <is>
          <t>Stulz</t>
        </is>
      </c>
      <c r="G8" t="inlineStr">
        <is>
          <t>CyberAir 3PRO</t>
        </is>
      </c>
      <c r="H8" t="n">
        <v>60</v>
      </c>
      <c r="I8" t="n">
        <v>18</v>
      </c>
    </row>
    <row r="9">
      <c r="A9" t="inlineStr">
        <is>
          <t>TN-DC-002-CRAH-11</t>
        </is>
      </c>
      <c r="B9" t="inlineStr">
        <is>
          <t>TN-DC-002</t>
        </is>
      </c>
      <c r="C9" t="inlineStr">
        <is>
          <t>TN-DC-002-NET</t>
        </is>
      </c>
      <c r="D9" t="inlineStr">
        <is>
          <t>CRAH-11</t>
        </is>
      </c>
      <c r="E9" t="inlineStr">
        <is>
          <t>CRAH</t>
        </is>
      </c>
      <c r="F9" t="inlineStr">
        <is>
          <t>Stulz</t>
        </is>
      </c>
      <c r="G9" t="inlineStr">
        <is>
          <t>CyberAir 3PRO</t>
        </is>
      </c>
      <c r="H9" t="n">
        <v>120</v>
      </c>
      <c r="I9" t="n">
        <v>18</v>
      </c>
    </row>
    <row r="10">
      <c r="A10" t="inlineStr">
        <is>
          <t>TN-DC-002-CRAH-12</t>
        </is>
      </c>
      <c r="B10" t="inlineStr">
        <is>
          <t>TN-DC-002</t>
        </is>
      </c>
      <c r="C10" t="inlineStr">
        <is>
          <t>TN-DC-002-NET</t>
        </is>
      </c>
      <c r="D10" t="inlineStr">
        <is>
          <t>CRAH-12</t>
        </is>
      </c>
      <c r="E10" t="inlineStr">
        <is>
          <t>CRAH</t>
        </is>
      </c>
      <c r="F10" t="inlineStr">
        <is>
          <t>Stulz</t>
        </is>
      </c>
      <c r="G10" t="inlineStr">
        <is>
          <t>CyberAir 3PRO</t>
        </is>
      </c>
      <c r="H10" t="n">
        <v>120</v>
      </c>
      <c r="I10" t="n">
        <v>18</v>
      </c>
    </row>
    <row r="11">
      <c r="A11" t="inlineStr">
        <is>
          <t>TN-DC-002-CDU-01</t>
        </is>
      </c>
      <c r="B11" t="inlineStr">
        <is>
          <t>TN-DC-002</t>
        </is>
      </c>
      <c r="C11" t="inlineStr">
        <is>
          <t>TN-DC-002-GPU1</t>
        </is>
      </c>
      <c r="D11" t="inlineStr">
        <is>
          <t>CDU-01</t>
        </is>
      </c>
      <c r="E11" t="inlineStr">
        <is>
          <t>CDU</t>
        </is>
      </c>
      <c r="F11" t="inlineStr">
        <is>
          <t>Vertiv</t>
        </is>
      </c>
      <c r="G11" t="inlineStr">
        <is>
          <t>Liebert XDU1350</t>
        </is>
      </c>
      <c r="H11" t="n">
        <v>1350</v>
      </c>
      <c r="I11" t="n">
        <v>30</v>
      </c>
    </row>
    <row r="12">
      <c r="A12" t="inlineStr">
        <is>
          <t>TN-DC-002-CDU-02</t>
        </is>
      </c>
      <c r="B12" t="inlineStr">
        <is>
          <t>TN-DC-002</t>
        </is>
      </c>
      <c r="C12" t="inlineStr">
        <is>
          <t>TN-DC-002-GPU1</t>
        </is>
      </c>
      <c r="D12" t="inlineStr">
        <is>
          <t>CDU-02</t>
        </is>
      </c>
      <c r="E12" t="inlineStr">
        <is>
          <t>CDU</t>
        </is>
      </c>
      <c r="F12" t="inlineStr">
        <is>
          <t>Vertiv</t>
        </is>
      </c>
      <c r="G12" t="inlineStr">
        <is>
          <t>Liebert XDU1350</t>
        </is>
      </c>
      <c r="H12" t="n">
        <v>1350</v>
      </c>
      <c r="I12" t="n">
        <v>30</v>
      </c>
    </row>
    <row r="13">
      <c r="A13" t="inlineStr">
        <is>
          <t>TN-DC-002-CRAH-21</t>
        </is>
      </c>
      <c r="B13" t="inlineStr">
        <is>
          <t>TN-DC-002</t>
        </is>
      </c>
      <c r="C13" t="inlineStr">
        <is>
          <t>TN-DC-002-GPU1</t>
        </is>
      </c>
      <c r="D13" t="inlineStr">
        <is>
          <t>CRAH-21</t>
        </is>
      </c>
      <c r="E13" t="inlineStr">
        <is>
          <t>CRAH</t>
        </is>
      </c>
      <c r="F13" t="inlineStr">
        <is>
          <t>Stulz</t>
        </is>
      </c>
      <c r="G13" t="inlineStr">
        <is>
          <t>CyberAir 3PRO</t>
        </is>
      </c>
      <c r="H13" t="n">
        <v>150</v>
      </c>
      <c r="I13" t="n">
        <v>20</v>
      </c>
    </row>
  </sheetData>
  <autoFilter ref="A1:I13"/>
  <dataValidations count="1">
    <dataValidation sqref="E2:E2000" showDropDown="0" showInputMessage="0" showErrorMessage="1" allowBlank="1" errorTitle="Not an allowed value" error="Pick a value from the list (Lookups → cooling_type)." type="list">
      <formula1>=L_cooling_type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6BD9"/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0" customWidth="1" min="4" max="4"/>
    <col width="16" customWidth="1" min="5" max="5"/>
    <col width="21" customWidth="1" min="6" max="6"/>
    <col width="20" customWidth="1" min="7" max="7"/>
    <col width="24" customWidth="1" min="8" max="8"/>
  </cols>
  <sheetData>
    <row r="1" ht="30" customHeight="1">
      <c r="A1" s="16" t="inlineStr">
        <is>
          <t>cdu_id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capacity_kw *</t>
        </is>
      </c>
      <c r="F1" s="16" t="inlineStr">
        <is>
          <t>nominal_flow_lpm *</t>
        </is>
      </c>
      <c r="G1" s="17" t="inlineStr">
        <is>
          <t>design_supply_c</t>
        </is>
      </c>
      <c r="H1" s="20" t="inlineStr">
        <is>
          <t>racks_served (calc)</t>
        </is>
      </c>
    </row>
    <row r="2">
      <c r="A2" t="inlineStr">
        <is>
          <t>MP-DC-001-CDU-01</t>
        </is>
      </c>
      <c r="B2" t="inlineStr">
        <is>
          <t>MP-DC-001</t>
        </is>
      </c>
      <c r="C2" t="inlineStr">
        <is>
          <t>MP-DC-001-HALLB</t>
        </is>
      </c>
      <c r="D2" t="inlineStr">
        <is>
          <t>CDU-01</t>
        </is>
      </c>
      <c r="E2" t="n">
        <v>750</v>
      </c>
      <c r="F2" t="n">
        <v>1100</v>
      </c>
      <c r="G2" t="n">
        <v>32</v>
      </c>
      <c r="H2" s="21">
        <f>COUNTIF('Racks'!$O$2:$O$2000,A2)</f>
        <v/>
      </c>
    </row>
    <row r="3">
      <c r="A3" t="inlineStr">
        <is>
          <t>TN-DC-002-CDU-01</t>
        </is>
      </c>
      <c r="B3" t="inlineStr">
        <is>
          <t>TN-DC-002</t>
        </is>
      </c>
      <c r="C3" t="inlineStr">
        <is>
          <t>TN-DC-002-GPU1</t>
        </is>
      </c>
      <c r="D3" t="inlineStr">
        <is>
          <t>CDU-01</t>
        </is>
      </c>
      <c r="E3" t="n">
        <v>1350</v>
      </c>
      <c r="F3" t="n">
        <v>1900</v>
      </c>
      <c r="G3" t="n">
        <v>30</v>
      </c>
      <c r="H3" s="21">
        <f>COUNTIF('Racks'!$O$2:$O$2000,A3)</f>
        <v/>
      </c>
    </row>
    <row r="4">
      <c r="A4" t="inlineStr">
        <is>
          <t>TN-DC-002-CDU-02</t>
        </is>
      </c>
      <c r="B4" t="inlineStr">
        <is>
          <t>TN-DC-002</t>
        </is>
      </c>
      <c r="C4" t="inlineStr">
        <is>
          <t>TN-DC-002-GPU1</t>
        </is>
      </c>
      <c r="D4" t="inlineStr">
        <is>
          <t>CDU-02</t>
        </is>
      </c>
      <c r="E4" t="n">
        <v>1350</v>
      </c>
      <c r="F4" t="n">
        <v>1900</v>
      </c>
      <c r="G4" t="n">
        <v>30</v>
      </c>
      <c r="H4" s="21">
        <f>COUNTIF('Racks'!$O$2:$O$2000,A4)</f>
        <v/>
      </c>
    </row>
  </sheetData>
  <autoFilter ref="A1:H4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2E6BD9"/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24" customWidth="1" min="4" max="4"/>
    <col width="14" customWidth="1" min="5" max="5"/>
    <col width="16" customWidth="1" min="6" max="6"/>
  </cols>
  <sheetData>
    <row r="1" ht="30" customHeight="1">
      <c r="A1" s="16" t="inlineStr">
        <is>
          <t>sensor_id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kind *</t>
        </is>
      </c>
      <c r="E1" s="17" t="inlineStr">
        <is>
          <t>position</t>
        </is>
      </c>
      <c r="F1" s="17" t="inlineStr">
        <is>
          <t>bms_point</t>
        </is>
      </c>
    </row>
    <row r="2">
      <c r="A2" t="inlineStr">
        <is>
          <t>MP-DC-001-ENV-01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Temperature + humidity</t>
        </is>
      </c>
      <c r="E2" t="inlineStr">
        <is>
          <t>MMR centre</t>
        </is>
      </c>
      <c r="F2" t="inlineStr">
        <is>
          <t>BMS.MMR.TH01</t>
        </is>
      </c>
    </row>
    <row r="3">
      <c r="A3" t="inlineStr">
        <is>
          <t>MP-DC-001-ENV-02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Temperature + humidity</t>
        </is>
      </c>
      <c r="E3" t="inlineStr">
        <is>
          <t>UPS row</t>
        </is>
      </c>
      <c r="F3" t="inlineStr">
        <is>
          <t>BMS.PLANT.TH02</t>
        </is>
      </c>
    </row>
    <row r="4">
      <c r="A4" t="inlineStr">
        <is>
          <t>MP-DC-001-ENV-03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Temperature + humidity</t>
        </is>
      </c>
      <c r="E4" t="inlineStr">
        <is>
          <t>Cold aisle 1</t>
        </is>
      </c>
      <c r="F4" t="inlineStr">
        <is>
          <t>BMS.HALLA.TH03</t>
        </is>
      </c>
    </row>
    <row r="5">
      <c r="A5" t="inlineStr">
        <is>
          <t>MP-DC-001-ENV-04</t>
        </is>
      </c>
      <c r="B5" t="inlineStr">
        <is>
          <t>MP-DC-001</t>
        </is>
      </c>
      <c r="C5" t="inlineStr">
        <is>
          <t>MP-DC-001-HALLA</t>
        </is>
      </c>
      <c r="D5" t="inlineStr">
        <is>
          <t>Temperature + humidity</t>
        </is>
      </c>
      <c r="E5" t="inlineStr">
        <is>
          <t>Cold aisle 2</t>
        </is>
      </c>
      <c r="F5" t="inlineStr">
        <is>
          <t>BMS.HALLA.TH04</t>
        </is>
      </c>
    </row>
    <row r="6">
      <c r="A6" t="inlineStr">
        <is>
          <t>MP-DC-001-ENV-05</t>
        </is>
      </c>
      <c r="B6" t="inlineStr">
        <is>
          <t>MP-DC-001</t>
        </is>
      </c>
      <c r="C6" t="inlineStr">
        <is>
          <t>MP-DC-001-HALLB</t>
        </is>
      </c>
      <c r="D6" t="inlineStr">
        <is>
          <t>Temperature + humidity</t>
        </is>
      </c>
      <c r="E6" t="inlineStr">
        <is>
          <t>Cage row C</t>
        </is>
      </c>
      <c r="F6" t="inlineStr">
        <is>
          <t>BMS.HALLB.TH05</t>
        </is>
      </c>
    </row>
    <row r="7">
      <c r="A7" t="inlineStr">
        <is>
          <t>TN-DC-002-ENV-01</t>
        </is>
      </c>
      <c r="B7" t="inlineStr">
        <is>
          <t>TN-DC-002</t>
        </is>
      </c>
      <c r="C7" t="inlineStr">
        <is>
          <t>TN-DC-002-MMR</t>
        </is>
      </c>
      <c r="D7" t="inlineStr">
        <is>
          <t>Temperature + humidity</t>
        </is>
      </c>
      <c r="E7" t="inlineStr">
        <is>
          <t>MMR centre</t>
        </is>
      </c>
      <c r="F7" t="inlineStr">
        <is>
          <t>BMS.MMR.TH01</t>
        </is>
      </c>
    </row>
    <row r="8">
      <c r="A8" t="inlineStr">
        <is>
          <t>TN-DC-002-ENV-02</t>
        </is>
      </c>
      <c r="B8" t="inlineStr">
        <is>
          <t>TN-DC-002</t>
        </is>
      </c>
      <c r="C8" t="inlineStr">
        <is>
          <t>TN-DC-002-PLANT</t>
        </is>
      </c>
      <c r="D8" t="inlineStr">
        <is>
          <t>Temperature + humidity</t>
        </is>
      </c>
      <c r="E8" t="inlineStr">
        <is>
          <t>UPS row</t>
        </is>
      </c>
      <c r="F8" t="inlineStr">
        <is>
          <t>BMS.PLANT.TH02</t>
        </is>
      </c>
    </row>
    <row r="9">
      <c r="A9" t="inlineStr">
        <is>
          <t>TN-DC-002-ENV-03</t>
        </is>
      </c>
      <c r="B9" t="inlineStr">
        <is>
          <t>TN-DC-002</t>
        </is>
      </c>
      <c r="C9" t="inlineStr">
        <is>
          <t>TN-DC-002-NET</t>
        </is>
      </c>
      <c r="D9" t="inlineStr">
        <is>
          <t>Temperature + humidity</t>
        </is>
      </c>
      <c r="E9" t="inlineStr">
        <is>
          <t>Cold aisle 1</t>
        </is>
      </c>
      <c r="F9" t="inlineStr">
        <is>
          <t>BMS.NET.TH03</t>
        </is>
      </c>
    </row>
    <row r="10">
      <c r="A10" t="inlineStr">
        <is>
          <t>TN-DC-002-ENV-04</t>
        </is>
      </c>
      <c r="B10" t="inlineStr">
        <is>
          <t>TN-DC-002</t>
        </is>
      </c>
      <c r="C10" t="inlineStr">
        <is>
          <t>TN-DC-002-GPU1</t>
        </is>
      </c>
      <c r="D10" t="inlineStr">
        <is>
          <t>Temperature + humidity</t>
        </is>
      </c>
      <c r="E10" t="inlineStr">
        <is>
          <t>Row G</t>
        </is>
      </c>
      <c r="F10" t="inlineStr">
        <is>
          <t>BMS.GPU1.TH04</t>
        </is>
      </c>
    </row>
    <row r="11">
      <c r="A11" t="inlineStr">
        <is>
          <t>TN-DC-002-ENV-05</t>
        </is>
      </c>
      <c r="B11" t="inlineStr">
        <is>
          <t>TN-DC-002</t>
        </is>
      </c>
      <c r="C11" t="inlineStr">
        <is>
          <t>TN-DC-002-GPU1</t>
        </is>
      </c>
      <c r="D11" t="inlineStr">
        <is>
          <t>Temperature + humidity</t>
        </is>
      </c>
      <c r="E11" t="inlineStr">
        <is>
          <t>Row H</t>
        </is>
      </c>
      <c r="F11" t="inlineStr">
        <is>
          <t>BMS.GPU1.TH05</t>
        </is>
      </c>
    </row>
    <row r="12">
      <c r="A12" t="inlineStr">
        <is>
          <t>MP-DC-001-ENV-06</t>
        </is>
      </c>
      <c r="B12" t="inlineStr">
        <is>
          <t>MP-DC-001</t>
        </is>
      </c>
      <c r="C12" t="inlineStr">
        <is>
          <t>MP-DC-001-HALLB</t>
        </is>
      </c>
      <c r="D12" t="inlineStr">
        <is>
          <t>Leak</t>
        </is>
      </c>
      <c r="E12" t="inlineStr">
        <is>
          <t>Under CDU-01</t>
        </is>
      </c>
      <c r="F12" t="inlineStr">
        <is>
          <t>BMS.HALLB.LE06</t>
        </is>
      </c>
    </row>
    <row r="13">
      <c r="A13" t="inlineStr">
        <is>
          <t>MP-DC-001-ENV-07</t>
        </is>
      </c>
      <c r="B13" t="inlineStr">
        <is>
          <t>MP-DC-001</t>
        </is>
      </c>
      <c r="C13" t="inlineStr">
        <is>
          <t>MP-DC-001-PLANT</t>
        </is>
      </c>
      <c r="D13" t="inlineStr">
        <is>
          <t>Smoke</t>
        </is>
      </c>
      <c r="E13" t="inlineStr">
        <is>
          <t>Battery area</t>
        </is>
      </c>
      <c r="F13" t="inlineStr">
        <is>
          <t>BMS.PLANT.SM07</t>
        </is>
      </c>
    </row>
    <row r="14">
      <c r="A14" t="inlineStr">
        <is>
          <t>TN-DC-002-ENV-06</t>
        </is>
      </c>
      <c r="B14" t="inlineStr">
        <is>
          <t>TN-DC-002</t>
        </is>
      </c>
      <c r="C14" t="inlineStr">
        <is>
          <t>TN-DC-002-GPU1</t>
        </is>
      </c>
      <c r="D14" t="inlineStr">
        <is>
          <t>Leak</t>
        </is>
      </c>
      <c r="E14" t="inlineStr">
        <is>
          <t>CDU manifold</t>
        </is>
      </c>
      <c r="F14" t="inlineStr">
        <is>
          <t>BMS.GPU1.LE06</t>
        </is>
      </c>
    </row>
    <row r="15">
      <c r="A15" t="inlineStr">
        <is>
          <t>TN-DC-002-ENV-07</t>
        </is>
      </c>
      <c r="B15" t="inlineStr">
        <is>
          <t>TN-DC-002</t>
        </is>
      </c>
      <c r="C15" t="inlineStr">
        <is>
          <t>TN-DC-002-PLANT</t>
        </is>
      </c>
      <c r="D15" t="inlineStr">
        <is>
          <t>Smoke</t>
        </is>
      </c>
      <c r="E15" t="inlineStr">
        <is>
          <t>Battery area</t>
        </is>
      </c>
      <c r="F15" t="inlineStr">
        <is>
          <t>BMS.PLANT.SM07</t>
        </is>
      </c>
    </row>
  </sheetData>
  <autoFilter ref="A1:F15"/>
  <dataValidations count="1">
    <dataValidation sqref="D2:D2000" showDropDown="0" showInputMessage="0" showErrorMessage="1" allowBlank="1" errorTitle="Not an allowed value" error="Pick a value from the list (Lookups → sensor_kind)." type="list">
      <formula1>=L_sensor_kind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6BD9"/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3" customWidth="1" min="4" max="4"/>
    <col width="10" customWidth="1" min="5" max="5"/>
    <col width="20" customWidth="1" min="6" max="6"/>
    <col width="31" customWidth="1" min="7" max="7"/>
    <col width="19" customWidth="1" min="8" max="8"/>
    <col width="13" customWidth="1" min="9" max="9"/>
    <col width="12" customWidth="1" min="10" max="10"/>
    <col width="19" customWidth="1" min="11" max="11"/>
    <col width="19" customWidth="1" min="12" max="12"/>
    <col width="15" customWidth="1" min="13" max="13"/>
    <col width="11" customWidth="1" min="14" max="14"/>
    <col width="14" customWidth="1" min="15" max="15"/>
    <col width="10" customWidth="1" min="16" max="16"/>
    <col width="23" customWidth="1" min="17" max="17"/>
    <col width="14" customWidth="1" min="18" max="18"/>
    <col width="19" customWidth="1" min="19" max="19"/>
    <col width="13" customWidth="1" min="20" max="20"/>
  </cols>
  <sheetData>
    <row r="1" ht="30" customHeight="1">
      <c r="A1" s="16" t="inlineStr">
        <is>
          <t>device_id *</t>
        </is>
      </c>
      <c r="B1" s="16" t="inlineStr">
        <is>
          <t>site_id *</t>
        </is>
      </c>
      <c r="C1" s="16" t="inlineStr">
        <is>
          <t>hostname *</t>
        </is>
      </c>
      <c r="D1" s="16" t="inlineStr">
        <is>
          <t>role *</t>
        </is>
      </c>
      <c r="E1" s="16" t="inlineStr">
        <is>
          <t>layer *</t>
        </is>
      </c>
      <c r="F1" s="16" t="inlineStr">
        <is>
          <t>vendor *</t>
        </is>
      </c>
      <c r="G1" s="16" t="inlineStr">
        <is>
          <t>model *</t>
        </is>
      </c>
      <c r="H1" s="17" t="inlineStr">
        <is>
          <t>os_version</t>
        </is>
      </c>
      <c r="I1" s="19" t="inlineStr">
        <is>
          <t>serial</t>
        </is>
      </c>
      <c r="J1" s="19" t="inlineStr">
        <is>
          <t>mgmt_ip</t>
        </is>
      </c>
      <c r="K1" s="17" t="inlineStr">
        <is>
          <t>mac</t>
        </is>
      </c>
      <c r="L1" s="16" t="inlineStr">
        <is>
          <t>rack_id *</t>
        </is>
      </c>
      <c r="M1" s="16" t="inlineStr">
        <is>
          <t>u_position *</t>
        </is>
      </c>
      <c r="N1" s="16" t="inlineStr">
        <is>
          <t>u_size *</t>
        </is>
      </c>
      <c r="O1" s="16" t="inlineStr">
        <is>
          <t>lifecycle *</t>
        </is>
      </c>
      <c r="P1" s="16" t="inlineStr">
        <is>
          <t>owner *</t>
        </is>
      </c>
      <c r="Q1" s="19" t="inlineStr">
        <is>
          <t>tenant_customer_id</t>
        </is>
      </c>
      <c r="R1" s="16" t="inlineStr">
        <is>
          <t>monitored *</t>
        </is>
      </c>
      <c r="S1" s="19" t="inlineStr">
        <is>
          <t>collector_id</t>
        </is>
      </c>
      <c r="T1" s="17" t="inlineStr">
        <is>
          <t>wan_edge</t>
        </is>
      </c>
    </row>
    <row r="2">
      <c r="A2" t="inlineStr">
        <is>
          <t>MP-DC-001-BDR-01</t>
        </is>
      </c>
      <c r="B2" t="inlineStr">
        <is>
          <t>MP-DC-001</t>
        </is>
      </c>
      <c r="C2" t="inlineStr">
        <is>
          <t>BDR-01</t>
        </is>
      </c>
      <c r="D2" t="inlineStr">
        <is>
          <t>Router</t>
        </is>
      </c>
      <c r="E2" t="inlineStr">
        <is>
          <t>core</t>
        </is>
      </c>
      <c r="F2" t="inlineStr">
        <is>
          <t>Juniper</t>
        </is>
      </c>
      <c r="G2" t="inlineStr">
        <is>
          <t>MX304</t>
        </is>
      </c>
      <c r="H2" t="inlineStr">
        <is>
          <t>Junos 23.2R2</t>
        </is>
      </c>
      <c r="I2" t="inlineStr">
        <is>
          <t>JUNMP001007</t>
        </is>
      </c>
      <c r="J2" t="inlineStr">
        <is>
          <t>10.10.1.1</t>
        </is>
      </c>
      <c r="K2" t="inlineStr">
        <is>
          <t>3c:fd:fe:03:ef:00</t>
        </is>
      </c>
      <c r="L2" t="inlineStr">
        <is>
          <t>MP-DC-001-MMR-R01</t>
        </is>
      </c>
      <c r="M2" t="n">
        <v>1</v>
      </c>
      <c r="N2" t="n">
        <v>2</v>
      </c>
      <c r="O2" t="inlineStr">
        <is>
          <t>Ready</t>
        </is>
      </c>
      <c r="P2" t="inlineStr">
        <is>
          <t>operator</t>
        </is>
      </c>
      <c r="R2" t="inlineStr">
        <is>
          <t>Y</t>
        </is>
      </c>
      <c r="S2" t="inlineStr">
        <is>
          <t>COL-MP-DC-001-NET</t>
        </is>
      </c>
      <c r="T2" t="inlineStr">
        <is>
          <t>Y</t>
        </is>
      </c>
    </row>
    <row r="3">
      <c r="A3" t="inlineStr">
        <is>
          <t>MP-DC-001-BDR-02</t>
        </is>
      </c>
      <c r="B3" t="inlineStr">
        <is>
          <t>MP-DC-001</t>
        </is>
      </c>
      <c r="C3" t="inlineStr">
        <is>
          <t>BDR-02</t>
        </is>
      </c>
      <c r="D3" t="inlineStr">
        <is>
          <t>Router</t>
        </is>
      </c>
      <c r="E3" t="inlineStr">
        <is>
          <t>core</t>
        </is>
      </c>
      <c r="F3" t="inlineStr">
        <is>
          <t>Juniper</t>
        </is>
      </c>
      <c r="G3" t="inlineStr">
        <is>
          <t>MX304</t>
        </is>
      </c>
      <c r="H3" t="inlineStr">
        <is>
          <t>Junos 23.2R2</t>
        </is>
      </c>
      <c r="I3" t="inlineStr">
        <is>
          <t>JUNMP001014</t>
        </is>
      </c>
      <c r="J3" t="inlineStr">
        <is>
          <t>10.10.1.2</t>
        </is>
      </c>
      <c r="K3" t="inlineStr">
        <is>
          <t>3c:fd:fe:03:f6:01</t>
        </is>
      </c>
      <c r="L3" t="inlineStr">
        <is>
          <t>MP-DC-001-MMR-R01</t>
        </is>
      </c>
      <c r="M3" t="n">
        <v>3</v>
      </c>
      <c r="N3" t="n">
        <v>2</v>
      </c>
      <c r="O3" t="inlineStr">
        <is>
          <t>Ready</t>
        </is>
      </c>
      <c r="P3" t="inlineStr">
        <is>
          <t>operator</t>
        </is>
      </c>
      <c r="R3" t="inlineStr">
        <is>
          <t>Y</t>
        </is>
      </c>
      <c r="S3" t="inlineStr">
        <is>
          <t>COL-MP-DC-001-NET</t>
        </is>
      </c>
      <c r="T3" t="inlineStr">
        <is>
          <t>Y</t>
        </is>
      </c>
    </row>
    <row r="4">
      <c r="A4" t="inlineStr">
        <is>
          <t>MP-DC-001-FW-01</t>
        </is>
      </c>
      <c r="B4" t="inlineStr">
        <is>
          <t>MP-DC-001</t>
        </is>
      </c>
      <c r="C4" t="inlineStr">
        <is>
          <t>FW-01</t>
        </is>
      </c>
      <c r="D4" t="inlineStr">
        <is>
          <t>Firewall</t>
        </is>
      </c>
      <c r="E4" t="inlineStr">
        <is>
          <t>core</t>
        </is>
      </c>
      <c r="F4" t="inlineStr">
        <is>
          <t>Fortinet</t>
        </is>
      </c>
      <c r="G4" t="inlineStr">
        <is>
          <t>FortiGate 3700F</t>
        </is>
      </c>
      <c r="H4" t="inlineStr">
        <is>
          <t>FortiOS 7.4.4</t>
        </is>
      </c>
      <c r="I4" t="inlineStr">
        <is>
          <t>FORMP001021</t>
        </is>
      </c>
      <c r="J4" t="inlineStr">
        <is>
          <t>10.10.1.11</t>
        </is>
      </c>
      <c r="K4" t="inlineStr">
        <is>
          <t>3c:fd:fe:03:fd:02</t>
        </is>
      </c>
      <c r="L4" t="inlineStr">
        <is>
          <t>MP-DC-001-MMR-R01</t>
        </is>
      </c>
      <c r="M4" t="n">
        <v>5</v>
      </c>
      <c r="N4" t="n">
        <v>3</v>
      </c>
      <c r="O4" t="inlineStr">
        <is>
          <t>Ready</t>
        </is>
      </c>
      <c r="P4" t="inlineStr">
        <is>
          <t>operator</t>
        </is>
      </c>
      <c r="R4" t="inlineStr">
        <is>
          <t>Y</t>
        </is>
      </c>
      <c r="S4" t="inlineStr">
        <is>
          <t>COL-MP-DC-001-NET</t>
        </is>
      </c>
      <c r="T4" t="inlineStr">
        <is>
          <t>N</t>
        </is>
      </c>
    </row>
    <row r="5">
      <c r="A5" t="inlineStr">
        <is>
          <t>MP-DC-001-FW-02</t>
        </is>
      </c>
      <c r="B5" t="inlineStr">
        <is>
          <t>MP-DC-001</t>
        </is>
      </c>
      <c r="C5" t="inlineStr">
        <is>
          <t>FW-02</t>
        </is>
      </c>
      <c r="D5" t="inlineStr">
        <is>
          <t>Firewall</t>
        </is>
      </c>
      <c r="E5" t="inlineStr">
        <is>
          <t>core</t>
        </is>
      </c>
      <c r="F5" t="inlineStr">
        <is>
          <t>Fortinet</t>
        </is>
      </c>
      <c r="G5" t="inlineStr">
        <is>
          <t>FortiGate 3700F</t>
        </is>
      </c>
      <c r="H5" t="inlineStr">
        <is>
          <t>FortiOS 7.4.4</t>
        </is>
      </c>
      <c r="I5" t="inlineStr">
        <is>
          <t>FORMP001028</t>
        </is>
      </c>
      <c r="J5" t="inlineStr">
        <is>
          <t>10.10.1.12</t>
        </is>
      </c>
      <c r="K5" t="inlineStr">
        <is>
          <t>3c:fd:fe:04:04:03</t>
        </is>
      </c>
      <c r="L5" t="inlineStr">
        <is>
          <t>MP-DC-001-MMR-R01</t>
        </is>
      </c>
      <c r="M5" t="n">
        <v>8</v>
      </c>
      <c r="N5" t="n">
        <v>3</v>
      </c>
      <c r="O5" t="inlineStr">
        <is>
          <t>Ready</t>
        </is>
      </c>
      <c r="P5" t="inlineStr">
        <is>
          <t>operator</t>
        </is>
      </c>
      <c r="R5" t="inlineStr">
        <is>
          <t>Y</t>
        </is>
      </c>
      <c r="S5" t="inlineStr">
        <is>
          <t>COL-MP-DC-001-NET</t>
        </is>
      </c>
      <c r="T5" t="inlineStr">
        <is>
          <t>N</t>
        </is>
      </c>
    </row>
    <row r="6">
      <c r="A6" t="inlineStr">
        <is>
          <t>MP-DC-001-MMR-SW-01</t>
        </is>
      </c>
      <c r="B6" t="inlineStr">
        <is>
          <t>MP-DC-001</t>
        </is>
      </c>
      <c r="C6" t="inlineStr">
        <is>
          <t>MMR-SW-01</t>
        </is>
      </c>
      <c r="D6" t="inlineStr">
        <is>
          <t>Switch</t>
        </is>
      </c>
      <c r="E6" t="inlineStr">
        <is>
          <t>access</t>
        </is>
      </c>
      <c r="F6" t="inlineStr">
        <is>
          <t>Arista</t>
        </is>
      </c>
      <c r="G6" t="inlineStr">
        <is>
          <t>7050SX3-48YC8</t>
        </is>
      </c>
      <c r="H6" t="inlineStr">
        <is>
          <t>EOS 4.31.2F</t>
        </is>
      </c>
      <c r="I6" t="inlineStr">
        <is>
          <t>ARIMP001035</t>
        </is>
      </c>
      <c r="J6" t="inlineStr">
        <is>
          <t>10.10.1.21</t>
        </is>
      </c>
      <c r="K6" t="inlineStr">
        <is>
          <t>3c:fd:fe:04:0b:04</t>
        </is>
      </c>
      <c r="L6" t="inlineStr">
        <is>
          <t>MP-DC-001-MMR-R02</t>
        </is>
      </c>
      <c r="M6" t="n">
        <v>1</v>
      </c>
      <c r="N6" t="n">
        <v>1</v>
      </c>
      <c r="O6" t="inlineStr">
        <is>
          <t>Ready</t>
        </is>
      </c>
      <c r="P6" t="inlineStr">
        <is>
          <t>operator</t>
        </is>
      </c>
      <c r="R6" t="inlineStr">
        <is>
          <t>Y</t>
        </is>
      </c>
      <c r="S6" t="inlineStr">
        <is>
          <t>COL-MP-DC-001-NET</t>
        </is>
      </c>
      <c r="T6" t="inlineStr">
        <is>
          <t>N</t>
        </is>
      </c>
    </row>
    <row r="7">
      <c r="A7" t="inlineStr">
        <is>
          <t>MP-DC-001-MMR-SW-02</t>
        </is>
      </c>
      <c r="B7" t="inlineStr">
        <is>
          <t>MP-DC-001</t>
        </is>
      </c>
      <c r="C7" t="inlineStr">
        <is>
          <t>MMR-SW-02</t>
        </is>
      </c>
      <c r="D7" t="inlineStr">
        <is>
          <t>Switch</t>
        </is>
      </c>
      <c r="E7" t="inlineStr">
        <is>
          <t>access</t>
        </is>
      </c>
      <c r="F7" t="inlineStr">
        <is>
          <t>Arista</t>
        </is>
      </c>
      <c r="G7" t="inlineStr">
        <is>
          <t>7050SX3-48YC8</t>
        </is>
      </c>
      <c r="H7" t="inlineStr">
        <is>
          <t>EOS 4.31.2F</t>
        </is>
      </c>
      <c r="I7" t="inlineStr">
        <is>
          <t>ARIMP001042</t>
        </is>
      </c>
      <c r="J7" t="inlineStr">
        <is>
          <t>10.10.1.22</t>
        </is>
      </c>
      <c r="K7" t="inlineStr">
        <is>
          <t>3c:fd:fe:04:12:05</t>
        </is>
      </c>
      <c r="L7" t="inlineStr">
        <is>
          <t>MP-DC-001-MMR-R02</t>
        </is>
      </c>
      <c r="M7" t="n">
        <v>2</v>
      </c>
      <c r="N7" t="n">
        <v>1</v>
      </c>
      <c r="O7" t="inlineStr">
        <is>
          <t>Ready</t>
        </is>
      </c>
      <c r="P7" t="inlineStr">
        <is>
          <t>operator</t>
        </is>
      </c>
      <c r="R7" t="inlineStr">
        <is>
          <t>Y</t>
        </is>
      </c>
      <c r="S7" t="inlineStr">
        <is>
          <t>COL-MP-DC-001-NET</t>
        </is>
      </c>
      <c r="T7" t="inlineStr">
        <is>
          <t>N</t>
        </is>
      </c>
    </row>
    <row r="8">
      <c r="A8" t="inlineStr">
        <is>
          <t>MP-DC-001-AGG-01</t>
        </is>
      </c>
      <c r="B8" t="inlineStr">
        <is>
          <t>MP-DC-001</t>
        </is>
      </c>
      <c r="C8" t="inlineStr">
        <is>
          <t>AGG-01</t>
        </is>
      </c>
      <c r="D8" t="inlineStr">
        <is>
          <t>Switch</t>
        </is>
      </c>
      <c r="E8" t="inlineStr">
        <is>
          <t>spine</t>
        </is>
      </c>
      <c r="F8" t="inlineStr">
        <is>
          <t>Arista</t>
        </is>
      </c>
      <c r="G8" t="inlineStr">
        <is>
          <t>7280R3-48YC8</t>
        </is>
      </c>
      <c r="H8" t="inlineStr">
        <is>
          <t>EOS 4.31.2F</t>
        </is>
      </c>
      <c r="I8" t="inlineStr">
        <is>
          <t>ARIMP001049</t>
        </is>
      </c>
      <c r="J8" t="inlineStr">
        <is>
          <t>10.10.1.31</t>
        </is>
      </c>
      <c r="K8" t="inlineStr">
        <is>
          <t>3c:fd:fe:04:19:06</t>
        </is>
      </c>
      <c r="L8" t="inlineStr">
        <is>
          <t>MP-DC-001-A01</t>
        </is>
      </c>
      <c r="M8" t="n">
        <v>1</v>
      </c>
      <c r="N8" t="n">
        <v>1</v>
      </c>
      <c r="O8" t="inlineStr">
        <is>
          <t>Ready</t>
        </is>
      </c>
      <c r="P8" t="inlineStr">
        <is>
          <t>operator</t>
        </is>
      </c>
      <c r="R8" t="inlineStr">
        <is>
          <t>Y</t>
        </is>
      </c>
      <c r="S8" t="inlineStr">
        <is>
          <t>COL-MP-DC-001-NET</t>
        </is>
      </c>
      <c r="T8" t="inlineStr">
        <is>
          <t>N</t>
        </is>
      </c>
    </row>
    <row r="9">
      <c r="A9" t="inlineStr">
        <is>
          <t>MP-DC-001-AGG-02</t>
        </is>
      </c>
      <c r="B9" t="inlineStr">
        <is>
          <t>MP-DC-001</t>
        </is>
      </c>
      <c r="C9" t="inlineStr">
        <is>
          <t>AGG-02</t>
        </is>
      </c>
      <c r="D9" t="inlineStr">
        <is>
          <t>Switch</t>
        </is>
      </c>
      <c r="E9" t="inlineStr">
        <is>
          <t>spine</t>
        </is>
      </c>
      <c r="F9" t="inlineStr">
        <is>
          <t>Arista</t>
        </is>
      </c>
      <c r="G9" t="inlineStr">
        <is>
          <t>7280R3-48YC8</t>
        </is>
      </c>
      <c r="H9" t="inlineStr">
        <is>
          <t>EOS 4.31.2F</t>
        </is>
      </c>
      <c r="I9" t="inlineStr">
        <is>
          <t>ARIMP001056</t>
        </is>
      </c>
      <c r="J9" t="inlineStr">
        <is>
          <t>10.10.1.32</t>
        </is>
      </c>
      <c r="K9" t="inlineStr">
        <is>
          <t>3c:fd:fe:04:20:07</t>
        </is>
      </c>
      <c r="L9" t="inlineStr">
        <is>
          <t>MP-DC-001-A01</t>
        </is>
      </c>
      <c r="M9" t="n">
        <v>2</v>
      </c>
      <c r="N9" t="n">
        <v>1</v>
      </c>
      <c r="O9" t="inlineStr">
        <is>
          <t>Ready</t>
        </is>
      </c>
      <c r="P9" t="inlineStr">
        <is>
          <t>operator</t>
        </is>
      </c>
      <c r="R9" t="inlineStr">
        <is>
          <t>Y</t>
        </is>
      </c>
      <c r="S9" t="inlineStr">
        <is>
          <t>COL-MP-DC-001-NET</t>
        </is>
      </c>
      <c r="T9" t="inlineStr">
        <is>
          <t>N</t>
        </is>
      </c>
    </row>
    <row r="10">
      <c r="A10" t="inlineStr">
        <is>
          <t>MP-DC-001-OOB-01</t>
        </is>
      </c>
      <c r="B10" t="inlineStr">
        <is>
          <t>MP-DC-001</t>
        </is>
      </c>
      <c r="C10" t="inlineStr">
        <is>
          <t>OOB-01</t>
        </is>
      </c>
      <c r="D10" t="inlineStr">
        <is>
          <t>Switch</t>
        </is>
      </c>
      <c r="E10" t="inlineStr">
        <is>
          <t>access</t>
        </is>
      </c>
      <c r="F10" t="inlineStr">
        <is>
          <t>Cisco</t>
        </is>
      </c>
      <c r="G10" t="inlineStr">
        <is>
          <t>Catalyst 9300-48T</t>
        </is>
      </c>
      <c r="H10" t="inlineStr">
        <is>
          <t>IOS XE 17.9.4</t>
        </is>
      </c>
      <c r="I10" t="inlineStr">
        <is>
          <t>CISMP001063</t>
        </is>
      </c>
      <c r="J10" t="inlineStr">
        <is>
          <t>10.10.1.40</t>
        </is>
      </c>
      <c r="K10" t="inlineStr">
        <is>
          <t>3c:fd:fe:04:27:08</t>
        </is>
      </c>
      <c r="L10" t="inlineStr">
        <is>
          <t>MP-DC-001-A01</t>
        </is>
      </c>
      <c r="M10" t="n">
        <v>3</v>
      </c>
      <c r="N10" t="n">
        <v>1</v>
      </c>
      <c r="O10" t="inlineStr">
        <is>
          <t>Ready</t>
        </is>
      </c>
      <c r="P10" t="inlineStr">
        <is>
          <t>operator</t>
        </is>
      </c>
      <c r="R10" t="inlineStr">
        <is>
          <t>Y</t>
        </is>
      </c>
      <c r="S10" t="inlineStr">
        <is>
          <t>COL-MP-DC-001-NET</t>
        </is>
      </c>
      <c r="T10" t="inlineStr">
        <is>
          <t>N</t>
        </is>
      </c>
    </row>
    <row r="11">
      <c r="A11" t="inlineStr">
        <is>
          <t>MP-DC-001-TEN-A02</t>
        </is>
      </c>
      <c r="B11" t="inlineStr">
        <is>
          <t>MP-DC-001</t>
        </is>
      </c>
      <c r="C11" t="inlineStr">
        <is>
          <t>TEN-A02</t>
        </is>
      </c>
      <c r="D11" t="inlineStr">
        <is>
          <t>Tenant gear</t>
        </is>
      </c>
      <c r="E11" t="inlineStr">
        <is>
          <t>access</t>
        </is>
      </c>
      <c r="F11" t="inlineStr">
        <is>
          <t>Tenant</t>
        </is>
      </c>
      <c r="G11" t="inlineStr">
        <is>
          <t>Tenant equipment (opaque)</t>
        </is>
      </c>
      <c r="L11" t="inlineStr">
        <is>
          <t>MP-DC-001-A02</t>
        </is>
      </c>
      <c r="M11" t="n">
        <v>1</v>
      </c>
      <c r="N11" t="n">
        <v>30</v>
      </c>
      <c r="O11" t="inlineStr">
        <is>
          <t>Ready</t>
        </is>
      </c>
      <c r="P11" t="inlineStr">
        <is>
          <t>tenant</t>
        </is>
      </c>
      <c r="Q11" t="inlineStr">
        <is>
          <t>CUST-001</t>
        </is>
      </c>
      <c r="R11" t="inlineStr">
        <is>
          <t>N</t>
        </is>
      </c>
      <c r="T11" t="inlineStr">
        <is>
          <t>N</t>
        </is>
      </c>
    </row>
    <row r="12">
      <c r="A12" t="inlineStr">
        <is>
          <t>MP-DC-001-TEN-A03</t>
        </is>
      </c>
      <c r="B12" t="inlineStr">
        <is>
          <t>MP-DC-001</t>
        </is>
      </c>
      <c r="C12" t="inlineStr">
        <is>
          <t>TEN-A03</t>
        </is>
      </c>
      <c r="D12" t="inlineStr">
        <is>
          <t>Tenant gear</t>
        </is>
      </c>
      <c r="E12" t="inlineStr">
        <is>
          <t>access</t>
        </is>
      </c>
      <c r="F12" t="inlineStr">
        <is>
          <t>Tenant</t>
        </is>
      </c>
      <c r="G12" t="inlineStr">
        <is>
          <t>Tenant equipment (opaque)</t>
        </is>
      </c>
      <c r="L12" t="inlineStr">
        <is>
          <t>MP-DC-001-A03</t>
        </is>
      </c>
      <c r="M12" t="n">
        <v>1</v>
      </c>
      <c r="N12" t="n">
        <v>24</v>
      </c>
      <c r="O12" t="inlineStr">
        <is>
          <t>Ready</t>
        </is>
      </c>
      <c r="P12" t="inlineStr">
        <is>
          <t>tenant</t>
        </is>
      </c>
      <c r="Q12" t="inlineStr">
        <is>
          <t>CUST-001</t>
        </is>
      </c>
      <c r="R12" t="inlineStr">
        <is>
          <t>N</t>
        </is>
      </c>
      <c r="T12" t="inlineStr">
        <is>
          <t>N</t>
        </is>
      </c>
    </row>
    <row r="13">
      <c r="A13" t="inlineStr">
        <is>
          <t>MP-DC-001-TEN-A04</t>
        </is>
      </c>
      <c r="B13" t="inlineStr">
        <is>
          <t>MP-DC-001</t>
        </is>
      </c>
      <c r="C13" t="inlineStr">
        <is>
          <t>TEN-A04</t>
        </is>
      </c>
      <c r="D13" t="inlineStr">
        <is>
          <t>Tenant gear</t>
        </is>
      </c>
      <c r="E13" t="inlineStr">
        <is>
          <t>access</t>
        </is>
      </c>
      <c r="F13" t="inlineStr">
        <is>
          <t>Tenant</t>
        </is>
      </c>
      <c r="G13" t="inlineStr">
        <is>
          <t>Tenant equipment (opaque)</t>
        </is>
      </c>
      <c r="L13" t="inlineStr">
        <is>
          <t>MP-DC-001-A04</t>
        </is>
      </c>
      <c r="M13" t="n">
        <v>1</v>
      </c>
      <c r="N13" t="n">
        <v>34</v>
      </c>
      <c r="O13" t="inlineStr">
        <is>
          <t>Ready</t>
        </is>
      </c>
      <c r="P13" t="inlineStr">
        <is>
          <t>tenant</t>
        </is>
      </c>
      <c r="Q13" t="inlineStr">
        <is>
          <t>CUST-002</t>
        </is>
      </c>
      <c r="R13" t="inlineStr">
        <is>
          <t>N</t>
        </is>
      </c>
      <c r="T13" t="inlineStr">
        <is>
          <t>N</t>
        </is>
      </c>
    </row>
    <row r="14">
      <c r="A14" t="inlineStr">
        <is>
          <t>MP-DC-001-TEN-A05</t>
        </is>
      </c>
      <c r="B14" t="inlineStr">
        <is>
          <t>MP-DC-001</t>
        </is>
      </c>
      <c r="C14" t="inlineStr">
        <is>
          <t>TEN-A05</t>
        </is>
      </c>
      <c r="D14" t="inlineStr">
        <is>
          <t>Tenant gear</t>
        </is>
      </c>
      <c r="E14" t="inlineStr">
        <is>
          <t>access</t>
        </is>
      </c>
      <c r="F14" t="inlineStr">
        <is>
          <t>Tenant</t>
        </is>
      </c>
      <c r="G14" t="inlineStr">
        <is>
          <t>Tenant equipment (opaque)</t>
        </is>
      </c>
      <c r="L14" t="inlineStr">
        <is>
          <t>MP-DC-001-A05</t>
        </is>
      </c>
      <c r="M14" t="n">
        <v>1</v>
      </c>
      <c r="N14" t="n">
        <v>20</v>
      </c>
      <c r="O14" t="inlineStr">
        <is>
          <t>Ready</t>
        </is>
      </c>
      <c r="P14" t="inlineStr">
        <is>
          <t>tenant</t>
        </is>
      </c>
      <c r="Q14" t="inlineStr">
        <is>
          <t>CUST-003</t>
        </is>
      </c>
      <c r="R14" t="inlineStr">
        <is>
          <t>N</t>
        </is>
      </c>
      <c r="T14" t="inlineStr">
        <is>
          <t>N</t>
        </is>
      </c>
    </row>
    <row r="15">
      <c r="A15" t="inlineStr">
        <is>
          <t>MP-DC-001-TEN-A06</t>
        </is>
      </c>
      <c r="B15" t="inlineStr">
        <is>
          <t>MP-DC-001</t>
        </is>
      </c>
      <c r="C15" t="inlineStr">
        <is>
          <t>TEN-A06</t>
        </is>
      </c>
      <c r="D15" t="inlineStr">
        <is>
          <t>Tenant gear</t>
        </is>
      </c>
      <c r="E15" t="inlineStr">
        <is>
          <t>access</t>
        </is>
      </c>
      <c r="F15" t="inlineStr">
        <is>
          <t>Tenant</t>
        </is>
      </c>
      <c r="G15" t="inlineStr">
        <is>
          <t>Tenant equipment (opaque)</t>
        </is>
      </c>
      <c r="L15" t="inlineStr">
        <is>
          <t>MP-DC-001-A06</t>
        </is>
      </c>
      <c r="M15" t="n">
        <v>1</v>
      </c>
      <c r="N15" t="n">
        <v>18</v>
      </c>
      <c r="O15" t="inlineStr">
        <is>
          <t>Ready</t>
        </is>
      </c>
      <c r="P15" t="inlineStr">
        <is>
          <t>tenant</t>
        </is>
      </c>
      <c r="Q15" t="inlineStr">
        <is>
          <t>CUST-003</t>
        </is>
      </c>
      <c r="R15" t="inlineStr">
        <is>
          <t>N</t>
        </is>
      </c>
      <c r="T15" t="inlineStr">
        <is>
          <t>N</t>
        </is>
      </c>
    </row>
    <row r="16">
      <c r="A16" t="inlineStr">
        <is>
          <t>MP-DC-001-TEN-B01</t>
        </is>
      </c>
      <c r="B16" t="inlineStr">
        <is>
          <t>MP-DC-001</t>
        </is>
      </c>
      <c r="C16" t="inlineStr">
        <is>
          <t>TEN-B01</t>
        </is>
      </c>
      <c r="D16" t="inlineStr">
        <is>
          <t>Tenant gear</t>
        </is>
      </c>
      <c r="E16" t="inlineStr">
        <is>
          <t>access</t>
        </is>
      </c>
      <c r="F16" t="inlineStr">
        <is>
          <t>Tenant</t>
        </is>
      </c>
      <c r="G16" t="inlineStr">
        <is>
          <t>Tenant equipment (opaque)</t>
        </is>
      </c>
      <c r="L16" t="inlineStr">
        <is>
          <t>MP-DC-001-B01</t>
        </is>
      </c>
      <c r="M16" t="n">
        <v>1</v>
      </c>
      <c r="N16" t="n">
        <v>40</v>
      </c>
      <c r="O16" t="inlineStr">
        <is>
          <t>Ready</t>
        </is>
      </c>
      <c r="P16" t="inlineStr">
        <is>
          <t>tenant</t>
        </is>
      </c>
      <c r="Q16" t="inlineStr">
        <is>
          <t>CUST-004</t>
        </is>
      </c>
      <c r="R16" t="inlineStr">
        <is>
          <t>N</t>
        </is>
      </c>
      <c r="T16" t="inlineStr">
        <is>
          <t>N</t>
        </is>
      </c>
    </row>
    <row r="17">
      <c r="A17" t="inlineStr">
        <is>
          <t>MP-DC-001-TEN-B02</t>
        </is>
      </c>
      <c r="B17" t="inlineStr">
        <is>
          <t>MP-DC-001</t>
        </is>
      </c>
      <c r="C17" t="inlineStr">
        <is>
          <t>TEN-B02</t>
        </is>
      </c>
      <c r="D17" t="inlineStr">
        <is>
          <t>Tenant gear</t>
        </is>
      </c>
      <c r="E17" t="inlineStr">
        <is>
          <t>access</t>
        </is>
      </c>
      <c r="F17" t="inlineStr">
        <is>
          <t>Tenant</t>
        </is>
      </c>
      <c r="G17" t="inlineStr">
        <is>
          <t>Tenant equipment (opaque)</t>
        </is>
      </c>
      <c r="L17" t="inlineStr">
        <is>
          <t>MP-DC-001-B02</t>
        </is>
      </c>
      <c r="M17" t="n">
        <v>1</v>
      </c>
      <c r="N17" t="n">
        <v>40</v>
      </c>
      <c r="O17" t="inlineStr">
        <is>
          <t>Ready</t>
        </is>
      </c>
      <c r="P17" t="inlineStr">
        <is>
          <t>tenant</t>
        </is>
      </c>
      <c r="Q17" t="inlineStr">
        <is>
          <t>CUST-004</t>
        </is>
      </c>
      <c r="R17" t="inlineStr">
        <is>
          <t>N</t>
        </is>
      </c>
      <c r="T17" t="inlineStr">
        <is>
          <t>N</t>
        </is>
      </c>
    </row>
    <row r="18">
      <c r="A18" t="inlineStr">
        <is>
          <t>MP-DC-001-TEN-B03</t>
        </is>
      </c>
      <c r="B18" t="inlineStr">
        <is>
          <t>MP-DC-001</t>
        </is>
      </c>
      <c r="C18" t="inlineStr">
        <is>
          <t>TEN-B03</t>
        </is>
      </c>
      <c r="D18" t="inlineStr">
        <is>
          <t>Tenant gear</t>
        </is>
      </c>
      <c r="E18" t="inlineStr">
        <is>
          <t>access</t>
        </is>
      </c>
      <c r="F18" t="inlineStr">
        <is>
          <t>Tenant</t>
        </is>
      </c>
      <c r="G18" t="inlineStr">
        <is>
          <t>Tenant equipment (opaque)</t>
        </is>
      </c>
      <c r="L18" t="inlineStr">
        <is>
          <t>MP-DC-001-B03</t>
        </is>
      </c>
      <c r="M18" t="n">
        <v>1</v>
      </c>
      <c r="N18" t="n">
        <v>40</v>
      </c>
      <c r="O18" t="inlineStr">
        <is>
          <t>Ready</t>
        </is>
      </c>
      <c r="P18" t="inlineStr">
        <is>
          <t>tenant</t>
        </is>
      </c>
      <c r="Q18" t="inlineStr">
        <is>
          <t>CUST-004</t>
        </is>
      </c>
      <c r="R18" t="inlineStr">
        <is>
          <t>N</t>
        </is>
      </c>
      <c r="T18" t="inlineStr">
        <is>
          <t>N</t>
        </is>
      </c>
    </row>
    <row r="19">
      <c r="A19" t="inlineStr">
        <is>
          <t>MP-DC-001-TEN-B04</t>
        </is>
      </c>
      <c r="B19" t="inlineStr">
        <is>
          <t>MP-DC-001</t>
        </is>
      </c>
      <c r="C19" t="inlineStr">
        <is>
          <t>TEN-B04</t>
        </is>
      </c>
      <c r="D19" t="inlineStr">
        <is>
          <t>Tenant gear</t>
        </is>
      </c>
      <c r="E19" t="inlineStr">
        <is>
          <t>access</t>
        </is>
      </c>
      <c r="F19" t="inlineStr">
        <is>
          <t>Tenant</t>
        </is>
      </c>
      <c r="G19" t="inlineStr">
        <is>
          <t>Tenant equipment (opaque)</t>
        </is>
      </c>
      <c r="L19" t="inlineStr">
        <is>
          <t>MP-DC-001-B04</t>
        </is>
      </c>
      <c r="M19" t="n">
        <v>1</v>
      </c>
      <c r="N19" t="n">
        <v>40</v>
      </c>
      <c r="O19" t="inlineStr">
        <is>
          <t>Ready</t>
        </is>
      </c>
      <c r="P19" t="inlineStr">
        <is>
          <t>tenant</t>
        </is>
      </c>
      <c r="Q19" t="inlineStr">
        <is>
          <t>CUST-004</t>
        </is>
      </c>
      <c r="R19" t="inlineStr">
        <is>
          <t>N</t>
        </is>
      </c>
      <c r="T19" t="inlineStr">
        <is>
          <t>N</t>
        </is>
      </c>
    </row>
    <row r="20">
      <c r="A20" t="inlineStr">
        <is>
          <t>TN-DC-002-BDR-01</t>
        </is>
      </c>
      <c r="B20" t="inlineStr">
        <is>
          <t>TN-DC-002</t>
        </is>
      </c>
      <c r="C20" t="inlineStr">
        <is>
          <t>BDR-01</t>
        </is>
      </c>
      <c r="D20" t="inlineStr">
        <is>
          <t>Router</t>
        </is>
      </c>
      <c r="E20" t="inlineStr">
        <is>
          <t>core</t>
        </is>
      </c>
      <c r="F20" t="inlineStr">
        <is>
          <t>Juniper</t>
        </is>
      </c>
      <c r="G20" t="inlineStr">
        <is>
          <t>MX304</t>
        </is>
      </c>
      <c r="H20" t="inlineStr">
        <is>
          <t>Junos 23.2R2</t>
        </is>
      </c>
      <c r="I20" t="inlineStr">
        <is>
          <t>JUNTN001133</t>
        </is>
      </c>
      <c r="J20" t="inlineStr">
        <is>
          <t>10.20.1.1</t>
        </is>
      </c>
      <c r="K20" t="inlineStr">
        <is>
          <t>3c:fd:fe:04:6d:12</t>
        </is>
      </c>
      <c r="L20" t="inlineStr">
        <is>
          <t>TN-DC-002-MMR-R01</t>
        </is>
      </c>
      <c r="M20" t="n">
        <v>1</v>
      </c>
      <c r="N20" t="n">
        <v>2</v>
      </c>
      <c r="O20" t="inlineStr">
        <is>
          <t>Ready</t>
        </is>
      </c>
      <c r="P20" t="inlineStr">
        <is>
          <t>operator</t>
        </is>
      </c>
      <c r="R20" t="inlineStr">
        <is>
          <t>Y</t>
        </is>
      </c>
      <c r="S20" t="inlineStr">
        <is>
          <t>COL-TN-DC-002-NET</t>
        </is>
      </c>
      <c r="T20" t="inlineStr">
        <is>
          <t>Y</t>
        </is>
      </c>
    </row>
    <row r="21">
      <c r="A21" t="inlineStr">
        <is>
          <t>TN-DC-002-BDR-02</t>
        </is>
      </c>
      <c r="B21" t="inlineStr">
        <is>
          <t>TN-DC-002</t>
        </is>
      </c>
      <c r="C21" t="inlineStr">
        <is>
          <t>BDR-02</t>
        </is>
      </c>
      <c r="D21" t="inlineStr">
        <is>
          <t>Router</t>
        </is>
      </c>
      <c r="E21" t="inlineStr">
        <is>
          <t>core</t>
        </is>
      </c>
      <c r="F21" t="inlineStr">
        <is>
          <t>Juniper</t>
        </is>
      </c>
      <c r="G21" t="inlineStr">
        <is>
          <t>MX304</t>
        </is>
      </c>
      <c r="H21" t="inlineStr">
        <is>
          <t>Junos 23.2R2</t>
        </is>
      </c>
      <c r="I21" t="inlineStr">
        <is>
          <t>JUNTN001140</t>
        </is>
      </c>
      <c r="J21" t="inlineStr">
        <is>
          <t>10.20.1.2</t>
        </is>
      </c>
      <c r="K21" t="inlineStr">
        <is>
          <t>3c:fd:fe:04:74:13</t>
        </is>
      </c>
      <c r="L21" t="inlineStr">
        <is>
          <t>TN-DC-002-MMR-R01</t>
        </is>
      </c>
      <c r="M21" t="n">
        <v>3</v>
      </c>
      <c r="N21" t="n">
        <v>2</v>
      </c>
      <c r="O21" t="inlineStr">
        <is>
          <t>Ready</t>
        </is>
      </c>
      <c r="P21" t="inlineStr">
        <is>
          <t>operator</t>
        </is>
      </c>
      <c r="R21" t="inlineStr">
        <is>
          <t>Y</t>
        </is>
      </c>
      <c r="S21" t="inlineStr">
        <is>
          <t>COL-TN-DC-002-NET</t>
        </is>
      </c>
      <c r="T21" t="inlineStr">
        <is>
          <t>Y</t>
        </is>
      </c>
    </row>
    <row r="22">
      <c r="A22" t="inlineStr">
        <is>
          <t>TN-DC-002-FW-01</t>
        </is>
      </c>
      <c r="B22" t="inlineStr">
        <is>
          <t>TN-DC-002</t>
        </is>
      </c>
      <c r="C22" t="inlineStr">
        <is>
          <t>FW-01</t>
        </is>
      </c>
      <c r="D22" t="inlineStr">
        <is>
          <t>Firewall</t>
        </is>
      </c>
      <c r="E22" t="inlineStr">
        <is>
          <t>core</t>
        </is>
      </c>
      <c r="F22" t="inlineStr">
        <is>
          <t>Palo Alto Networks</t>
        </is>
      </c>
      <c r="G22" t="inlineStr">
        <is>
          <t>PA-5450</t>
        </is>
      </c>
      <c r="H22" t="inlineStr">
        <is>
          <t>PAN-OS 11.1.4</t>
        </is>
      </c>
      <c r="I22" t="inlineStr">
        <is>
          <t>PALTN001147</t>
        </is>
      </c>
      <c r="J22" t="inlineStr">
        <is>
          <t>10.20.1.11</t>
        </is>
      </c>
      <c r="K22" t="inlineStr">
        <is>
          <t>3c:fd:fe:04:7b:14</t>
        </is>
      </c>
      <c r="L22" t="inlineStr">
        <is>
          <t>TN-DC-002-MMR-R01</t>
        </is>
      </c>
      <c r="M22" t="n">
        <v>5</v>
      </c>
      <c r="N22" t="n">
        <v>5</v>
      </c>
      <c r="O22" t="inlineStr">
        <is>
          <t>Ready</t>
        </is>
      </c>
      <c r="P22" t="inlineStr">
        <is>
          <t>operator</t>
        </is>
      </c>
      <c r="R22" t="inlineStr">
        <is>
          <t>Y</t>
        </is>
      </c>
      <c r="S22" t="inlineStr">
        <is>
          <t>COL-TN-DC-002-NET</t>
        </is>
      </c>
      <c r="T22" t="inlineStr">
        <is>
          <t>N</t>
        </is>
      </c>
    </row>
    <row r="23">
      <c r="A23" t="inlineStr">
        <is>
          <t>TN-DC-002-FW-02</t>
        </is>
      </c>
      <c r="B23" t="inlineStr">
        <is>
          <t>TN-DC-002</t>
        </is>
      </c>
      <c r="C23" t="inlineStr">
        <is>
          <t>FW-02</t>
        </is>
      </c>
      <c r="D23" t="inlineStr">
        <is>
          <t>Firewall</t>
        </is>
      </c>
      <c r="E23" t="inlineStr">
        <is>
          <t>core</t>
        </is>
      </c>
      <c r="F23" t="inlineStr">
        <is>
          <t>Palo Alto Networks</t>
        </is>
      </c>
      <c r="G23" t="inlineStr">
        <is>
          <t>PA-5450</t>
        </is>
      </c>
      <c r="H23" t="inlineStr">
        <is>
          <t>PAN-OS 11.1.4</t>
        </is>
      </c>
      <c r="I23" t="inlineStr">
        <is>
          <t>PALTN001154</t>
        </is>
      </c>
      <c r="J23" t="inlineStr">
        <is>
          <t>10.20.1.12</t>
        </is>
      </c>
      <c r="K23" t="inlineStr">
        <is>
          <t>3c:fd:fe:04:82:15</t>
        </is>
      </c>
      <c r="L23" t="inlineStr">
        <is>
          <t>TN-DC-002-MMR-R01</t>
        </is>
      </c>
      <c r="M23" t="n">
        <v>10</v>
      </c>
      <c r="N23" t="n">
        <v>5</v>
      </c>
      <c r="O23" t="inlineStr">
        <is>
          <t>Ready</t>
        </is>
      </c>
      <c r="P23" t="inlineStr">
        <is>
          <t>operator</t>
        </is>
      </c>
      <c r="R23" t="inlineStr">
        <is>
          <t>Y</t>
        </is>
      </c>
      <c r="S23" t="inlineStr">
        <is>
          <t>COL-TN-DC-002-NET</t>
        </is>
      </c>
      <c r="T23" t="inlineStr">
        <is>
          <t>N</t>
        </is>
      </c>
    </row>
    <row r="24">
      <c r="A24" t="inlineStr">
        <is>
          <t>TN-DC-002-IB-SPINE-01</t>
        </is>
      </c>
      <c r="B24" t="inlineStr">
        <is>
          <t>TN-DC-002</t>
        </is>
      </c>
      <c r="C24" t="inlineStr">
        <is>
          <t>IB-SPINE-01</t>
        </is>
      </c>
      <c r="D24" t="inlineStr">
        <is>
          <t>Switch</t>
        </is>
      </c>
      <c r="E24" t="inlineStr">
        <is>
          <t>spine</t>
        </is>
      </c>
      <c r="F24" t="inlineStr">
        <is>
          <t>NVIDIA</t>
        </is>
      </c>
      <c r="G24" t="inlineStr">
        <is>
          <t>Quantum-2 QM9700</t>
        </is>
      </c>
      <c r="H24" t="inlineStr">
        <is>
          <t>MLNX-OS 3.11.2016</t>
        </is>
      </c>
      <c r="I24" t="inlineStr">
        <is>
          <t>NVITN001161</t>
        </is>
      </c>
      <c r="J24" t="inlineStr">
        <is>
          <t>10.20.1.21</t>
        </is>
      </c>
      <c r="K24" t="inlineStr">
        <is>
          <t>3c:fd:fe:04:89:16</t>
        </is>
      </c>
      <c r="L24" t="inlineStr">
        <is>
          <t>TN-DC-002-NET-R01</t>
        </is>
      </c>
      <c r="M24" t="n">
        <v>1</v>
      </c>
      <c r="N24" t="n">
        <v>1</v>
      </c>
      <c r="O24" t="inlineStr">
        <is>
          <t>Ready</t>
        </is>
      </c>
      <c r="P24" t="inlineStr">
        <is>
          <t>operator</t>
        </is>
      </c>
      <c r="R24" t="inlineStr">
        <is>
          <t>Y</t>
        </is>
      </c>
      <c r="S24" t="inlineStr">
        <is>
          <t>COL-TN-DC-002-NET</t>
        </is>
      </c>
      <c r="T24" t="inlineStr">
        <is>
          <t>N</t>
        </is>
      </c>
    </row>
    <row r="25">
      <c r="A25" t="inlineStr">
        <is>
          <t>TN-DC-002-IB-SPINE-02</t>
        </is>
      </c>
      <c r="B25" t="inlineStr">
        <is>
          <t>TN-DC-002</t>
        </is>
      </c>
      <c r="C25" t="inlineStr">
        <is>
          <t>IB-SPINE-02</t>
        </is>
      </c>
      <c r="D25" t="inlineStr">
        <is>
          <t>Switch</t>
        </is>
      </c>
      <c r="E25" t="inlineStr">
        <is>
          <t>spine</t>
        </is>
      </c>
      <c r="F25" t="inlineStr">
        <is>
          <t>NVIDIA</t>
        </is>
      </c>
      <c r="G25" t="inlineStr">
        <is>
          <t>Quantum-2 QM9700</t>
        </is>
      </c>
      <c r="H25" t="inlineStr">
        <is>
          <t>MLNX-OS 3.11.2016</t>
        </is>
      </c>
      <c r="I25" t="inlineStr">
        <is>
          <t>NVITN001168</t>
        </is>
      </c>
      <c r="J25" t="inlineStr">
        <is>
          <t>10.20.1.22</t>
        </is>
      </c>
      <c r="K25" t="inlineStr">
        <is>
          <t>3c:fd:fe:04:90:17</t>
        </is>
      </c>
      <c r="L25" t="inlineStr">
        <is>
          <t>TN-DC-002-NET-R01</t>
        </is>
      </c>
      <c r="M25" t="n">
        <v>2</v>
      </c>
      <c r="N25" t="n">
        <v>1</v>
      </c>
      <c r="O25" t="inlineStr">
        <is>
          <t>Ready</t>
        </is>
      </c>
      <c r="P25" t="inlineStr">
        <is>
          <t>operator</t>
        </is>
      </c>
      <c r="R25" t="inlineStr">
        <is>
          <t>Y</t>
        </is>
      </c>
      <c r="S25" t="inlineStr">
        <is>
          <t>COL-TN-DC-002-NET</t>
        </is>
      </c>
      <c r="T25" t="inlineStr">
        <is>
          <t>N</t>
        </is>
      </c>
    </row>
    <row r="26">
      <c r="A26" t="inlineStr">
        <is>
          <t>TN-DC-002-ETH-SPINE-01</t>
        </is>
      </c>
      <c r="B26" t="inlineStr">
        <is>
          <t>TN-DC-002</t>
        </is>
      </c>
      <c r="C26" t="inlineStr">
        <is>
          <t>ETH-SPINE-01</t>
        </is>
      </c>
      <c r="D26" t="inlineStr">
        <is>
          <t>Switch</t>
        </is>
      </c>
      <c r="E26" t="inlineStr">
        <is>
          <t>spine</t>
        </is>
      </c>
      <c r="F26" t="inlineStr">
        <is>
          <t>NVIDIA</t>
        </is>
      </c>
      <c r="G26" t="inlineStr">
        <is>
          <t>Spectrum-4 SN5600</t>
        </is>
      </c>
      <c r="H26" t="inlineStr">
        <is>
          <t>Cumulus Linux 5.9</t>
        </is>
      </c>
      <c r="I26" t="inlineStr">
        <is>
          <t>NVITN001175</t>
        </is>
      </c>
      <c r="J26" t="inlineStr">
        <is>
          <t>10.20.1.31</t>
        </is>
      </c>
      <c r="K26" t="inlineStr">
        <is>
          <t>3c:fd:fe:04:97:18</t>
        </is>
      </c>
      <c r="L26" t="inlineStr">
        <is>
          <t>TN-DC-002-NET-R01</t>
        </is>
      </c>
      <c r="M26" t="n">
        <v>3</v>
      </c>
      <c r="N26" t="n">
        <v>2</v>
      </c>
      <c r="O26" t="inlineStr">
        <is>
          <t>Ready</t>
        </is>
      </c>
      <c r="P26" t="inlineStr">
        <is>
          <t>operator</t>
        </is>
      </c>
      <c r="R26" t="inlineStr">
        <is>
          <t>Y</t>
        </is>
      </c>
      <c r="S26" t="inlineStr">
        <is>
          <t>COL-TN-DC-002-NET</t>
        </is>
      </c>
      <c r="T26" t="inlineStr">
        <is>
          <t>N</t>
        </is>
      </c>
    </row>
    <row r="27">
      <c r="A27" t="inlineStr">
        <is>
          <t>TN-DC-002-ETH-SPINE-02</t>
        </is>
      </c>
      <c r="B27" t="inlineStr">
        <is>
          <t>TN-DC-002</t>
        </is>
      </c>
      <c r="C27" t="inlineStr">
        <is>
          <t>ETH-SPINE-02</t>
        </is>
      </c>
      <c r="D27" t="inlineStr">
        <is>
          <t>Switch</t>
        </is>
      </c>
      <c r="E27" t="inlineStr">
        <is>
          <t>spine</t>
        </is>
      </c>
      <c r="F27" t="inlineStr">
        <is>
          <t>NVIDIA</t>
        </is>
      </c>
      <c r="G27" t="inlineStr">
        <is>
          <t>Spectrum-4 SN5600</t>
        </is>
      </c>
      <c r="H27" t="inlineStr">
        <is>
          <t>Cumulus Linux 5.9</t>
        </is>
      </c>
      <c r="I27" t="inlineStr">
        <is>
          <t>NVITN001182</t>
        </is>
      </c>
      <c r="J27" t="inlineStr">
        <is>
          <t>10.20.1.32</t>
        </is>
      </c>
      <c r="K27" t="inlineStr">
        <is>
          <t>3c:fd:fe:04:9e:19</t>
        </is>
      </c>
      <c r="L27" t="inlineStr">
        <is>
          <t>TN-DC-002-NET-R01</t>
        </is>
      </c>
      <c r="M27" t="n">
        <v>5</v>
      </c>
      <c r="N27" t="n">
        <v>2</v>
      </c>
      <c r="O27" t="inlineStr">
        <is>
          <t>Ready</t>
        </is>
      </c>
      <c r="P27" t="inlineStr">
        <is>
          <t>operator</t>
        </is>
      </c>
      <c r="R27" t="inlineStr">
        <is>
          <t>Y</t>
        </is>
      </c>
      <c r="S27" t="inlineStr">
        <is>
          <t>COL-TN-DC-002-NET</t>
        </is>
      </c>
      <c r="T27" t="inlineStr">
        <is>
          <t>N</t>
        </is>
      </c>
    </row>
    <row r="28">
      <c r="A28" t="inlineStr">
        <is>
          <t>TN-DC-002-IB-LEAF-01</t>
        </is>
      </c>
      <c r="B28" t="inlineStr">
        <is>
          <t>TN-DC-002</t>
        </is>
      </c>
      <c r="C28" t="inlineStr">
        <is>
          <t>IB-LEAF-01</t>
        </is>
      </c>
      <c r="D28" t="inlineStr">
        <is>
          <t>Switch</t>
        </is>
      </c>
      <c r="E28" t="inlineStr">
        <is>
          <t>leaf</t>
        </is>
      </c>
      <c r="F28" t="inlineStr">
        <is>
          <t>NVIDIA</t>
        </is>
      </c>
      <c r="G28" t="inlineStr">
        <is>
          <t>Quantum-2 QM9700</t>
        </is>
      </c>
      <c r="H28" t="inlineStr">
        <is>
          <t>MLNX-OS 3.11.2016</t>
        </is>
      </c>
      <c r="I28" t="inlineStr">
        <is>
          <t>NVITN001189</t>
        </is>
      </c>
      <c r="J28" t="inlineStr">
        <is>
          <t>10.20.1.41</t>
        </is>
      </c>
      <c r="K28" t="inlineStr">
        <is>
          <t>3c:fd:fe:04:a5:1a</t>
        </is>
      </c>
      <c r="L28" t="inlineStr">
        <is>
          <t>TN-DC-002-NET-R02</t>
        </is>
      </c>
      <c r="M28" t="n">
        <v>1</v>
      </c>
      <c r="N28" t="n">
        <v>1</v>
      </c>
      <c r="O28" t="inlineStr">
        <is>
          <t>Ready</t>
        </is>
      </c>
      <c r="P28" t="inlineStr">
        <is>
          <t>operator</t>
        </is>
      </c>
      <c r="R28" t="inlineStr">
        <is>
          <t>Y</t>
        </is>
      </c>
      <c r="S28" t="inlineStr">
        <is>
          <t>COL-TN-DC-002-NET</t>
        </is>
      </c>
      <c r="T28" t="inlineStr">
        <is>
          <t>N</t>
        </is>
      </c>
    </row>
    <row r="29">
      <c r="A29" t="inlineStr">
        <is>
          <t>TN-DC-002-IB-LEAF-02</t>
        </is>
      </c>
      <c r="B29" t="inlineStr">
        <is>
          <t>TN-DC-002</t>
        </is>
      </c>
      <c r="C29" t="inlineStr">
        <is>
          <t>IB-LEAF-02</t>
        </is>
      </c>
      <c r="D29" t="inlineStr">
        <is>
          <t>Switch</t>
        </is>
      </c>
      <c r="E29" t="inlineStr">
        <is>
          <t>leaf</t>
        </is>
      </c>
      <c r="F29" t="inlineStr">
        <is>
          <t>NVIDIA</t>
        </is>
      </c>
      <c r="G29" t="inlineStr">
        <is>
          <t>Quantum-2 QM9700</t>
        </is>
      </c>
      <c r="H29" t="inlineStr">
        <is>
          <t>MLNX-OS 3.11.2016</t>
        </is>
      </c>
      <c r="I29" t="inlineStr">
        <is>
          <t>NVITN001196</t>
        </is>
      </c>
      <c r="J29" t="inlineStr">
        <is>
          <t>10.20.1.42</t>
        </is>
      </c>
      <c r="K29" t="inlineStr">
        <is>
          <t>3c:fd:fe:04:ac:1b</t>
        </is>
      </c>
      <c r="L29" t="inlineStr">
        <is>
          <t>TN-DC-002-NET-R02</t>
        </is>
      </c>
      <c r="M29" t="n">
        <v>2</v>
      </c>
      <c r="N29" t="n">
        <v>1</v>
      </c>
      <c r="O29" t="inlineStr">
        <is>
          <t>Ready</t>
        </is>
      </c>
      <c r="P29" t="inlineStr">
        <is>
          <t>operator</t>
        </is>
      </c>
      <c r="R29" t="inlineStr">
        <is>
          <t>Y</t>
        </is>
      </c>
      <c r="S29" t="inlineStr">
        <is>
          <t>COL-TN-DC-002-NET</t>
        </is>
      </c>
      <c r="T29" t="inlineStr">
        <is>
          <t>N</t>
        </is>
      </c>
    </row>
    <row r="30">
      <c r="A30" t="inlineStr">
        <is>
          <t>TN-DC-002-ETH-LEAF-01</t>
        </is>
      </c>
      <c r="B30" t="inlineStr">
        <is>
          <t>TN-DC-002</t>
        </is>
      </c>
      <c r="C30" t="inlineStr">
        <is>
          <t>ETH-LEAF-01</t>
        </is>
      </c>
      <c r="D30" t="inlineStr">
        <is>
          <t>Switch</t>
        </is>
      </c>
      <c r="E30" t="inlineStr">
        <is>
          <t>leaf</t>
        </is>
      </c>
      <c r="F30" t="inlineStr">
        <is>
          <t>Arista</t>
        </is>
      </c>
      <c r="G30" t="inlineStr">
        <is>
          <t>7060DX5-64S</t>
        </is>
      </c>
      <c r="H30" t="inlineStr">
        <is>
          <t>EOS 4.32.1F</t>
        </is>
      </c>
      <c r="I30" t="inlineStr">
        <is>
          <t>ARITN001203</t>
        </is>
      </c>
      <c r="J30" t="inlineStr">
        <is>
          <t>10.20.1.51</t>
        </is>
      </c>
      <c r="K30" t="inlineStr">
        <is>
          <t>3c:fd:fe:04:b3:1c</t>
        </is>
      </c>
      <c r="L30" t="inlineStr">
        <is>
          <t>TN-DC-002-NET-R02</t>
        </is>
      </c>
      <c r="M30" t="n">
        <v>3</v>
      </c>
      <c r="N30" t="n">
        <v>2</v>
      </c>
      <c r="O30" t="inlineStr">
        <is>
          <t>Ready</t>
        </is>
      </c>
      <c r="P30" t="inlineStr">
        <is>
          <t>operator</t>
        </is>
      </c>
      <c r="R30" t="inlineStr">
        <is>
          <t>Y</t>
        </is>
      </c>
      <c r="S30" t="inlineStr">
        <is>
          <t>COL-TN-DC-002-NET</t>
        </is>
      </c>
      <c r="T30" t="inlineStr">
        <is>
          <t>N</t>
        </is>
      </c>
    </row>
    <row r="31">
      <c r="A31" t="inlineStr">
        <is>
          <t>TN-DC-002-ETH-LEAF-02</t>
        </is>
      </c>
      <c r="B31" t="inlineStr">
        <is>
          <t>TN-DC-002</t>
        </is>
      </c>
      <c r="C31" t="inlineStr">
        <is>
          <t>ETH-LEAF-02</t>
        </is>
      </c>
      <c r="D31" t="inlineStr">
        <is>
          <t>Switch</t>
        </is>
      </c>
      <c r="E31" t="inlineStr">
        <is>
          <t>leaf</t>
        </is>
      </c>
      <c r="F31" t="inlineStr">
        <is>
          <t>Arista</t>
        </is>
      </c>
      <c r="G31" t="inlineStr">
        <is>
          <t>7060DX5-64S</t>
        </is>
      </c>
      <c r="H31" t="inlineStr">
        <is>
          <t>EOS 4.32.1F</t>
        </is>
      </c>
      <c r="I31" t="inlineStr">
        <is>
          <t>ARITN001210</t>
        </is>
      </c>
      <c r="J31" t="inlineStr">
        <is>
          <t>10.20.1.52</t>
        </is>
      </c>
      <c r="K31" t="inlineStr">
        <is>
          <t>3c:fd:fe:04:ba:1d</t>
        </is>
      </c>
      <c r="L31" t="inlineStr">
        <is>
          <t>TN-DC-002-NET-R02</t>
        </is>
      </c>
      <c r="M31" t="n">
        <v>5</v>
      </c>
      <c r="N31" t="n">
        <v>2</v>
      </c>
      <c r="O31" t="inlineStr">
        <is>
          <t>Ready</t>
        </is>
      </c>
      <c r="P31" t="inlineStr">
        <is>
          <t>operator</t>
        </is>
      </c>
      <c r="R31" t="inlineStr">
        <is>
          <t>Y</t>
        </is>
      </c>
      <c r="S31" t="inlineStr">
        <is>
          <t>COL-TN-DC-002-NET</t>
        </is>
      </c>
      <c r="T31" t="inlineStr">
        <is>
          <t>N</t>
        </is>
      </c>
    </row>
    <row r="32">
      <c r="A32" t="inlineStr">
        <is>
          <t>TN-DC-002-OOB-01</t>
        </is>
      </c>
      <c r="B32" t="inlineStr">
        <is>
          <t>TN-DC-002</t>
        </is>
      </c>
      <c r="C32" t="inlineStr">
        <is>
          <t>OOB-01</t>
        </is>
      </c>
      <c r="D32" t="inlineStr">
        <is>
          <t>Switch</t>
        </is>
      </c>
      <c r="E32" t="inlineStr">
        <is>
          <t>access</t>
        </is>
      </c>
      <c r="F32" t="inlineStr">
        <is>
          <t>NVIDIA</t>
        </is>
      </c>
      <c r="G32" t="inlineStr">
        <is>
          <t>SN2201</t>
        </is>
      </c>
      <c r="H32" t="inlineStr">
        <is>
          <t>Cumulus Linux 5.9</t>
        </is>
      </c>
      <c r="I32" t="inlineStr">
        <is>
          <t>NVITN001217</t>
        </is>
      </c>
      <c r="J32" t="inlineStr">
        <is>
          <t>10.20.1.60</t>
        </is>
      </c>
      <c r="K32" t="inlineStr">
        <is>
          <t>3c:fd:fe:04:c1:1e</t>
        </is>
      </c>
      <c r="L32" t="inlineStr">
        <is>
          <t>TN-DC-002-NET-R02</t>
        </is>
      </c>
      <c r="M32" t="n">
        <v>7</v>
      </c>
      <c r="N32" t="n">
        <v>1</v>
      </c>
      <c r="O32" t="inlineStr">
        <is>
          <t>Ready</t>
        </is>
      </c>
      <c r="P32" t="inlineStr">
        <is>
          <t>operator</t>
        </is>
      </c>
      <c r="R32" t="inlineStr">
        <is>
          <t>Y</t>
        </is>
      </c>
      <c r="S32" t="inlineStr">
        <is>
          <t>COL-TN-DC-002-NET</t>
        </is>
      </c>
      <c r="T32" t="inlineStr">
        <is>
          <t>N</t>
        </is>
      </c>
    </row>
    <row r="33">
      <c r="A33" t="inlineStr">
        <is>
          <t>TN-DC-002-STG-001</t>
        </is>
      </c>
      <c r="B33" t="inlineStr">
        <is>
          <t>TN-DC-002</t>
        </is>
      </c>
      <c r="C33" t="inlineStr">
        <is>
          <t>STG-001</t>
        </is>
      </c>
      <c r="D33" t="inlineStr">
        <is>
          <t>Storage</t>
        </is>
      </c>
      <c r="E33" t="inlineStr">
        <is>
          <t>access</t>
        </is>
      </c>
      <c r="F33" t="inlineStr">
        <is>
          <t>VAST Data</t>
        </is>
      </c>
      <c r="G33" t="inlineStr">
        <is>
          <t>Ceres DF-3015</t>
        </is>
      </c>
      <c r="H33" t="inlineStr">
        <is>
          <t>VAST OS 5.1</t>
        </is>
      </c>
      <c r="I33" t="inlineStr">
        <is>
          <t>VASTN001224</t>
        </is>
      </c>
      <c r="J33" t="inlineStr">
        <is>
          <t>10.20.3.1</t>
        </is>
      </c>
      <c r="K33" t="inlineStr">
        <is>
          <t>3c:fd:fe:04:c8:1f</t>
        </is>
      </c>
      <c r="L33" t="inlineStr">
        <is>
          <t>TN-DC-002-STG-R01</t>
        </is>
      </c>
      <c r="M33" t="n">
        <v>1</v>
      </c>
      <c r="N33" t="n">
        <v>2</v>
      </c>
      <c r="O33" t="inlineStr">
        <is>
          <t>Ready</t>
        </is>
      </c>
      <c r="P33" t="inlineStr">
        <is>
          <t>operator</t>
        </is>
      </c>
      <c r="R33" t="inlineStr">
        <is>
          <t>Y</t>
        </is>
      </c>
      <c r="S33" t="inlineStr">
        <is>
          <t>COL-TN-DC-002-BMC</t>
        </is>
      </c>
      <c r="T33" t="inlineStr">
        <is>
          <t>N</t>
        </is>
      </c>
    </row>
    <row r="34">
      <c r="A34" t="inlineStr">
        <is>
          <t>TN-DC-002-STG-002</t>
        </is>
      </c>
      <c r="B34" t="inlineStr">
        <is>
          <t>TN-DC-002</t>
        </is>
      </c>
      <c r="C34" t="inlineStr">
        <is>
          <t>STG-002</t>
        </is>
      </c>
      <c r="D34" t="inlineStr">
        <is>
          <t>Storage</t>
        </is>
      </c>
      <c r="E34" t="inlineStr">
        <is>
          <t>access</t>
        </is>
      </c>
      <c r="F34" t="inlineStr">
        <is>
          <t>VAST Data</t>
        </is>
      </c>
      <c r="G34" t="inlineStr">
        <is>
          <t>Ceres DF-3015</t>
        </is>
      </c>
      <c r="H34" t="inlineStr">
        <is>
          <t>VAST OS 5.1</t>
        </is>
      </c>
      <c r="I34" t="inlineStr">
        <is>
          <t>VASTN001231</t>
        </is>
      </c>
      <c r="J34" t="inlineStr">
        <is>
          <t>10.20.3.2</t>
        </is>
      </c>
      <c r="K34" t="inlineStr">
        <is>
          <t>3c:fd:fe:04:cf:20</t>
        </is>
      </c>
      <c r="L34" t="inlineStr">
        <is>
          <t>TN-DC-002-STG-R01</t>
        </is>
      </c>
      <c r="M34" t="n">
        <v>3</v>
      </c>
      <c r="N34" t="n">
        <v>2</v>
      </c>
      <c r="O34" t="inlineStr">
        <is>
          <t>Ready</t>
        </is>
      </c>
      <c r="P34" t="inlineStr">
        <is>
          <t>operator</t>
        </is>
      </c>
      <c r="R34" t="inlineStr">
        <is>
          <t>Y</t>
        </is>
      </c>
      <c r="S34" t="inlineStr">
        <is>
          <t>COL-TN-DC-002-BMC</t>
        </is>
      </c>
      <c r="T34" t="inlineStr">
        <is>
          <t>N</t>
        </is>
      </c>
    </row>
    <row r="35">
      <c r="A35" t="inlineStr">
        <is>
          <t>TN-DC-002-CPU-0001</t>
        </is>
      </c>
      <c r="B35" t="inlineStr">
        <is>
          <t>TN-DC-002</t>
        </is>
      </c>
      <c r="C35" t="inlineStr">
        <is>
          <t>CPU-0001</t>
        </is>
      </c>
      <c r="D35" t="inlineStr">
        <is>
          <t>Server</t>
        </is>
      </c>
      <c r="E35" t="inlineStr">
        <is>
          <t>access</t>
        </is>
      </c>
      <c r="F35" t="inlineStr">
        <is>
          <t>Dell</t>
        </is>
      </c>
      <c r="G35" t="inlineStr">
        <is>
          <t>PowerEdge R760</t>
        </is>
      </c>
      <c r="H35" t="inlineStr">
        <is>
          <t>Ubuntu 22.04 LTS</t>
        </is>
      </c>
      <c r="I35" t="inlineStr">
        <is>
          <t>DELTN001238</t>
        </is>
      </c>
      <c r="J35" t="inlineStr">
        <is>
          <t>10.20.4.1</t>
        </is>
      </c>
      <c r="K35" t="inlineStr">
        <is>
          <t>3c:fd:fe:04:d6:21</t>
        </is>
      </c>
      <c r="L35" t="inlineStr">
        <is>
          <t>TN-DC-002-STG-R01</t>
        </is>
      </c>
      <c r="M35" t="n">
        <v>5</v>
      </c>
      <c r="N35" t="n">
        <v>2</v>
      </c>
      <c r="O35" t="inlineStr">
        <is>
          <t>Ready</t>
        </is>
      </c>
      <c r="P35" t="inlineStr">
        <is>
          <t>operator</t>
        </is>
      </c>
      <c r="R35" t="inlineStr">
        <is>
          <t>Y</t>
        </is>
      </c>
      <c r="S35" t="inlineStr">
        <is>
          <t>COL-TN-DC-002-BMC</t>
        </is>
      </c>
      <c r="T35" t="inlineStr">
        <is>
          <t>N</t>
        </is>
      </c>
    </row>
    <row r="36">
      <c r="A36" t="inlineStr">
        <is>
          <t>TN-DC-002-CPU-0002</t>
        </is>
      </c>
      <c r="B36" t="inlineStr">
        <is>
          <t>TN-DC-002</t>
        </is>
      </c>
      <c r="C36" t="inlineStr">
        <is>
          <t>CPU-0002</t>
        </is>
      </c>
      <c r="D36" t="inlineStr">
        <is>
          <t>Server</t>
        </is>
      </c>
      <c r="E36" t="inlineStr">
        <is>
          <t>access</t>
        </is>
      </c>
      <c r="F36" t="inlineStr">
        <is>
          <t>Dell</t>
        </is>
      </c>
      <c r="G36" t="inlineStr">
        <is>
          <t>PowerEdge R760</t>
        </is>
      </c>
      <c r="H36" t="inlineStr">
        <is>
          <t>Ubuntu 22.04 LTS</t>
        </is>
      </c>
      <c r="I36" t="inlineStr">
        <is>
          <t>DELTN001245</t>
        </is>
      </c>
      <c r="J36" t="inlineStr">
        <is>
          <t>10.20.4.2</t>
        </is>
      </c>
      <c r="K36" t="inlineStr">
        <is>
          <t>3c:fd:fe:04:dd:22</t>
        </is>
      </c>
      <c r="L36" t="inlineStr">
        <is>
          <t>TN-DC-002-STG-R01</t>
        </is>
      </c>
      <c r="M36" t="n">
        <v>7</v>
      </c>
      <c r="N36" t="n">
        <v>2</v>
      </c>
      <c r="O36" t="inlineStr">
        <is>
          <t>Ready</t>
        </is>
      </c>
      <c r="P36" t="inlineStr">
        <is>
          <t>operator</t>
        </is>
      </c>
      <c r="R36" t="inlineStr">
        <is>
          <t>Y</t>
        </is>
      </c>
      <c r="S36" t="inlineStr">
        <is>
          <t>COL-TN-DC-002-BMC</t>
        </is>
      </c>
      <c r="T36" t="inlineStr">
        <is>
          <t>N</t>
        </is>
      </c>
    </row>
    <row r="37">
      <c r="A37" t="inlineStr">
        <is>
          <t>TN-DC-002-GPU-001</t>
        </is>
      </c>
      <c r="B37" t="inlineStr">
        <is>
          <t>TN-DC-002</t>
        </is>
      </c>
      <c r="C37" t="inlineStr">
        <is>
          <t>GPU-001</t>
        </is>
      </c>
      <c r="D37" t="inlineStr">
        <is>
          <t>GPU</t>
        </is>
      </c>
      <c r="E37" t="inlineStr">
        <is>
          <t>access</t>
        </is>
      </c>
      <c r="F37" t="inlineStr">
        <is>
          <t>Supermicro</t>
        </is>
      </c>
      <c r="G37" t="inlineStr">
        <is>
          <t>SYS-821GE-TNHR (H200, liquid)</t>
        </is>
      </c>
      <c r="H37" t="inlineStr">
        <is>
          <t>Ubuntu 22.04 LTS</t>
        </is>
      </c>
      <c r="I37" t="inlineStr">
        <is>
          <t>SUPTN001252</t>
        </is>
      </c>
      <c r="J37" t="inlineStr">
        <is>
          <t>10.20.2.1</t>
        </is>
      </c>
      <c r="K37" t="inlineStr">
        <is>
          <t>3c:fd:fe:04:e4:23</t>
        </is>
      </c>
      <c r="L37" t="inlineStr">
        <is>
          <t>TN-DC-002-GPU-R01</t>
        </is>
      </c>
      <c r="M37" t="n">
        <v>1</v>
      </c>
      <c r="N37" t="n">
        <v>8</v>
      </c>
      <c r="O37" t="inlineStr">
        <is>
          <t>Ready</t>
        </is>
      </c>
      <c r="P37" t="inlineStr">
        <is>
          <t>operator</t>
        </is>
      </c>
      <c r="R37" t="inlineStr">
        <is>
          <t>Y</t>
        </is>
      </c>
      <c r="S37" t="inlineStr">
        <is>
          <t>COL-TN-DC-002-BMC</t>
        </is>
      </c>
      <c r="T37" t="inlineStr">
        <is>
          <t>N</t>
        </is>
      </c>
    </row>
    <row r="38">
      <c r="A38" t="inlineStr">
        <is>
          <t>TN-DC-002-GPU-002</t>
        </is>
      </c>
      <c r="B38" t="inlineStr">
        <is>
          <t>TN-DC-002</t>
        </is>
      </c>
      <c r="C38" t="inlineStr">
        <is>
          <t>GPU-002</t>
        </is>
      </c>
      <c r="D38" t="inlineStr">
        <is>
          <t>GPU</t>
        </is>
      </c>
      <c r="E38" t="inlineStr">
        <is>
          <t>access</t>
        </is>
      </c>
      <c r="F38" t="inlineStr">
        <is>
          <t>Supermicro</t>
        </is>
      </c>
      <c r="G38" t="inlineStr">
        <is>
          <t>SYS-821GE-TNHR (H200, liquid)</t>
        </is>
      </c>
      <c r="H38" t="inlineStr">
        <is>
          <t>Ubuntu 22.04 LTS</t>
        </is>
      </c>
      <c r="I38" t="inlineStr">
        <is>
          <t>SUPTN001259</t>
        </is>
      </c>
      <c r="J38" t="inlineStr">
        <is>
          <t>10.20.2.2</t>
        </is>
      </c>
      <c r="K38" t="inlineStr">
        <is>
          <t>3c:fd:fe:04:eb:24</t>
        </is>
      </c>
      <c r="L38" t="inlineStr">
        <is>
          <t>TN-DC-002-GPU-R01</t>
        </is>
      </c>
      <c r="M38" t="n">
        <v>9</v>
      </c>
      <c r="N38" t="n">
        <v>8</v>
      </c>
      <c r="O38" t="inlineStr">
        <is>
          <t>Ready</t>
        </is>
      </c>
      <c r="P38" t="inlineStr">
        <is>
          <t>operator</t>
        </is>
      </c>
      <c r="R38" t="inlineStr">
        <is>
          <t>Y</t>
        </is>
      </c>
      <c r="S38" t="inlineStr">
        <is>
          <t>COL-TN-DC-002-BMC</t>
        </is>
      </c>
      <c r="T38" t="inlineStr">
        <is>
          <t>N</t>
        </is>
      </c>
    </row>
    <row r="39">
      <c r="A39" t="inlineStr">
        <is>
          <t>TN-DC-002-GPU-003</t>
        </is>
      </c>
      <c r="B39" t="inlineStr">
        <is>
          <t>TN-DC-002</t>
        </is>
      </c>
      <c r="C39" t="inlineStr">
        <is>
          <t>GPU-003</t>
        </is>
      </c>
      <c r="D39" t="inlineStr">
        <is>
          <t>GPU</t>
        </is>
      </c>
      <c r="E39" t="inlineStr">
        <is>
          <t>access</t>
        </is>
      </c>
      <c r="F39" t="inlineStr">
        <is>
          <t>Supermicro</t>
        </is>
      </c>
      <c r="G39" t="inlineStr">
        <is>
          <t>SYS-821GE-TNHR (H200, liquid)</t>
        </is>
      </c>
      <c r="H39" t="inlineStr">
        <is>
          <t>Ubuntu 22.04 LTS</t>
        </is>
      </c>
      <c r="I39" t="inlineStr">
        <is>
          <t>SUPTN001266</t>
        </is>
      </c>
      <c r="J39" t="inlineStr">
        <is>
          <t>10.20.2.3</t>
        </is>
      </c>
      <c r="K39" t="inlineStr">
        <is>
          <t>3c:fd:fe:04:f2:25</t>
        </is>
      </c>
      <c r="L39" t="inlineStr">
        <is>
          <t>TN-DC-002-GPU-R02</t>
        </is>
      </c>
      <c r="M39" t="n">
        <v>1</v>
      </c>
      <c r="N39" t="n">
        <v>8</v>
      </c>
      <c r="O39" t="inlineStr">
        <is>
          <t>Ready</t>
        </is>
      </c>
      <c r="P39" t="inlineStr">
        <is>
          <t>operator</t>
        </is>
      </c>
      <c r="R39" t="inlineStr">
        <is>
          <t>Y</t>
        </is>
      </c>
      <c r="S39" t="inlineStr">
        <is>
          <t>COL-TN-DC-002-BMC</t>
        </is>
      </c>
      <c r="T39" t="inlineStr">
        <is>
          <t>N</t>
        </is>
      </c>
    </row>
    <row r="40">
      <c r="A40" t="inlineStr">
        <is>
          <t>TN-DC-002-GPU-004</t>
        </is>
      </c>
      <c r="B40" t="inlineStr">
        <is>
          <t>TN-DC-002</t>
        </is>
      </c>
      <c r="C40" t="inlineStr">
        <is>
          <t>GPU-004</t>
        </is>
      </c>
      <c r="D40" t="inlineStr">
        <is>
          <t>GPU</t>
        </is>
      </c>
      <c r="E40" t="inlineStr">
        <is>
          <t>access</t>
        </is>
      </c>
      <c r="F40" t="inlineStr">
        <is>
          <t>Supermicro</t>
        </is>
      </c>
      <c r="G40" t="inlineStr">
        <is>
          <t>SYS-821GE-TNHR (H200, liquid)</t>
        </is>
      </c>
      <c r="H40" t="inlineStr">
        <is>
          <t>Ubuntu 22.04 LTS</t>
        </is>
      </c>
      <c r="I40" t="inlineStr">
        <is>
          <t>SUPTN001273</t>
        </is>
      </c>
      <c r="J40" t="inlineStr">
        <is>
          <t>10.20.2.4</t>
        </is>
      </c>
      <c r="K40" t="inlineStr">
        <is>
          <t>3c:fd:fe:04:f9:26</t>
        </is>
      </c>
      <c r="L40" t="inlineStr">
        <is>
          <t>TN-DC-002-GPU-R02</t>
        </is>
      </c>
      <c r="M40" t="n">
        <v>9</v>
      </c>
      <c r="N40" t="n">
        <v>8</v>
      </c>
      <c r="O40" t="inlineStr">
        <is>
          <t>Ready</t>
        </is>
      </c>
      <c r="P40" t="inlineStr">
        <is>
          <t>operator</t>
        </is>
      </c>
      <c r="R40" t="inlineStr">
        <is>
          <t>Y</t>
        </is>
      </c>
      <c r="S40" t="inlineStr">
        <is>
          <t>COL-TN-DC-002-BMC</t>
        </is>
      </c>
      <c r="T40" t="inlineStr">
        <is>
          <t>N</t>
        </is>
      </c>
    </row>
    <row r="41">
      <c r="A41" t="inlineStr">
        <is>
          <t>TN-DC-002-GPU-005</t>
        </is>
      </c>
      <c r="B41" t="inlineStr">
        <is>
          <t>TN-DC-002</t>
        </is>
      </c>
      <c r="C41" t="inlineStr">
        <is>
          <t>GPU-005</t>
        </is>
      </c>
      <c r="D41" t="inlineStr">
        <is>
          <t>GPU</t>
        </is>
      </c>
      <c r="E41" t="inlineStr">
        <is>
          <t>access</t>
        </is>
      </c>
      <c r="F41" t="inlineStr">
        <is>
          <t>Supermicro</t>
        </is>
      </c>
      <c r="G41" t="inlineStr">
        <is>
          <t>SYS-821GE-TNHR (H200, liquid)</t>
        </is>
      </c>
      <c r="H41" t="inlineStr">
        <is>
          <t>Ubuntu 22.04 LTS</t>
        </is>
      </c>
      <c r="I41" t="inlineStr">
        <is>
          <t>SUPTN001280</t>
        </is>
      </c>
      <c r="J41" t="inlineStr">
        <is>
          <t>10.20.2.5</t>
        </is>
      </c>
      <c r="K41" t="inlineStr">
        <is>
          <t>3c:fd:fe:05:00:27</t>
        </is>
      </c>
      <c r="L41" t="inlineStr">
        <is>
          <t>TN-DC-002-GPU-R03</t>
        </is>
      </c>
      <c r="M41" t="n">
        <v>1</v>
      </c>
      <c r="N41" t="n">
        <v>8</v>
      </c>
      <c r="O41" t="inlineStr">
        <is>
          <t>Ready</t>
        </is>
      </c>
      <c r="P41" t="inlineStr">
        <is>
          <t>operator</t>
        </is>
      </c>
      <c r="R41" t="inlineStr">
        <is>
          <t>Y</t>
        </is>
      </c>
      <c r="S41" t="inlineStr">
        <is>
          <t>COL-TN-DC-002-BMC</t>
        </is>
      </c>
      <c r="T41" t="inlineStr">
        <is>
          <t>N</t>
        </is>
      </c>
    </row>
    <row r="42">
      <c r="A42" t="inlineStr">
        <is>
          <t>TN-DC-002-GPU-006</t>
        </is>
      </c>
      <c r="B42" t="inlineStr">
        <is>
          <t>TN-DC-002</t>
        </is>
      </c>
      <c r="C42" t="inlineStr">
        <is>
          <t>GPU-006</t>
        </is>
      </c>
      <c r="D42" t="inlineStr">
        <is>
          <t>GPU</t>
        </is>
      </c>
      <c r="E42" t="inlineStr">
        <is>
          <t>access</t>
        </is>
      </c>
      <c r="F42" t="inlineStr">
        <is>
          <t>Supermicro</t>
        </is>
      </c>
      <c r="G42" t="inlineStr">
        <is>
          <t>SYS-821GE-TNHR (H200, liquid)</t>
        </is>
      </c>
      <c r="H42" t="inlineStr">
        <is>
          <t>Ubuntu 22.04 LTS</t>
        </is>
      </c>
      <c r="I42" t="inlineStr">
        <is>
          <t>SUPTN001287</t>
        </is>
      </c>
      <c r="J42" t="inlineStr">
        <is>
          <t>10.20.2.6</t>
        </is>
      </c>
      <c r="K42" t="inlineStr">
        <is>
          <t>3c:fd:fe:05:07:28</t>
        </is>
      </c>
      <c r="L42" t="inlineStr">
        <is>
          <t>TN-DC-002-GPU-R03</t>
        </is>
      </c>
      <c r="M42" t="n">
        <v>9</v>
      </c>
      <c r="N42" t="n">
        <v>8</v>
      </c>
      <c r="O42" t="inlineStr">
        <is>
          <t>Ready</t>
        </is>
      </c>
      <c r="P42" t="inlineStr">
        <is>
          <t>operator</t>
        </is>
      </c>
      <c r="R42" t="inlineStr">
        <is>
          <t>Y</t>
        </is>
      </c>
      <c r="S42" t="inlineStr">
        <is>
          <t>COL-TN-DC-002-BMC</t>
        </is>
      </c>
      <c r="T42" t="inlineStr">
        <is>
          <t>N</t>
        </is>
      </c>
    </row>
    <row r="43">
      <c r="A43" t="inlineStr">
        <is>
          <t>TN-DC-002-GPU-007</t>
        </is>
      </c>
      <c r="B43" t="inlineStr">
        <is>
          <t>TN-DC-002</t>
        </is>
      </c>
      <c r="C43" t="inlineStr">
        <is>
          <t>GPU-007</t>
        </is>
      </c>
      <c r="D43" t="inlineStr">
        <is>
          <t>GPU</t>
        </is>
      </c>
      <c r="E43" t="inlineStr">
        <is>
          <t>access</t>
        </is>
      </c>
      <c r="F43" t="inlineStr">
        <is>
          <t>Supermicro</t>
        </is>
      </c>
      <c r="G43" t="inlineStr">
        <is>
          <t>SYS-821GE-TNHR (H200, liquid)</t>
        </is>
      </c>
      <c r="H43" t="inlineStr">
        <is>
          <t>Ubuntu 22.04 LTS</t>
        </is>
      </c>
      <c r="I43" t="inlineStr">
        <is>
          <t>SUPTN001294</t>
        </is>
      </c>
      <c r="J43" t="inlineStr">
        <is>
          <t>10.20.2.7</t>
        </is>
      </c>
      <c r="K43" t="inlineStr">
        <is>
          <t>3c:fd:fe:05:0e:29</t>
        </is>
      </c>
      <c r="L43" t="inlineStr">
        <is>
          <t>TN-DC-002-GPU-R04</t>
        </is>
      </c>
      <c r="M43" t="n">
        <v>1</v>
      </c>
      <c r="N43" t="n">
        <v>8</v>
      </c>
      <c r="O43" t="inlineStr">
        <is>
          <t>Ready</t>
        </is>
      </c>
      <c r="P43" t="inlineStr">
        <is>
          <t>operator</t>
        </is>
      </c>
      <c r="R43" t="inlineStr">
        <is>
          <t>Y</t>
        </is>
      </c>
      <c r="S43" t="inlineStr">
        <is>
          <t>COL-TN-DC-002-BMC</t>
        </is>
      </c>
      <c r="T43" t="inlineStr">
        <is>
          <t>N</t>
        </is>
      </c>
    </row>
    <row r="44">
      <c r="A44" t="inlineStr">
        <is>
          <t>TN-DC-002-GPU-008</t>
        </is>
      </c>
      <c r="B44" t="inlineStr">
        <is>
          <t>TN-DC-002</t>
        </is>
      </c>
      <c r="C44" t="inlineStr">
        <is>
          <t>GPU-008</t>
        </is>
      </c>
      <c r="D44" t="inlineStr">
        <is>
          <t>GPU</t>
        </is>
      </c>
      <c r="E44" t="inlineStr">
        <is>
          <t>access</t>
        </is>
      </c>
      <c r="F44" t="inlineStr">
        <is>
          <t>Supermicro</t>
        </is>
      </c>
      <c r="G44" t="inlineStr">
        <is>
          <t>SYS-821GE-TNHR (H200, liquid)</t>
        </is>
      </c>
      <c r="H44" t="inlineStr">
        <is>
          <t>Ubuntu 22.04 LTS</t>
        </is>
      </c>
      <c r="I44" t="inlineStr">
        <is>
          <t>SUPTN001301</t>
        </is>
      </c>
      <c r="J44" t="inlineStr">
        <is>
          <t>10.20.2.8</t>
        </is>
      </c>
      <c r="K44" t="inlineStr">
        <is>
          <t>3c:fd:fe:05:15:2a</t>
        </is>
      </c>
      <c r="L44" t="inlineStr">
        <is>
          <t>TN-DC-002-GPU-R04</t>
        </is>
      </c>
      <c r="M44" t="n">
        <v>9</v>
      </c>
      <c r="N44" t="n">
        <v>8</v>
      </c>
      <c r="O44" t="inlineStr">
        <is>
          <t>Ready</t>
        </is>
      </c>
      <c r="P44" t="inlineStr">
        <is>
          <t>operator</t>
        </is>
      </c>
      <c r="R44" t="inlineStr">
        <is>
          <t>Y</t>
        </is>
      </c>
      <c r="S44" t="inlineStr">
        <is>
          <t>COL-TN-DC-002-BMC</t>
        </is>
      </c>
      <c r="T44" t="inlineStr">
        <is>
          <t>N</t>
        </is>
      </c>
    </row>
  </sheetData>
  <autoFilter ref="A1:T44"/>
  <dataValidations count="6">
    <dataValidation sqref="D2:D2000" showDropDown="0" showInputMessage="0" showErrorMessage="1" allowBlank="1" errorTitle="Not an allowed value" error="Pick a value from the list (Lookups → device_role)." type="list">
      <formula1>=L_device_role</formula1>
    </dataValidation>
    <dataValidation sqref="E2:E2000" showDropDown="0" showInputMessage="0" showErrorMessage="1" allowBlank="1" errorTitle="Not an allowed value" error="Pick a value from the list (Lookups → layer)." type="list">
      <formula1>=L_layer</formula1>
    </dataValidation>
    <dataValidation sqref="O2:O2000" showDropDown="0" showInputMessage="0" showErrorMessage="1" allowBlank="1" errorTitle="Not an allowed value" error="Pick a value from the list (Lookups → lifecycle)." type="list">
      <formula1>=L_lifecycle</formula1>
    </dataValidation>
    <dataValidation sqref="P2:P2000" showDropDown="0" showInputMessage="0" showErrorMessage="1" allowBlank="1" errorTitle="Not an allowed value" error="Pick a value from the list (Lookups → owner)." type="list">
      <formula1>=L_owner</formula1>
    </dataValidation>
    <dataValidation sqref="R2:R2000" showDropDown="0" showInputMessage="0" showErrorMessage="1" allowBlank="1" errorTitle="Not an allowed value" error="Pick a value from the list (Lookups → yes_no)." type="list">
      <formula1>=L_yes_no</formula1>
    </dataValidation>
    <dataValidation sqref="T2:T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2E6BD9"/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2" customWidth="1" min="4" max="4"/>
  </cols>
  <sheetData>
    <row r="1" ht="30" customHeight="1">
      <c r="A1" s="16" t="inlineStr">
        <is>
          <t>device_id *</t>
        </is>
      </c>
      <c r="B1" s="16" t="inlineStr">
        <is>
          <t>slot *</t>
        </is>
      </c>
      <c r="C1" s="16" t="inlineStr">
        <is>
          <t>name *</t>
        </is>
      </c>
      <c r="D1" s="17" t="inlineStr">
        <is>
          <t>serial</t>
        </is>
      </c>
    </row>
    <row r="2">
      <c r="A2" t="inlineStr">
        <is>
          <t>MP-DC-001-BDR-01</t>
        </is>
      </c>
      <c r="B2" t="inlineStr">
        <is>
          <t>FPC 0</t>
        </is>
      </c>
      <c r="C2" t="inlineStr">
        <is>
          <t>MPC10E 10x400GE</t>
        </is>
      </c>
      <c r="D2" t="inlineStr">
        <is>
          <t>JNMP000000</t>
        </is>
      </c>
    </row>
    <row r="3">
      <c r="A3" t="inlineStr">
        <is>
          <t>MP-DC-001-BDR-01</t>
        </is>
      </c>
      <c r="B3" t="inlineStr">
        <is>
          <t>PSU 0</t>
        </is>
      </c>
      <c r="C3" t="inlineStr">
        <is>
          <t>JPSU-2200-AC</t>
        </is>
      </c>
      <c r="D3" t="inlineStr">
        <is>
          <t>JNMP000001</t>
        </is>
      </c>
    </row>
    <row r="4">
      <c r="A4" t="inlineStr">
        <is>
          <t>MP-DC-001-BDR-01</t>
        </is>
      </c>
      <c r="B4" t="inlineStr">
        <is>
          <t>PSU 1</t>
        </is>
      </c>
      <c r="C4" t="inlineStr">
        <is>
          <t>JPSU-2200-AC</t>
        </is>
      </c>
      <c r="D4" t="inlineStr">
        <is>
          <t>JNMP000002</t>
        </is>
      </c>
    </row>
    <row r="5">
      <c r="A5" t="inlineStr">
        <is>
          <t>MP-DC-001-BDR-01</t>
        </is>
      </c>
      <c r="B5" t="inlineStr">
        <is>
          <t>RE 0</t>
        </is>
      </c>
      <c r="C5" t="inlineStr">
        <is>
          <t>RE-X6-64G</t>
        </is>
      </c>
      <c r="D5" t="inlineStr">
        <is>
          <t>JNMP000003</t>
        </is>
      </c>
    </row>
    <row r="6">
      <c r="A6" t="inlineStr">
        <is>
          <t>MP-DC-001-BDR-02</t>
        </is>
      </c>
      <c r="B6" t="inlineStr">
        <is>
          <t>FPC 0</t>
        </is>
      </c>
      <c r="C6" t="inlineStr">
        <is>
          <t>MPC10E 10x400GE</t>
        </is>
      </c>
      <c r="D6" t="inlineStr">
        <is>
          <t>JNMP100004</t>
        </is>
      </c>
    </row>
    <row r="7">
      <c r="A7" t="inlineStr">
        <is>
          <t>MP-DC-001-BDR-02</t>
        </is>
      </c>
      <c r="B7" t="inlineStr">
        <is>
          <t>PSU 0</t>
        </is>
      </c>
      <c r="C7" t="inlineStr">
        <is>
          <t>JPSU-2200-AC</t>
        </is>
      </c>
      <c r="D7" t="inlineStr">
        <is>
          <t>JNMP100005</t>
        </is>
      </c>
    </row>
    <row r="8">
      <c r="A8" t="inlineStr">
        <is>
          <t>MP-DC-001-BDR-02</t>
        </is>
      </c>
      <c r="B8" t="inlineStr">
        <is>
          <t>PSU 1</t>
        </is>
      </c>
      <c r="C8" t="inlineStr">
        <is>
          <t>JPSU-2200-AC</t>
        </is>
      </c>
      <c r="D8" t="inlineStr">
        <is>
          <t>JNMP100006</t>
        </is>
      </c>
    </row>
    <row r="9">
      <c r="A9" t="inlineStr">
        <is>
          <t>MP-DC-001-BDR-02</t>
        </is>
      </c>
      <c r="B9" t="inlineStr">
        <is>
          <t>RE 0</t>
        </is>
      </c>
      <c r="C9" t="inlineStr">
        <is>
          <t>RE-X6-64G</t>
        </is>
      </c>
      <c r="D9" t="inlineStr">
        <is>
          <t>JNMP100007</t>
        </is>
      </c>
    </row>
    <row r="10">
      <c r="A10" t="inlineStr">
        <is>
          <t>TN-DC-002-BDR-01</t>
        </is>
      </c>
      <c r="B10" t="inlineStr">
        <is>
          <t>FPC 0</t>
        </is>
      </c>
      <c r="C10" t="inlineStr">
        <is>
          <t>MPC10E 10x400GE</t>
        </is>
      </c>
      <c r="D10" t="inlineStr">
        <is>
          <t>JNTN000008</t>
        </is>
      </c>
    </row>
    <row r="11">
      <c r="A11" t="inlineStr">
        <is>
          <t>TN-DC-002-BDR-01</t>
        </is>
      </c>
      <c r="B11" t="inlineStr">
        <is>
          <t>PSU 0</t>
        </is>
      </c>
      <c r="C11" t="inlineStr">
        <is>
          <t>JPSU-2200-AC</t>
        </is>
      </c>
      <c r="D11" t="inlineStr">
        <is>
          <t>JNTN000009</t>
        </is>
      </c>
    </row>
    <row r="12">
      <c r="A12" t="inlineStr">
        <is>
          <t>TN-DC-002-BDR-01</t>
        </is>
      </c>
      <c r="B12" t="inlineStr">
        <is>
          <t>PSU 1</t>
        </is>
      </c>
      <c r="C12" t="inlineStr">
        <is>
          <t>JPSU-2200-AC</t>
        </is>
      </c>
      <c r="D12" t="inlineStr">
        <is>
          <t>JNTN000010</t>
        </is>
      </c>
    </row>
    <row r="13">
      <c r="A13" t="inlineStr">
        <is>
          <t>TN-DC-002-BDR-01</t>
        </is>
      </c>
      <c r="B13" t="inlineStr">
        <is>
          <t>RE 0</t>
        </is>
      </c>
      <c r="C13" t="inlineStr">
        <is>
          <t>RE-X6-64G</t>
        </is>
      </c>
      <c r="D13" t="inlineStr">
        <is>
          <t>JNTN000011</t>
        </is>
      </c>
    </row>
    <row r="14">
      <c r="A14" t="inlineStr">
        <is>
          <t>TN-DC-002-BDR-02</t>
        </is>
      </c>
      <c r="B14" t="inlineStr">
        <is>
          <t>FPC 0</t>
        </is>
      </c>
      <c r="C14" t="inlineStr">
        <is>
          <t>MPC10E 10x400GE</t>
        </is>
      </c>
      <c r="D14" t="inlineStr">
        <is>
          <t>JNTN100012</t>
        </is>
      </c>
    </row>
    <row r="15">
      <c r="A15" t="inlineStr">
        <is>
          <t>TN-DC-002-BDR-02</t>
        </is>
      </c>
      <c r="B15" t="inlineStr">
        <is>
          <t>PSU 0</t>
        </is>
      </c>
      <c r="C15" t="inlineStr">
        <is>
          <t>JPSU-2200-AC</t>
        </is>
      </c>
      <c r="D15" t="inlineStr">
        <is>
          <t>JNTN100013</t>
        </is>
      </c>
    </row>
    <row r="16">
      <c r="A16" t="inlineStr">
        <is>
          <t>TN-DC-002-BDR-02</t>
        </is>
      </c>
      <c r="B16" t="inlineStr">
        <is>
          <t>PSU 1</t>
        </is>
      </c>
      <c r="C16" t="inlineStr">
        <is>
          <t>JPSU-2200-AC</t>
        </is>
      </c>
      <c r="D16" t="inlineStr">
        <is>
          <t>JNTN100014</t>
        </is>
      </c>
    </row>
    <row r="17">
      <c r="A17" t="inlineStr">
        <is>
          <t>TN-DC-002-BDR-02</t>
        </is>
      </c>
      <c r="B17" t="inlineStr">
        <is>
          <t>RE 0</t>
        </is>
      </c>
      <c r="C17" t="inlineStr">
        <is>
          <t>RE-X6-64G</t>
        </is>
      </c>
      <c r="D17" t="inlineStr">
        <is>
          <t>JNTN100015</t>
        </is>
      </c>
    </row>
    <row r="18">
      <c r="A18" t="inlineStr">
        <is>
          <t>TN-DC-002-GPU-001</t>
        </is>
      </c>
      <c r="B18" t="inlineStr">
        <is>
          <t>PSU 1</t>
        </is>
      </c>
      <c r="C18" t="inlineStr">
        <is>
          <t>3000 W Titanium</t>
        </is>
      </c>
      <c r="D18" t="inlineStr">
        <is>
          <t>SMC0000016</t>
        </is>
      </c>
    </row>
    <row r="19">
      <c r="A19" t="inlineStr">
        <is>
          <t>TN-DC-002-GPU-001</t>
        </is>
      </c>
      <c r="B19" t="inlineStr">
        <is>
          <t>PSU 2</t>
        </is>
      </c>
      <c r="C19" t="inlineStr">
        <is>
          <t>3000 W Titanium</t>
        </is>
      </c>
      <c r="D19" t="inlineStr">
        <is>
          <t>SMC0000017</t>
        </is>
      </c>
    </row>
    <row r="20">
      <c r="A20" t="inlineStr">
        <is>
          <t>TN-DC-002-GPU-001</t>
        </is>
      </c>
      <c r="B20" t="inlineStr">
        <is>
          <t>BMC</t>
        </is>
      </c>
      <c r="C20" t="inlineStr">
        <is>
          <t>AST2600</t>
        </is>
      </c>
      <c r="D20" t="inlineStr">
        <is>
          <t>SMC0000018</t>
        </is>
      </c>
    </row>
    <row r="21">
      <c r="A21" t="inlineStr">
        <is>
          <t>TN-DC-002-GPU-002</t>
        </is>
      </c>
      <c r="B21" t="inlineStr">
        <is>
          <t>PSU 1</t>
        </is>
      </c>
      <c r="C21" t="inlineStr">
        <is>
          <t>3000 W Titanium</t>
        </is>
      </c>
      <c r="D21" t="inlineStr">
        <is>
          <t>SMC0000019</t>
        </is>
      </c>
    </row>
    <row r="22">
      <c r="A22" t="inlineStr">
        <is>
          <t>TN-DC-002-GPU-002</t>
        </is>
      </c>
      <c r="B22" t="inlineStr">
        <is>
          <t>PSU 2</t>
        </is>
      </c>
      <c r="C22" t="inlineStr">
        <is>
          <t>3000 W Titanium</t>
        </is>
      </c>
      <c r="D22" t="inlineStr">
        <is>
          <t>SMC0000020</t>
        </is>
      </c>
    </row>
    <row r="23">
      <c r="A23" t="inlineStr">
        <is>
          <t>TN-DC-002-GPU-002</t>
        </is>
      </c>
      <c r="B23" t="inlineStr">
        <is>
          <t>BMC</t>
        </is>
      </c>
      <c r="C23" t="inlineStr">
        <is>
          <t>AST2600</t>
        </is>
      </c>
      <c r="D23" t="inlineStr">
        <is>
          <t>SMC0000021</t>
        </is>
      </c>
    </row>
  </sheetData>
  <autoFilter ref="A1:D23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E6BD9"/>
    <outlinePr summaryBelow="1" summaryRight="1"/>
    <pageSetUpPr/>
  </sheetPr>
  <dimension ref="A1:G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5" customWidth="1" min="4" max="4"/>
    <col width="16" customWidth="1" min="5" max="5"/>
    <col width="39" customWidth="1" min="6" max="6"/>
    <col width="17" customWidth="1" min="7" max="7"/>
  </cols>
  <sheetData>
    <row r="1" ht="30" customHeight="1">
      <c r="A1" s="16" t="inlineStr">
        <is>
          <t>device_id *</t>
        </is>
      </c>
      <c r="B1" s="16" t="inlineStr">
        <is>
          <t>if_name *</t>
        </is>
      </c>
      <c r="C1" s="16" t="inlineStr">
        <is>
          <t>type *</t>
        </is>
      </c>
      <c r="D1" s="16" t="inlineStr">
        <is>
          <t>speed_mbps *</t>
        </is>
      </c>
      <c r="E1" s="16" t="inlineStr">
        <is>
          <t>admin_state *</t>
        </is>
      </c>
      <c r="F1" s="17" t="inlineStr">
        <is>
          <t>description</t>
        </is>
      </c>
      <c r="G1" s="17" t="inlineStr">
        <is>
          <t>optic_model</t>
        </is>
      </c>
    </row>
    <row r="2">
      <c r="A2" t="inlineStr">
        <is>
          <t>MP-DC-001-BDR-01</t>
        </is>
      </c>
      <c r="B2" t="inlineStr">
        <is>
          <t>et-0/0/0</t>
        </is>
      </c>
      <c r="C2" t="inlineStr">
        <is>
          <t>100GE</t>
        </is>
      </c>
      <c r="D2" t="n">
        <v>100000</v>
      </c>
      <c r="E2" t="inlineStr">
        <is>
          <t>up</t>
        </is>
      </c>
      <c r="F2" t="inlineStr">
        <is>
          <t>to FW-01 port1</t>
        </is>
      </c>
      <c r="G2" t="inlineStr">
        <is>
          <t>QSFP28-100G-LR4</t>
        </is>
      </c>
    </row>
    <row r="3">
      <c r="A3" t="inlineStr">
        <is>
          <t>MP-DC-001-FW-01</t>
        </is>
      </c>
      <c r="B3" t="inlineStr">
        <is>
          <t>port1</t>
        </is>
      </c>
      <c r="C3" t="inlineStr">
        <is>
          <t>100GE</t>
        </is>
      </c>
      <c r="D3" t="n">
        <v>100000</v>
      </c>
      <c r="E3" t="inlineStr">
        <is>
          <t>up</t>
        </is>
      </c>
      <c r="F3" t="inlineStr">
        <is>
          <t>to BDR-01 et-0/0/0</t>
        </is>
      </c>
      <c r="G3" t="inlineStr">
        <is>
          <t>QSFP28-100G-SR4</t>
        </is>
      </c>
    </row>
    <row r="4">
      <c r="A4" t="inlineStr">
        <is>
          <t>MP-DC-001-FW-01</t>
        </is>
      </c>
      <c r="B4" t="inlineStr">
        <is>
          <t>port9</t>
        </is>
      </c>
      <c r="C4" t="inlineStr">
        <is>
          <t>100GE</t>
        </is>
      </c>
      <c r="D4" t="n">
        <v>100000</v>
      </c>
      <c r="E4" t="inlineStr">
        <is>
          <t>up</t>
        </is>
      </c>
      <c r="F4" t="inlineStr">
        <is>
          <t>to AGG-01 Ethernet49/1</t>
        </is>
      </c>
      <c r="G4" t="inlineStr">
        <is>
          <t>QSFP28-100G-SR4</t>
        </is>
      </c>
    </row>
    <row r="5">
      <c r="A5" t="inlineStr">
        <is>
          <t>MP-DC-001-AGG-01</t>
        </is>
      </c>
      <c r="B5" t="inlineStr">
        <is>
          <t>Ethernet49/1</t>
        </is>
      </c>
      <c r="C5" t="inlineStr">
        <is>
          <t>100GE</t>
        </is>
      </c>
      <c r="D5" t="n">
        <v>100000</v>
      </c>
      <c r="E5" t="inlineStr">
        <is>
          <t>up</t>
        </is>
      </c>
      <c r="F5" t="inlineStr">
        <is>
          <t>to FW-01 port9</t>
        </is>
      </c>
      <c r="G5" t="inlineStr">
        <is>
          <t>QSFP28-100G-SR4</t>
        </is>
      </c>
    </row>
    <row r="6">
      <c r="A6" t="inlineStr">
        <is>
          <t>MP-DC-001-AGG-01</t>
        </is>
      </c>
      <c r="B6" t="inlineStr">
        <is>
          <t>Ethernet50/1</t>
        </is>
      </c>
      <c r="C6" t="inlineStr">
        <is>
          <t>100GE</t>
        </is>
      </c>
      <c r="D6" t="n">
        <v>100000</v>
      </c>
      <c r="E6" t="inlineStr">
        <is>
          <t>up</t>
        </is>
      </c>
      <c r="F6" t="inlineStr">
        <is>
          <t>to MMR-SW-01 Ethernet49/1</t>
        </is>
      </c>
    </row>
    <row r="7">
      <c r="A7" t="inlineStr">
        <is>
          <t>MP-DC-001-MMR-SW-01</t>
        </is>
      </c>
      <c r="B7" t="inlineStr">
        <is>
          <t>Ethernet49/1</t>
        </is>
      </c>
      <c r="C7" t="inlineStr">
        <is>
          <t>100GE</t>
        </is>
      </c>
      <c r="D7" t="n">
        <v>100000</v>
      </c>
      <c r="E7" t="inlineStr">
        <is>
          <t>up</t>
        </is>
      </c>
      <c r="F7" t="inlineStr">
        <is>
          <t>to AGG-01 Ethernet50/1</t>
        </is>
      </c>
    </row>
    <row r="8">
      <c r="A8" t="inlineStr">
        <is>
          <t>MP-DC-001-BDR-02</t>
        </is>
      </c>
      <c r="B8" t="inlineStr">
        <is>
          <t>et-0/0/0</t>
        </is>
      </c>
      <c r="C8" t="inlineStr">
        <is>
          <t>100GE</t>
        </is>
      </c>
      <c r="D8" t="n">
        <v>100000</v>
      </c>
      <c r="E8" t="inlineStr">
        <is>
          <t>up</t>
        </is>
      </c>
      <c r="F8" t="inlineStr">
        <is>
          <t>to FW-02 port1</t>
        </is>
      </c>
      <c r="G8" t="inlineStr">
        <is>
          <t>QSFP28-100G-LR4</t>
        </is>
      </c>
    </row>
    <row r="9">
      <c r="A9" t="inlineStr">
        <is>
          <t>MP-DC-001-FW-02</t>
        </is>
      </c>
      <c r="B9" t="inlineStr">
        <is>
          <t>port1</t>
        </is>
      </c>
      <c r="C9" t="inlineStr">
        <is>
          <t>100GE</t>
        </is>
      </c>
      <c r="D9" t="n">
        <v>100000</v>
      </c>
      <c r="E9" t="inlineStr">
        <is>
          <t>up</t>
        </is>
      </c>
      <c r="F9" t="inlineStr">
        <is>
          <t>to BDR-02 et-0/0/0</t>
        </is>
      </c>
      <c r="G9" t="inlineStr">
        <is>
          <t>QSFP28-100G-SR4</t>
        </is>
      </c>
    </row>
    <row r="10">
      <c r="A10" t="inlineStr">
        <is>
          <t>MP-DC-001-FW-02</t>
        </is>
      </c>
      <c r="B10" t="inlineStr">
        <is>
          <t>port9</t>
        </is>
      </c>
      <c r="C10" t="inlineStr">
        <is>
          <t>100GE</t>
        </is>
      </c>
      <c r="D10" t="n">
        <v>100000</v>
      </c>
      <c r="E10" t="inlineStr">
        <is>
          <t>up</t>
        </is>
      </c>
      <c r="F10" t="inlineStr">
        <is>
          <t>to AGG-02 Ethernet49/1</t>
        </is>
      </c>
      <c r="G10" t="inlineStr">
        <is>
          <t>QSFP28-100G-SR4</t>
        </is>
      </c>
    </row>
    <row r="11">
      <c r="A11" t="inlineStr">
        <is>
          <t>MP-DC-001-AGG-02</t>
        </is>
      </c>
      <c r="B11" t="inlineStr">
        <is>
          <t>Ethernet49/1</t>
        </is>
      </c>
      <c r="C11" t="inlineStr">
        <is>
          <t>100GE</t>
        </is>
      </c>
      <c r="D11" t="n">
        <v>100000</v>
      </c>
      <c r="E11" t="inlineStr">
        <is>
          <t>up</t>
        </is>
      </c>
      <c r="F11" t="inlineStr">
        <is>
          <t>to FW-02 port9</t>
        </is>
      </c>
      <c r="G11" t="inlineStr">
        <is>
          <t>QSFP28-100G-SR4</t>
        </is>
      </c>
    </row>
    <row r="12">
      <c r="A12" t="inlineStr">
        <is>
          <t>MP-DC-001-AGG-02</t>
        </is>
      </c>
      <c r="B12" t="inlineStr">
        <is>
          <t>Ethernet50/1</t>
        </is>
      </c>
      <c r="C12" t="inlineStr">
        <is>
          <t>100GE</t>
        </is>
      </c>
      <c r="D12" t="n">
        <v>100000</v>
      </c>
      <c r="E12" t="inlineStr">
        <is>
          <t>up</t>
        </is>
      </c>
      <c r="F12" t="inlineStr">
        <is>
          <t>to MMR-SW-02 Ethernet49/1</t>
        </is>
      </c>
    </row>
    <row r="13">
      <c r="A13" t="inlineStr">
        <is>
          <t>MP-DC-001-MMR-SW-02</t>
        </is>
      </c>
      <c r="B13" t="inlineStr">
        <is>
          <t>Ethernet49/1</t>
        </is>
      </c>
      <c r="C13" t="inlineStr">
        <is>
          <t>100GE</t>
        </is>
      </c>
      <c r="D13" t="n">
        <v>100000</v>
      </c>
      <c r="E13" t="inlineStr">
        <is>
          <t>up</t>
        </is>
      </c>
      <c r="F13" t="inlineStr">
        <is>
          <t>to AGG-02 Ethernet50/1</t>
        </is>
      </c>
    </row>
    <row r="14">
      <c r="A14" t="inlineStr">
        <is>
          <t>MP-DC-001-BDR-01</t>
        </is>
      </c>
      <c r="B14" t="inlineStr">
        <is>
          <t>et-0/0/1</t>
        </is>
      </c>
      <c r="C14" t="inlineStr">
        <is>
          <t>100GE</t>
        </is>
      </c>
      <c r="D14" t="n">
        <v>100000</v>
      </c>
      <c r="E14" t="inlineStr">
        <is>
          <t>up</t>
        </is>
      </c>
      <c r="F14" t="inlineStr">
        <is>
          <t>to BDR-02 et-0/0/1</t>
        </is>
      </c>
    </row>
    <row r="15">
      <c r="A15" t="inlineStr">
        <is>
          <t>MP-DC-001-BDR-02</t>
        </is>
      </c>
      <c r="B15" t="inlineStr">
        <is>
          <t>et-0/0/1</t>
        </is>
      </c>
      <c r="C15" t="inlineStr">
        <is>
          <t>100GE</t>
        </is>
      </c>
      <c r="D15" t="n">
        <v>100000</v>
      </c>
      <c r="E15" t="inlineStr">
        <is>
          <t>up</t>
        </is>
      </c>
      <c r="F15" t="inlineStr">
        <is>
          <t>to BDR-01 et-0/0/1</t>
        </is>
      </c>
    </row>
    <row r="16">
      <c r="A16" t="inlineStr">
        <is>
          <t>MP-DC-001-AGG-01</t>
        </is>
      </c>
      <c r="B16" t="inlineStr">
        <is>
          <t>Ethernet51/1</t>
        </is>
      </c>
      <c r="C16" t="inlineStr">
        <is>
          <t>100GE</t>
        </is>
      </c>
      <c r="D16" t="n">
        <v>100000</v>
      </c>
      <c r="E16" t="inlineStr">
        <is>
          <t>up</t>
        </is>
      </c>
      <c r="F16" t="inlineStr">
        <is>
          <t>to AGG-02 Ethernet51/1</t>
        </is>
      </c>
    </row>
    <row r="17">
      <c r="A17" t="inlineStr">
        <is>
          <t>MP-DC-001-AGG-02</t>
        </is>
      </c>
      <c r="B17" t="inlineStr">
        <is>
          <t>Ethernet51/1</t>
        </is>
      </c>
      <c r="C17" t="inlineStr">
        <is>
          <t>100GE</t>
        </is>
      </c>
      <c r="D17" t="n">
        <v>100000</v>
      </c>
      <c r="E17" t="inlineStr">
        <is>
          <t>up</t>
        </is>
      </c>
      <c r="F17" t="inlineStr">
        <is>
          <t>to AGG-01 Ethernet51/1</t>
        </is>
      </c>
    </row>
    <row r="18">
      <c r="A18" t="inlineStr">
        <is>
          <t>MP-DC-001-OOB-01</t>
        </is>
      </c>
      <c r="B18" t="inlineStr">
        <is>
          <t>GigabitEthernet1/0/1</t>
        </is>
      </c>
      <c r="C18" t="inlineStr">
        <is>
          <t>1GE</t>
        </is>
      </c>
      <c r="D18" t="n">
        <v>1000</v>
      </c>
      <c r="E18" t="inlineStr">
        <is>
          <t>up</t>
        </is>
      </c>
      <c r="F18" t="inlineStr">
        <is>
          <t>to BDR-01 mgmt0</t>
        </is>
      </c>
    </row>
    <row r="19">
      <c r="A19" t="inlineStr">
        <is>
          <t>MP-DC-001-BDR-01</t>
        </is>
      </c>
      <c r="B19" t="inlineStr">
        <is>
          <t>mgmt0</t>
        </is>
      </c>
      <c r="C19" t="inlineStr">
        <is>
          <t>1GE</t>
        </is>
      </c>
      <c r="D19" t="n">
        <v>1000</v>
      </c>
      <c r="E19" t="inlineStr">
        <is>
          <t>up</t>
        </is>
      </c>
      <c r="F19" t="inlineStr">
        <is>
          <t>to OOB-01 GigabitEthernet1/0/1</t>
        </is>
      </c>
    </row>
    <row r="20">
      <c r="A20" t="inlineStr">
        <is>
          <t>MP-DC-001-OOB-01</t>
        </is>
      </c>
      <c r="B20" t="inlineStr">
        <is>
          <t>GigabitEthernet1/0/2</t>
        </is>
      </c>
      <c r="C20" t="inlineStr">
        <is>
          <t>1GE</t>
        </is>
      </c>
      <c r="D20" t="n">
        <v>1000</v>
      </c>
      <c r="E20" t="inlineStr">
        <is>
          <t>up</t>
        </is>
      </c>
      <c r="F20" t="inlineStr">
        <is>
          <t>to BDR-02 mgmt0</t>
        </is>
      </c>
    </row>
    <row r="21">
      <c r="A21" t="inlineStr">
        <is>
          <t>MP-DC-001-BDR-02</t>
        </is>
      </c>
      <c r="B21" t="inlineStr">
        <is>
          <t>mgmt0</t>
        </is>
      </c>
      <c r="C21" t="inlineStr">
        <is>
          <t>1GE</t>
        </is>
      </c>
      <c r="D21" t="n">
        <v>1000</v>
      </c>
      <c r="E21" t="inlineStr">
        <is>
          <t>up</t>
        </is>
      </c>
      <c r="F21" t="inlineStr">
        <is>
          <t>to OOB-01 GigabitEthernet1/0/2</t>
        </is>
      </c>
    </row>
    <row r="22">
      <c r="A22" t="inlineStr">
        <is>
          <t>MP-DC-001-OOB-01</t>
        </is>
      </c>
      <c r="B22" t="inlineStr">
        <is>
          <t>GigabitEthernet1/0/3</t>
        </is>
      </c>
      <c r="C22" t="inlineStr">
        <is>
          <t>1GE</t>
        </is>
      </c>
      <c r="D22" t="n">
        <v>1000</v>
      </c>
      <c r="E22" t="inlineStr">
        <is>
          <t>up</t>
        </is>
      </c>
      <c r="F22" t="inlineStr">
        <is>
          <t>to FW-01 mgmt</t>
        </is>
      </c>
    </row>
    <row r="23">
      <c r="A23" t="inlineStr">
        <is>
          <t>MP-DC-001-FW-01</t>
        </is>
      </c>
      <c r="B23" t="inlineStr">
        <is>
          <t>mgmt</t>
        </is>
      </c>
      <c r="C23" t="inlineStr">
        <is>
          <t>1GE</t>
        </is>
      </c>
      <c r="D23" t="n">
        <v>1000</v>
      </c>
      <c r="E23" t="inlineStr">
        <is>
          <t>up</t>
        </is>
      </c>
      <c r="F23" t="inlineStr">
        <is>
          <t>to OOB-01 GigabitEthernet1/0/3</t>
        </is>
      </c>
    </row>
    <row r="24">
      <c r="A24" t="inlineStr">
        <is>
          <t>MP-DC-001-OOB-01</t>
        </is>
      </c>
      <c r="B24" t="inlineStr">
        <is>
          <t>GigabitEthernet1/0/4</t>
        </is>
      </c>
      <c r="C24" t="inlineStr">
        <is>
          <t>1GE</t>
        </is>
      </c>
      <c r="D24" t="n">
        <v>1000</v>
      </c>
      <c r="E24" t="inlineStr">
        <is>
          <t>up</t>
        </is>
      </c>
      <c r="F24" t="inlineStr">
        <is>
          <t>to FW-02 mgmt</t>
        </is>
      </c>
    </row>
    <row r="25">
      <c r="A25" t="inlineStr">
        <is>
          <t>MP-DC-001-FW-02</t>
        </is>
      </c>
      <c r="B25" t="inlineStr">
        <is>
          <t>mgmt</t>
        </is>
      </c>
      <c r="C25" t="inlineStr">
        <is>
          <t>1GE</t>
        </is>
      </c>
      <c r="D25" t="n">
        <v>1000</v>
      </c>
      <c r="E25" t="inlineStr">
        <is>
          <t>up</t>
        </is>
      </c>
      <c r="F25" t="inlineStr">
        <is>
          <t>to OOB-01 GigabitEthernet1/0/4</t>
        </is>
      </c>
    </row>
    <row r="26">
      <c r="A26" t="inlineStr">
        <is>
          <t>MP-DC-001-OOB-01</t>
        </is>
      </c>
      <c r="B26" t="inlineStr">
        <is>
          <t>GigabitEthernet1/0/5</t>
        </is>
      </c>
      <c r="C26" t="inlineStr">
        <is>
          <t>1GE</t>
        </is>
      </c>
      <c r="D26" t="n">
        <v>1000</v>
      </c>
      <c r="E26" t="inlineStr">
        <is>
          <t>up</t>
        </is>
      </c>
      <c r="F26" t="inlineStr">
        <is>
          <t>to MMR-SW-01 mgmt0</t>
        </is>
      </c>
    </row>
    <row r="27">
      <c r="A27" t="inlineStr">
        <is>
          <t>MP-DC-001-MMR-SW-01</t>
        </is>
      </c>
      <c r="B27" t="inlineStr">
        <is>
          <t>mgmt0</t>
        </is>
      </c>
      <c r="C27" t="inlineStr">
        <is>
          <t>1GE</t>
        </is>
      </c>
      <c r="D27" t="n">
        <v>1000</v>
      </c>
      <c r="E27" t="inlineStr">
        <is>
          <t>up</t>
        </is>
      </c>
      <c r="F27" t="inlineStr">
        <is>
          <t>to OOB-01 GigabitEthernet1/0/5</t>
        </is>
      </c>
    </row>
    <row r="28">
      <c r="A28" t="inlineStr">
        <is>
          <t>MP-DC-001-OOB-01</t>
        </is>
      </c>
      <c r="B28" t="inlineStr">
        <is>
          <t>GigabitEthernet1/0/6</t>
        </is>
      </c>
      <c r="C28" t="inlineStr">
        <is>
          <t>1GE</t>
        </is>
      </c>
      <c r="D28" t="n">
        <v>1000</v>
      </c>
      <c r="E28" t="inlineStr">
        <is>
          <t>up</t>
        </is>
      </c>
      <c r="F28" t="inlineStr">
        <is>
          <t>to MMR-SW-02 mgmt0</t>
        </is>
      </c>
    </row>
    <row r="29">
      <c r="A29" t="inlineStr">
        <is>
          <t>MP-DC-001-MMR-SW-02</t>
        </is>
      </c>
      <c r="B29" t="inlineStr">
        <is>
          <t>mgmt0</t>
        </is>
      </c>
      <c r="C29" t="inlineStr">
        <is>
          <t>1GE</t>
        </is>
      </c>
      <c r="D29" t="n">
        <v>1000</v>
      </c>
      <c r="E29" t="inlineStr">
        <is>
          <t>up</t>
        </is>
      </c>
      <c r="F29" t="inlineStr">
        <is>
          <t>to OOB-01 GigabitEthernet1/0/6</t>
        </is>
      </c>
    </row>
    <row r="30">
      <c r="A30" t="inlineStr">
        <is>
          <t>MP-DC-001-OOB-01</t>
        </is>
      </c>
      <c r="B30" t="inlineStr">
        <is>
          <t>GigabitEthernet1/0/7</t>
        </is>
      </c>
      <c r="C30" t="inlineStr">
        <is>
          <t>1GE</t>
        </is>
      </c>
      <c r="D30" t="n">
        <v>1000</v>
      </c>
      <c r="E30" t="inlineStr">
        <is>
          <t>up</t>
        </is>
      </c>
      <c r="F30" t="inlineStr">
        <is>
          <t>to AGG-01 mgmt0</t>
        </is>
      </c>
    </row>
    <row r="31">
      <c r="A31" t="inlineStr">
        <is>
          <t>MP-DC-001-AGG-01</t>
        </is>
      </c>
      <c r="B31" t="inlineStr">
        <is>
          <t>mgmt0</t>
        </is>
      </c>
      <c r="C31" t="inlineStr">
        <is>
          <t>1GE</t>
        </is>
      </c>
      <c r="D31" t="n">
        <v>1000</v>
      </c>
      <c r="E31" t="inlineStr">
        <is>
          <t>up</t>
        </is>
      </c>
      <c r="F31" t="inlineStr">
        <is>
          <t>to OOB-01 GigabitEthernet1/0/7</t>
        </is>
      </c>
    </row>
    <row r="32">
      <c r="A32" t="inlineStr">
        <is>
          <t>MP-DC-001-OOB-01</t>
        </is>
      </c>
      <c r="B32" t="inlineStr">
        <is>
          <t>GigabitEthernet1/0/8</t>
        </is>
      </c>
      <c r="C32" t="inlineStr">
        <is>
          <t>1GE</t>
        </is>
      </c>
      <c r="D32" t="n">
        <v>1000</v>
      </c>
      <c r="E32" t="inlineStr">
        <is>
          <t>up</t>
        </is>
      </c>
      <c r="F32" t="inlineStr">
        <is>
          <t>to AGG-02 mgmt0</t>
        </is>
      </c>
    </row>
    <row r="33">
      <c r="A33" t="inlineStr">
        <is>
          <t>MP-DC-001-AGG-02</t>
        </is>
      </c>
      <c r="B33" t="inlineStr">
        <is>
          <t>mgmt0</t>
        </is>
      </c>
      <c r="C33" t="inlineStr">
        <is>
          <t>1GE</t>
        </is>
      </c>
      <c r="D33" t="n">
        <v>1000</v>
      </c>
      <c r="E33" t="inlineStr">
        <is>
          <t>up</t>
        </is>
      </c>
      <c r="F33" t="inlineStr">
        <is>
          <t>to OOB-01 GigabitEthernet1/0/8</t>
        </is>
      </c>
    </row>
    <row r="34">
      <c r="A34" t="inlineStr">
        <is>
          <t>MP-DC-001-MMR-SW-01</t>
        </is>
      </c>
      <c r="B34" t="inlineStr">
        <is>
          <t>Ethernet1</t>
        </is>
      </c>
      <c r="C34" t="inlineStr">
        <is>
          <t>10GE</t>
        </is>
      </c>
      <c r="D34" t="n">
        <v>10000</v>
      </c>
      <c r="E34" t="inlineStr">
        <is>
          <t>up</t>
        </is>
      </c>
      <c r="F34" t="inlineStr">
        <is>
          <t>XC to CUST-001 cabinet A02</t>
        </is>
      </c>
      <c r="G34" t="inlineStr">
        <is>
          <t>SFP-10G-LR</t>
        </is>
      </c>
    </row>
    <row r="35">
      <c r="A35" t="inlineStr">
        <is>
          <t>MP-DC-001-MMR-SW-02</t>
        </is>
      </c>
      <c r="B35" t="inlineStr">
        <is>
          <t>Ethernet2</t>
        </is>
      </c>
      <c r="C35" t="inlineStr">
        <is>
          <t>10GE</t>
        </is>
      </c>
      <c r="D35" t="n">
        <v>10000</v>
      </c>
      <c r="E35" t="inlineStr">
        <is>
          <t>up</t>
        </is>
      </c>
      <c r="F35" t="inlineStr">
        <is>
          <t>XC to CUST-001 cabinet A03</t>
        </is>
      </c>
      <c r="G35" t="inlineStr">
        <is>
          <t>SFP-10G-LR</t>
        </is>
      </c>
    </row>
    <row r="36">
      <c r="A36" t="inlineStr">
        <is>
          <t>MP-DC-001-MMR-SW-01</t>
        </is>
      </c>
      <c r="B36" t="inlineStr">
        <is>
          <t>Ethernet3</t>
        </is>
      </c>
      <c r="C36" t="inlineStr">
        <is>
          <t>10GE</t>
        </is>
      </c>
      <c r="D36" t="n">
        <v>10000</v>
      </c>
      <c r="E36" t="inlineStr">
        <is>
          <t>up</t>
        </is>
      </c>
      <c r="F36" t="inlineStr">
        <is>
          <t>XC to CUST-002 cabinet A04</t>
        </is>
      </c>
      <c r="G36" t="inlineStr">
        <is>
          <t>SFP-10G-LR</t>
        </is>
      </c>
    </row>
    <row r="37">
      <c r="A37" t="inlineStr">
        <is>
          <t>MP-DC-001-MMR-SW-02</t>
        </is>
      </c>
      <c r="B37" t="inlineStr">
        <is>
          <t>Ethernet4</t>
        </is>
      </c>
      <c r="C37" t="inlineStr">
        <is>
          <t>10GE</t>
        </is>
      </c>
      <c r="D37" t="n">
        <v>10000</v>
      </c>
      <c r="E37" t="inlineStr">
        <is>
          <t>up</t>
        </is>
      </c>
      <c r="F37" t="inlineStr">
        <is>
          <t>XC to CUST-003 cabinet A05</t>
        </is>
      </c>
      <c r="G37" t="inlineStr">
        <is>
          <t>SFP-10G-LR</t>
        </is>
      </c>
    </row>
    <row r="38">
      <c r="A38" t="inlineStr">
        <is>
          <t>MP-DC-001-MMR-SW-01</t>
        </is>
      </c>
      <c r="B38" t="inlineStr">
        <is>
          <t>Ethernet5</t>
        </is>
      </c>
      <c r="C38" t="inlineStr">
        <is>
          <t>10GE</t>
        </is>
      </c>
      <c r="D38" t="n">
        <v>10000</v>
      </c>
      <c r="E38" t="inlineStr">
        <is>
          <t>up</t>
        </is>
      </c>
      <c r="F38" t="inlineStr">
        <is>
          <t>XC to CUST-003 cabinet A06</t>
        </is>
      </c>
      <c r="G38" t="inlineStr">
        <is>
          <t>SFP-10G-LR</t>
        </is>
      </c>
    </row>
    <row r="39">
      <c r="A39" t="inlineStr">
        <is>
          <t>MP-DC-001-BDR-01</t>
        </is>
      </c>
      <c r="B39" t="inlineStr">
        <is>
          <t>et-0/0/4</t>
        </is>
      </c>
      <c r="C39" t="inlineStr">
        <is>
          <t>100GE</t>
        </is>
      </c>
      <c r="D39" t="n">
        <v>100000</v>
      </c>
      <c r="E39" t="inlineStr">
        <is>
          <t>reserved</t>
        </is>
      </c>
      <c r="F39" t="inlineStr">
        <is>
          <t>Spare, reserved for CUST-004 backhaul</t>
        </is>
      </c>
    </row>
    <row r="40">
      <c r="A40" t="inlineStr">
        <is>
          <t>MP-DC-001-BDR-01</t>
        </is>
      </c>
      <c r="B40" t="inlineStr">
        <is>
          <t>et-0/0/5</t>
        </is>
      </c>
      <c r="C40" t="inlineStr">
        <is>
          <t>100GE</t>
        </is>
      </c>
      <c r="D40" t="n">
        <v>100000</v>
      </c>
      <c r="E40" t="inlineStr">
        <is>
          <t>reserved</t>
        </is>
      </c>
      <c r="F40" t="inlineStr">
        <is>
          <t>Spare, reserved for CUST-004 backhaul</t>
        </is>
      </c>
    </row>
    <row r="41">
      <c r="A41" t="inlineStr">
        <is>
          <t>TN-DC-002-BDR-01</t>
        </is>
      </c>
      <c r="B41" t="inlineStr">
        <is>
          <t>et-0/0/0</t>
        </is>
      </c>
      <c r="C41" t="inlineStr">
        <is>
          <t>100GE</t>
        </is>
      </c>
      <c r="D41" t="n">
        <v>100000</v>
      </c>
      <c r="E41" t="inlineStr">
        <is>
          <t>up</t>
        </is>
      </c>
      <c r="F41" t="inlineStr">
        <is>
          <t>to FW-01 ethernet1/1</t>
        </is>
      </c>
      <c r="G41" t="inlineStr">
        <is>
          <t>QSFP28-100G-LR4</t>
        </is>
      </c>
    </row>
    <row r="42">
      <c r="A42" t="inlineStr">
        <is>
          <t>TN-DC-002-FW-01</t>
        </is>
      </c>
      <c r="B42" t="inlineStr">
        <is>
          <t>ethernet1/1</t>
        </is>
      </c>
      <c r="C42" t="inlineStr">
        <is>
          <t>100GE</t>
        </is>
      </c>
      <c r="D42" t="n">
        <v>100000</v>
      </c>
      <c r="E42" t="inlineStr">
        <is>
          <t>up</t>
        </is>
      </c>
      <c r="F42" t="inlineStr">
        <is>
          <t>to BDR-01 et-0/0/0</t>
        </is>
      </c>
      <c r="G42" t="inlineStr">
        <is>
          <t>QSFP28-100G-SR4</t>
        </is>
      </c>
    </row>
    <row r="43">
      <c r="A43" t="inlineStr">
        <is>
          <t>TN-DC-002-FW-01</t>
        </is>
      </c>
      <c r="B43" t="inlineStr">
        <is>
          <t>ethernet1/3</t>
        </is>
      </c>
      <c r="C43" t="inlineStr">
        <is>
          <t>100GE</t>
        </is>
      </c>
      <c r="D43" t="n">
        <v>100000</v>
      </c>
      <c r="E43" t="inlineStr">
        <is>
          <t>up</t>
        </is>
      </c>
      <c r="F43" t="inlineStr">
        <is>
          <t>to ETH-SPINE-01 swp1</t>
        </is>
      </c>
    </row>
    <row r="44">
      <c r="A44" t="inlineStr">
        <is>
          <t>TN-DC-002-ETH-SPINE-01</t>
        </is>
      </c>
      <c r="B44" t="inlineStr">
        <is>
          <t>swp1</t>
        </is>
      </c>
      <c r="C44" t="inlineStr">
        <is>
          <t>100GE</t>
        </is>
      </c>
      <c r="D44" t="n">
        <v>100000</v>
      </c>
      <c r="E44" t="inlineStr">
        <is>
          <t>up</t>
        </is>
      </c>
      <c r="F44" t="inlineStr">
        <is>
          <t>to FW-01 ethernet1/3</t>
        </is>
      </c>
    </row>
    <row r="45">
      <c r="A45" t="inlineStr">
        <is>
          <t>TN-DC-002-FW-01</t>
        </is>
      </c>
      <c r="B45" t="inlineStr">
        <is>
          <t>ethernet1/4</t>
        </is>
      </c>
      <c r="C45" t="inlineStr">
        <is>
          <t>100GE</t>
        </is>
      </c>
      <c r="D45" t="n">
        <v>100000</v>
      </c>
      <c r="E45" t="inlineStr">
        <is>
          <t>up</t>
        </is>
      </c>
      <c r="F45" t="inlineStr">
        <is>
          <t>to ETH-SPINE-02 swp1</t>
        </is>
      </c>
    </row>
    <row r="46">
      <c r="A46" t="inlineStr">
        <is>
          <t>TN-DC-002-ETH-SPINE-02</t>
        </is>
      </c>
      <c r="B46" t="inlineStr">
        <is>
          <t>swp1</t>
        </is>
      </c>
      <c r="C46" t="inlineStr">
        <is>
          <t>100GE</t>
        </is>
      </c>
      <c r="D46" t="n">
        <v>100000</v>
      </c>
      <c r="E46" t="inlineStr">
        <is>
          <t>up</t>
        </is>
      </c>
      <c r="F46" t="inlineStr">
        <is>
          <t>to FW-01 ethernet1/4</t>
        </is>
      </c>
    </row>
    <row r="47">
      <c r="A47" t="inlineStr">
        <is>
          <t>TN-DC-002-BDR-02</t>
        </is>
      </c>
      <c r="B47" t="inlineStr">
        <is>
          <t>et-0/0/0</t>
        </is>
      </c>
      <c r="C47" t="inlineStr">
        <is>
          <t>100GE</t>
        </is>
      </c>
      <c r="D47" t="n">
        <v>100000</v>
      </c>
      <c r="E47" t="inlineStr">
        <is>
          <t>up</t>
        </is>
      </c>
      <c r="F47" t="inlineStr">
        <is>
          <t>to FW-02 ethernet1/1</t>
        </is>
      </c>
      <c r="G47" t="inlineStr">
        <is>
          <t>QSFP28-100G-LR4</t>
        </is>
      </c>
    </row>
    <row r="48">
      <c r="A48" t="inlineStr">
        <is>
          <t>TN-DC-002-FW-02</t>
        </is>
      </c>
      <c r="B48" t="inlineStr">
        <is>
          <t>ethernet1/1</t>
        </is>
      </c>
      <c r="C48" t="inlineStr">
        <is>
          <t>100GE</t>
        </is>
      </c>
      <c r="D48" t="n">
        <v>100000</v>
      </c>
      <c r="E48" t="inlineStr">
        <is>
          <t>up</t>
        </is>
      </c>
      <c r="F48" t="inlineStr">
        <is>
          <t>to BDR-02 et-0/0/0</t>
        </is>
      </c>
      <c r="G48" t="inlineStr">
        <is>
          <t>QSFP28-100G-SR4</t>
        </is>
      </c>
    </row>
    <row r="49">
      <c r="A49" t="inlineStr">
        <is>
          <t>TN-DC-002-FW-02</t>
        </is>
      </c>
      <c r="B49" t="inlineStr">
        <is>
          <t>ethernet1/3</t>
        </is>
      </c>
      <c r="C49" t="inlineStr">
        <is>
          <t>100GE</t>
        </is>
      </c>
      <c r="D49" t="n">
        <v>100000</v>
      </c>
      <c r="E49" t="inlineStr">
        <is>
          <t>up</t>
        </is>
      </c>
      <c r="F49" t="inlineStr">
        <is>
          <t>to ETH-SPINE-01 swp2</t>
        </is>
      </c>
    </row>
    <row r="50">
      <c r="A50" t="inlineStr">
        <is>
          <t>TN-DC-002-ETH-SPINE-01</t>
        </is>
      </c>
      <c r="B50" t="inlineStr">
        <is>
          <t>swp2</t>
        </is>
      </c>
      <c r="C50" t="inlineStr">
        <is>
          <t>100GE</t>
        </is>
      </c>
      <c r="D50" t="n">
        <v>100000</v>
      </c>
      <c r="E50" t="inlineStr">
        <is>
          <t>up</t>
        </is>
      </c>
      <c r="F50" t="inlineStr">
        <is>
          <t>to FW-02 ethernet1/3</t>
        </is>
      </c>
    </row>
    <row r="51">
      <c r="A51" t="inlineStr">
        <is>
          <t>TN-DC-002-FW-02</t>
        </is>
      </c>
      <c r="B51" t="inlineStr">
        <is>
          <t>ethernet1/4</t>
        </is>
      </c>
      <c r="C51" t="inlineStr">
        <is>
          <t>100GE</t>
        </is>
      </c>
      <c r="D51" t="n">
        <v>100000</v>
      </c>
      <c r="E51" t="inlineStr">
        <is>
          <t>up</t>
        </is>
      </c>
      <c r="F51" t="inlineStr">
        <is>
          <t>to ETH-SPINE-02 swp2</t>
        </is>
      </c>
    </row>
    <row r="52">
      <c r="A52" t="inlineStr">
        <is>
          <t>TN-DC-002-ETH-SPINE-02</t>
        </is>
      </c>
      <c r="B52" t="inlineStr">
        <is>
          <t>swp2</t>
        </is>
      </c>
      <c r="C52" t="inlineStr">
        <is>
          <t>100GE</t>
        </is>
      </c>
      <c r="D52" t="n">
        <v>100000</v>
      </c>
      <c r="E52" t="inlineStr">
        <is>
          <t>up</t>
        </is>
      </c>
      <c r="F52" t="inlineStr">
        <is>
          <t>to FW-02 ethernet1/4</t>
        </is>
      </c>
    </row>
    <row r="53">
      <c r="A53" t="inlineStr">
        <is>
          <t>TN-DC-002-BDR-01</t>
        </is>
      </c>
      <c r="B53" t="inlineStr">
        <is>
          <t>et-0/0/1</t>
        </is>
      </c>
      <c r="C53" t="inlineStr">
        <is>
          <t>100GE</t>
        </is>
      </c>
      <c r="D53" t="n">
        <v>100000</v>
      </c>
      <c r="E53" t="inlineStr">
        <is>
          <t>up</t>
        </is>
      </c>
      <c r="F53" t="inlineStr">
        <is>
          <t>to BDR-02 et-0/0/1</t>
        </is>
      </c>
    </row>
    <row r="54">
      <c r="A54" t="inlineStr">
        <is>
          <t>TN-DC-002-BDR-02</t>
        </is>
      </c>
      <c r="B54" t="inlineStr">
        <is>
          <t>et-0/0/1</t>
        </is>
      </c>
      <c r="C54" t="inlineStr">
        <is>
          <t>100GE</t>
        </is>
      </c>
      <c r="D54" t="n">
        <v>100000</v>
      </c>
      <c r="E54" t="inlineStr">
        <is>
          <t>up</t>
        </is>
      </c>
      <c r="F54" t="inlineStr">
        <is>
          <t>to BDR-01 et-0/0/1</t>
        </is>
      </c>
    </row>
    <row r="55">
      <c r="A55" t="inlineStr">
        <is>
          <t>TN-DC-002-ETH-SPINE-01</t>
        </is>
      </c>
      <c r="B55" t="inlineStr">
        <is>
          <t>swp10</t>
        </is>
      </c>
      <c r="C55" t="inlineStr">
        <is>
          <t>400GE</t>
        </is>
      </c>
      <c r="D55" t="n">
        <v>400000</v>
      </c>
      <c r="E55" t="inlineStr">
        <is>
          <t>up</t>
        </is>
      </c>
      <c r="F55" t="inlineStr">
        <is>
          <t>to ETH-LEAF-01 Ethernet57/1</t>
        </is>
      </c>
    </row>
    <row r="56">
      <c r="A56" t="inlineStr">
        <is>
          <t>TN-DC-002-ETH-LEAF-01</t>
        </is>
      </c>
      <c r="B56" t="inlineStr">
        <is>
          <t>Ethernet57/1</t>
        </is>
      </c>
      <c r="C56" t="inlineStr">
        <is>
          <t>400GE</t>
        </is>
      </c>
      <c r="D56" t="n">
        <v>400000</v>
      </c>
      <c r="E56" t="inlineStr">
        <is>
          <t>up</t>
        </is>
      </c>
      <c r="F56" t="inlineStr">
        <is>
          <t>to ETH-SPINE-01 swp10</t>
        </is>
      </c>
    </row>
    <row r="57">
      <c r="A57" t="inlineStr">
        <is>
          <t>TN-DC-002-IB-SPINE-01</t>
        </is>
      </c>
      <c r="B57" t="inlineStr">
        <is>
          <t>IB1/1</t>
        </is>
      </c>
      <c r="C57" t="inlineStr">
        <is>
          <t>400G NDR</t>
        </is>
      </c>
      <c r="D57" t="n">
        <v>400000</v>
      </c>
      <c r="E57" t="inlineStr">
        <is>
          <t>up</t>
        </is>
      </c>
      <c r="F57" t="inlineStr">
        <is>
          <t>to IB-LEAF-01 IB1/33</t>
        </is>
      </c>
      <c r="G57" t="inlineStr">
        <is>
          <t>OSFP-400G-DR4</t>
        </is>
      </c>
    </row>
    <row r="58">
      <c r="A58" t="inlineStr">
        <is>
          <t>TN-DC-002-IB-LEAF-01</t>
        </is>
      </c>
      <c r="B58" t="inlineStr">
        <is>
          <t>IB1/33</t>
        </is>
      </c>
      <c r="C58" t="inlineStr">
        <is>
          <t>400G NDR</t>
        </is>
      </c>
      <c r="D58" t="n">
        <v>400000</v>
      </c>
      <c r="E58" t="inlineStr">
        <is>
          <t>up</t>
        </is>
      </c>
      <c r="F58" t="inlineStr">
        <is>
          <t>to IB-SPINE-01 IB1/1</t>
        </is>
      </c>
      <c r="G58" t="inlineStr">
        <is>
          <t>OSFP-400G-DR4</t>
        </is>
      </c>
    </row>
    <row r="59">
      <c r="A59" t="inlineStr">
        <is>
          <t>TN-DC-002-IB-SPINE-01</t>
        </is>
      </c>
      <c r="B59" t="inlineStr">
        <is>
          <t>IB1/2</t>
        </is>
      </c>
      <c r="C59" t="inlineStr">
        <is>
          <t>400G NDR</t>
        </is>
      </c>
      <c r="D59" t="n">
        <v>400000</v>
      </c>
      <c r="E59" t="inlineStr">
        <is>
          <t>up</t>
        </is>
      </c>
      <c r="F59" t="inlineStr">
        <is>
          <t>to IB-LEAF-01 IB1/34</t>
        </is>
      </c>
      <c r="G59" t="inlineStr">
        <is>
          <t>OSFP-400G-DR4</t>
        </is>
      </c>
    </row>
    <row r="60">
      <c r="A60" t="inlineStr">
        <is>
          <t>TN-DC-002-IB-LEAF-01</t>
        </is>
      </c>
      <c r="B60" t="inlineStr">
        <is>
          <t>IB1/34</t>
        </is>
      </c>
      <c r="C60" t="inlineStr">
        <is>
          <t>400G NDR</t>
        </is>
      </c>
      <c r="D60" t="n">
        <v>400000</v>
      </c>
      <c r="E60" t="inlineStr">
        <is>
          <t>up</t>
        </is>
      </c>
      <c r="F60" t="inlineStr">
        <is>
          <t>to IB-SPINE-01 IB1/2</t>
        </is>
      </c>
      <c r="G60" t="inlineStr">
        <is>
          <t>OSFP-400G-DR4</t>
        </is>
      </c>
    </row>
    <row r="61">
      <c r="A61" t="inlineStr">
        <is>
          <t>TN-DC-002-ETH-SPINE-01</t>
        </is>
      </c>
      <c r="B61" t="inlineStr">
        <is>
          <t>swp11</t>
        </is>
      </c>
      <c r="C61" t="inlineStr">
        <is>
          <t>400GE</t>
        </is>
      </c>
      <c r="D61" t="n">
        <v>400000</v>
      </c>
      <c r="E61" t="inlineStr">
        <is>
          <t>up</t>
        </is>
      </c>
      <c r="F61" t="inlineStr">
        <is>
          <t>to ETH-LEAF-02 Ethernet57/1</t>
        </is>
      </c>
    </row>
    <row r="62">
      <c r="A62" t="inlineStr">
        <is>
          <t>TN-DC-002-ETH-LEAF-02</t>
        </is>
      </c>
      <c r="B62" t="inlineStr">
        <is>
          <t>Ethernet57/1</t>
        </is>
      </c>
      <c r="C62" t="inlineStr">
        <is>
          <t>400GE</t>
        </is>
      </c>
      <c r="D62" t="n">
        <v>400000</v>
      </c>
      <c r="E62" t="inlineStr">
        <is>
          <t>up</t>
        </is>
      </c>
      <c r="F62" t="inlineStr">
        <is>
          <t>to ETH-SPINE-01 swp11</t>
        </is>
      </c>
    </row>
    <row r="63">
      <c r="A63" t="inlineStr">
        <is>
          <t>TN-DC-002-IB-SPINE-01</t>
        </is>
      </c>
      <c r="B63" t="inlineStr">
        <is>
          <t>IB1/3</t>
        </is>
      </c>
      <c r="C63" t="inlineStr">
        <is>
          <t>400G NDR</t>
        </is>
      </c>
      <c r="D63" t="n">
        <v>400000</v>
      </c>
      <c r="E63" t="inlineStr">
        <is>
          <t>up</t>
        </is>
      </c>
      <c r="F63" t="inlineStr">
        <is>
          <t>to IB-LEAF-02 IB1/33</t>
        </is>
      </c>
      <c r="G63" t="inlineStr">
        <is>
          <t>OSFP-400G-DR4</t>
        </is>
      </c>
    </row>
    <row r="64">
      <c r="A64" t="inlineStr">
        <is>
          <t>TN-DC-002-IB-LEAF-02</t>
        </is>
      </c>
      <c r="B64" t="inlineStr">
        <is>
          <t>IB1/33</t>
        </is>
      </c>
      <c r="C64" t="inlineStr">
        <is>
          <t>400G NDR</t>
        </is>
      </c>
      <c r="D64" t="n">
        <v>400000</v>
      </c>
      <c r="E64" t="inlineStr">
        <is>
          <t>up</t>
        </is>
      </c>
      <c r="F64" t="inlineStr">
        <is>
          <t>to IB-SPINE-01 IB1/3</t>
        </is>
      </c>
      <c r="G64" t="inlineStr">
        <is>
          <t>OSFP-400G-DR4</t>
        </is>
      </c>
    </row>
    <row r="65">
      <c r="A65" t="inlineStr">
        <is>
          <t>TN-DC-002-IB-SPINE-01</t>
        </is>
      </c>
      <c r="B65" t="inlineStr">
        <is>
          <t>IB1/4</t>
        </is>
      </c>
      <c r="C65" t="inlineStr">
        <is>
          <t>400G NDR</t>
        </is>
      </c>
      <c r="D65" t="n">
        <v>400000</v>
      </c>
      <c r="E65" t="inlineStr">
        <is>
          <t>up</t>
        </is>
      </c>
      <c r="F65" t="inlineStr">
        <is>
          <t>to IB-LEAF-02 IB1/34</t>
        </is>
      </c>
      <c r="G65" t="inlineStr">
        <is>
          <t>OSFP-400G-DR4</t>
        </is>
      </c>
    </row>
    <row r="66">
      <c r="A66" t="inlineStr">
        <is>
          <t>TN-DC-002-IB-LEAF-02</t>
        </is>
      </c>
      <c r="B66" t="inlineStr">
        <is>
          <t>IB1/34</t>
        </is>
      </c>
      <c r="C66" t="inlineStr">
        <is>
          <t>400G NDR</t>
        </is>
      </c>
      <c r="D66" t="n">
        <v>400000</v>
      </c>
      <c r="E66" t="inlineStr">
        <is>
          <t>up</t>
        </is>
      </c>
      <c r="F66" t="inlineStr">
        <is>
          <t>to IB-SPINE-01 IB1/4</t>
        </is>
      </c>
      <c r="G66" t="inlineStr">
        <is>
          <t>OSFP-400G-DR4</t>
        </is>
      </c>
    </row>
    <row r="67">
      <c r="A67" t="inlineStr">
        <is>
          <t>TN-DC-002-ETH-SPINE-02</t>
        </is>
      </c>
      <c r="B67" t="inlineStr">
        <is>
          <t>swp10</t>
        </is>
      </c>
      <c r="C67" t="inlineStr">
        <is>
          <t>400GE</t>
        </is>
      </c>
      <c r="D67" t="n">
        <v>400000</v>
      </c>
      <c r="E67" t="inlineStr">
        <is>
          <t>up</t>
        </is>
      </c>
      <c r="F67" t="inlineStr">
        <is>
          <t>to ETH-LEAF-01 Ethernet58/1</t>
        </is>
      </c>
    </row>
    <row r="68">
      <c r="A68" t="inlineStr">
        <is>
          <t>TN-DC-002-ETH-LEAF-01</t>
        </is>
      </c>
      <c r="B68" t="inlineStr">
        <is>
          <t>Ethernet58/1</t>
        </is>
      </c>
      <c r="C68" t="inlineStr">
        <is>
          <t>400GE</t>
        </is>
      </c>
      <c r="D68" t="n">
        <v>400000</v>
      </c>
      <c r="E68" t="inlineStr">
        <is>
          <t>up</t>
        </is>
      </c>
      <c r="F68" t="inlineStr">
        <is>
          <t>to ETH-SPINE-02 swp10</t>
        </is>
      </c>
    </row>
    <row r="69">
      <c r="A69" t="inlineStr">
        <is>
          <t>TN-DC-002-IB-SPINE-02</t>
        </is>
      </c>
      <c r="B69" t="inlineStr">
        <is>
          <t>IB1/1</t>
        </is>
      </c>
      <c r="C69" t="inlineStr">
        <is>
          <t>400G NDR</t>
        </is>
      </c>
      <c r="D69" t="n">
        <v>400000</v>
      </c>
      <c r="E69" t="inlineStr">
        <is>
          <t>up</t>
        </is>
      </c>
      <c r="F69" t="inlineStr">
        <is>
          <t>to IB-LEAF-01 IB1/35</t>
        </is>
      </c>
      <c r="G69" t="inlineStr">
        <is>
          <t>OSFP-400G-DR4</t>
        </is>
      </c>
    </row>
    <row r="70">
      <c r="A70" t="inlineStr">
        <is>
          <t>TN-DC-002-IB-LEAF-01</t>
        </is>
      </c>
      <c r="B70" t="inlineStr">
        <is>
          <t>IB1/35</t>
        </is>
      </c>
      <c r="C70" t="inlineStr">
        <is>
          <t>400G NDR</t>
        </is>
      </c>
      <c r="D70" t="n">
        <v>400000</v>
      </c>
      <c r="E70" t="inlineStr">
        <is>
          <t>up</t>
        </is>
      </c>
      <c r="F70" t="inlineStr">
        <is>
          <t>to IB-SPINE-02 IB1/1</t>
        </is>
      </c>
      <c r="G70" t="inlineStr">
        <is>
          <t>OSFP-400G-DR4</t>
        </is>
      </c>
    </row>
    <row r="71">
      <c r="A71" t="inlineStr">
        <is>
          <t>TN-DC-002-IB-SPINE-02</t>
        </is>
      </c>
      <c r="B71" t="inlineStr">
        <is>
          <t>IB1/2</t>
        </is>
      </c>
      <c r="C71" t="inlineStr">
        <is>
          <t>400G NDR</t>
        </is>
      </c>
      <c r="D71" t="n">
        <v>400000</v>
      </c>
      <c r="E71" t="inlineStr">
        <is>
          <t>up</t>
        </is>
      </c>
      <c r="F71" t="inlineStr">
        <is>
          <t>to IB-LEAF-01 IB1/36</t>
        </is>
      </c>
      <c r="G71" t="inlineStr">
        <is>
          <t>OSFP-400G-DR4</t>
        </is>
      </c>
    </row>
    <row r="72">
      <c r="A72" t="inlineStr">
        <is>
          <t>TN-DC-002-IB-LEAF-01</t>
        </is>
      </c>
      <c r="B72" t="inlineStr">
        <is>
          <t>IB1/36</t>
        </is>
      </c>
      <c r="C72" t="inlineStr">
        <is>
          <t>400G NDR</t>
        </is>
      </c>
      <c r="D72" t="n">
        <v>400000</v>
      </c>
      <c r="E72" t="inlineStr">
        <is>
          <t>up</t>
        </is>
      </c>
      <c r="F72" t="inlineStr">
        <is>
          <t>to IB-SPINE-02 IB1/2</t>
        </is>
      </c>
      <c r="G72" t="inlineStr">
        <is>
          <t>OSFP-400G-DR4</t>
        </is>
      </c>
    </row>
    <row r="73">
      <c r="A73" t="inlineStr">
        <is>
          <t>TN-DC-002-ETH-SPINE-02</t>
        </is>
      </c>
      <c r="B73" t="inlineStr">
        <is>
          <t>swp11</t>
        </is>
      </c>
      <c r="C73" t="inlineStr">
        <is>
          <t>400GE</t>
        </is>
      </c>
      <c r="D73" t="n">
        <v>400000</v>
      </c>
      <c r="E73" t="inlineStr">
        <is>
          <t>up</t>
        </is>
      </c>
      <c r="F73" t="inlineStr">
        <is>
          <t>to ETH-LEAF-02 Ethernet58/1</t>
        </is>
      </c>
    </row>
    <row r="74">
      <c r="A74" t="inlineStr">
        <is>
          <t>TN-DC-002-ETH-LEAF-02</t>
        </is>
      </c>
      <c r="B74" t="inlineStr">
        <is>
          <t>Ethernet58/1</t>
        </is>
      </c>
      <c r="C74" t="inlineStr">
        <is>
          <t>400GE</t>
        </is>
      </c>
      <c r="D74" t="n">
        <v>400000</v>
      </c>
      <c r="E74" t="inlineStr">
        <is>
          <t>up</t>
        </is>
      </c>
      <c r="F74" t="inlineStr">
        <is>
          <t>to ETH-SPINE-02 swp11</t>
        </is>
      </c>
    </row>
    <row r="75">
      <c r="A75" t="inlineStr">
        <is>
          <t>TN-DC-002-IB-SPINE-02</t>
        </is>
      </c>
      <c r="B75" t="inlineStr">
        <is>
          <t>IB1/3</t>
        </is>
      </c>
      <c r="C75" t="inlineStr">
        <is>
          <t>400G NDR</t>
        </is>
      </c>
      <c r="D75" t="n">
        <v>400000</v>
      </c>
      <c r="E75" t="inlineStr">
        <is>
          <t>up</t>
        </is>
      </c>
      <c r="F75" t="inlineStr">
        <is>
          <t>to IB-LEAF-02 IB1/35</t>
        </is>
      </c>
      <c r="G75" t="inlineStr">
        <is>
          <t>OSFP-400G-DR4</t>
        </is>
      </c>
    </row>
    <row r="76">
      <c r="A76" t="inlineStr">
        <is>
          <t>TN-DC-002-IB-LEAF-02</t>
        </is>
      </c>
      <c r="B76" t="inlineStr">
        <is>
          <t>IB1/35</t>
        </is>
      </c>
      <c r="C76" t="inlineStr">
        <is>
          <t>400G NDR</t>
        </is>
      </c>
      <c r="D76" t="n">
        <v>400000</v>
      </c>
      <c r="E76" t="inlineStr">
        <is>
          <t>up</t>
        </is>
      </c>
      <c r="F76" t="inlineStr">
        <is>
          <t>to IB-SPINE-02 IB1/3</t>
        </is>
      </c>
      <c r="G76" t="inlineStr">
        <is>
          <t>OSFP-400G-DR4</t>
        </is>
      </c>
    </row>
    <row r="77">
      <c r="A77" t="inlineStr">
        <is>
          <t>TN-DC-002-IB-SPINE-02</t>
        </is>
      </c>
      <c r="B77" t="inlineStr">
        <is>
          <t>IB1/4</t>
        </is>
      </c>
      <c r="C77" t="inlineStr">
        <is>
          <t>400G NDR</t>
        </is>
      </c>
      <c r="D77" t="n">
        <v>400000</v>
      </c>
      <c r="E77" t="inlineStr">
        <is>
          <t>up</t>
        </is>
      </c>
      <c r="F77" t="inlineStr">
        <is>
          <t>to IB-LEAF-02 IB1/36</t>
        </is>
      </c>
      <c r="G77" t="inlineStr">
        <is>
          <t>OSFP-400G-DR4</t>
        </is>
      </c>
    </row>
    <row r="78">
      <c r="A78" t="inlineStr">
        <is>
          <t>TN-DC-002-IB-LEAF-02</t>
        </is>
      </c>
      <c r="B78" t="inlineStr">
        <is>
          <t>IB1/36</t>
        </is>
      </c>
      <c r="C78" t="inlineStr">
        <is>
          <t>400G NDR</t>
        </is>
      </c>
      <c r="D78" t="n">
        <v>400000</v>
      </c>
      <c r="E78" t="inlineStr">
        <is>
          <t>up</t>
        </is>
      </c>
      <c r="F78" t="inlineStr">
        <is>
          <t>to IB-SPINE-02 IB1/4</t>
        </is>
      </c>
      <c r="G78" t="inlineStr">
        <is>
          <t>OSFP-400G-DR4</t>
        </is>
      </c>
    </row>
    <row r="79">
      <c r="A79" t="inlineStr">
        <is>
          <t>TN-DC-002-GPU-001</t>
        </is>
      </c>
      <c r="B79" t="inlineStr">
        <is>
          <t>ib0</t>
        </is>
      </c>
      <c r="C79" t="inlineStr">
        <is>
          <t>400G NDR</t>
        </is>
      </c>
      <c r="D79" t="n">
        <v>400000</v>
      </c>
      <c r="E79" t="inlineStr">
        <is>
          <t>up</t>
        </is>
      </c>
      <c r="F79" t="inlineStr">
        <is>
          <t>to IB-LEAF-01 IB1/1</t>
        </is>
      </c>
      <c r="G79" t="inlineStr">
        <is>
          <t>OSFP-400G-SR4</t>
        </is>
      </c>
    </row>
    <row r="80">
      <c r="A80" t="inlineStr">
        <is>
          <t>TN-DC-002-IB-LEAF-01</t>
        </is>
      </c>
      <c r="B80" t="inlineStr">
        <is>
          <t>IB1/1</t>
        </is>
      </c>
      <c r="C80" t="inlineStr">
        <is>
          <t>400G NDR</t>
        </is>
      </c>
      <c r="D80" t="n">
        <v>400000</v>
      </c>
      <c r="E80" t="inlineStr">
        <is>
          <t>up</t>
        </is>
      </c>
      <c r="F80" t="inlineStr">
        <is>
          <t>to GPU-001 ib0</t>
        </is>
      </c>
      <c r="G80" t="inlineStr">
        <is>
          <t>OSFP-400G-SR4</t>
        </is>
      </c>
    </row>
    <row r="81">
      <c r="A81" t="inlineStr">
        <is>
          <t>TN-DC-002-GPU-001</t>
        </is>
      </c>
      <c r="B81" t="inlineStr">
        <is>
          <t>ib1</t>
        </is>
      </c>
      <c r="C81" t="inlineStr">
        <is>
          <t>400G NDR</t>
        </is>
      </c>
      <c r="D81" t="n">
        <v>400000</v>
      </c>
      <c r="E81" t="inlineStr">
        <is>
          <t>up</t>
        </is>
      </c>
      <c r="F81" t="inlineStr">
        <is>
          <t>to IB-LEAF-02 IB1/1</t>
        </is>
      </c>
      <c r="G81" t="inlineStr">
        <is>
          <t>OSFP-400G-SR4</t>
        </is>
      </c>
    </row>
    <row r="82">
      <c r="A82" t="inlineStr">
        <is>
          <t>TN-DC-002-IB-LEAF-02</t>
        </is>
      </c>
      <c r="B82" t="inlineStr">
        <is>
          <t>IB1/1</t>
        </is>
      </c>
      <c r="C82" t="inlineStr">
        <is>
          <t>400G NDR</t>
        </is>
      </c>
      <c r="D82" t="n">
        <v>400000</v>
      </c>
      <c r="E82" t="inlineStr">
        <is>
          <t>up</t>
        </is>
      </c>
      <c r="F82" t="inlineStr">
        <is>
          <t>to GPU-001 ib1</t>
        </is>
      </c>
      <c r="G82" t="inlineStr">
        <is>
          <t>OSFP-400G-SR4</t>
        </is>
      </c>
    </row>
    <row r="83">
      <c r="A83" t="inlineStr">
        <is>
          <t>TN-DC-002-GPU-001</t>
        </is>
      </c>
      <c r="B83" t="inlineStr">
        <is>
          <t>ib2</t>
        </is>
      </c>
      <c r="C83" t="inlineStr">
        <is>
          <t>400G NDR</t>
        </is>
      </c>
      <c r="D83" t="n">
        <v>400000</v>
      </c>
      <c r="E83" t="inlineStr">
        <is>
          <t>up</t>
        </is>
      </c>
      <c r="F83" t="inlineStr">
        <is>
          <t>to IB-LEAF-01 IB1/2</t>
        </is>
      </c>
      <c r="G83" t="inlineStr">
        <is>
          <t>OSFP-400G-SR4</t>
        </is>
      </c>
    </row>
    <row r="84">
      <c r="A84" t="inlineStr">
        <is>
          <t>TN-DC-002-IB-LEAF-01</t>
        </is>
      </c>
      <c r="B84" t="inlineStr">
        <is>
          <t>IB1/2</t>
        </is>
      </c>
      <c r="C84" t="inlineStr">
        <is>
          <t>400G NDR</t>
        </is>
      </c>
      <c r="D84" t="n">
        <v>400000</v>
      </c>
      <c r="E84" t="inlineStr">
        <is>
          <t>up</t>
        </is>
      </c>
      <c r="F84" t="inlineStr">
        <is>
          <t>to GPU-001 ib2</t>
        </is>
      </c>
      <c r="G84" t="inlineStr">
        <is>
          <t>OSFP-400G-SR4</t>
        </is>
      </c>
    </row>
    <row r="85">
      <c r="A85" t="inlineStr">
        <is>
          <t>TN-DC-002-GPU-001</t>
        </is>
      </c>
      <c r="B85" t="inlineStr">
        <is>
          <t>ib3</t>
        </is>
      </c>
      <c r="C85" t="inlineStr">
        <is>
          <t>400G NDR</t>
        </is>
      </c>
      <c r="D85" t="n">
        <v>400000</v>
      </c>
      <c r="E85" t="inlineStr">
        <is>
          <t>up</t>
        </is>
      </c>
      <c r="F85" t="inlineStr">
        <is>
          <t>to IB-LEAF-02 IB1/2</t>
        </is>
      </c>
      <c r="G85" t="inlineStr">
        <is>
          <t>OSFP-400G-SR4</t>
        </is>
      </c>
    </row>
    <row r="86">
      <c r="A86" t="inlineStr">
        <is>
          <t>TN-DC-002-IB-LEAF-02</t>
        </is>
      </c>
      <c r="B86" t="inlineStr">
        <is>
          <t>IB1/2</t>
        </is>
      </c>
      <c r="C86" t="inlineStr">
        <is>
          <t>400G NDR</t>
        </is>
      </c>
      <c r="D86" t="n">
        <v>400000</v>
      </c>
      <c r="E86" t="inlineStr">
        <is>
          <t>up</t>
        </is>
      </c>
      <c r="F86" t="inlineStr">
        <is>
          <t>to GPU-001 ib3</t>
        </is>
      </c>
      <c r="G86" t="inlineStr">
        <is>
          <t>OSFP-400G-SR4</t>
        </is>
      </c>
    </row>
    <row r="87">
      <c r="A87" t="inlineStr">
        <is>
          <t>TN-DC-002-GPU-001</t>
        </is>
      </c>
      <c r="B87" t="inlineStr">
        <is>
          <t>ib4</t>
        </is>
      </c>
      <c r="C87" t="inlineStr">
        <is>
          <t>400G NDR</t>
        </is>
      </c>
      <c r="D87" t="n">
        <v>400000</v>
      </c>
      <c r="E87" t="inlineStr">
        <is>
          <t>up</t>
        </is>
      </c>
      <c r="F87" t="inlineStr">
        <is>
          <t>to IB-LEAF-01 IB1/3</t>
        </is>
      </c>
      <c r="G87" t="inlineStr">
        <is>
          <t>OSFP-400G-SR4</t>
        </is>
      </c>
    </row>
    <row r="88">
      <c r="A88" t="inlineStr">
        <is>
          <t>TN-DC-002-IB-LEAF-01</t>
        </is>
      </c>
      <c r="B88" t="inlineStr">
        <is>
          <t>IB1/3</t>
        </is>
      </c>
      <c r="C88" t="inlineStr">
        <is>
          <t>400G NDR</t>
        </is>
      </c>
      <c r="D88" t="n">
        <v>400000</v>
      </c>
      <c r="E88" t="inlineStr">
        <is>
          <t>up</t>
        </is>
      </c>
      <c r="F88" t="inlineStr">
        <is>
          <t>to GPU-001 ib4</t>
        </is>
      </c>
      <c r="G88" t="inlineStr">
        <is>
          <t>OSFP-400G-SR4</t>
        </is>
      </c>
    </row>
    <row r="89">
      <c r="A89" t="inlineStr">
        <is>
          <t>TN-DC-002-GPU-001</t>
        </is>
      </c>
      <c r="B89" t="inlineStr">
        <is>
          <t>ib5</t>
        </is>
      </c>
      <c r="C89" t="inlineStr">
        <is>
          <t>400G NDR</t>
        </is>
      </c>
      <c r="D89" t="n">
        <v>400000</v>
      </c>
      <c r="E89" t="inlineStr">
        <is>
          <t>up</t>
        </is>
      </c>
      <c r="F89" t="inlineStr">
        <is>
          <t>to IB-LEAF-02 IB1/3</t>
        </is>
      </c>
      <c r="G89" t="inlineStr">
        <is>
          <t>OSFP-400G-SR4</t>
        </is>
      </c>
    </row>
    <row r="90">
      <c r="A90" t="inlineStr">
        <is>
          <t>TN-DC-002-IB-LEAF-02</t>
        </is>
      </c>
      <c r="B90" t="inlineStr">
        <is>
          <t>IB1/3</t>
        </is>
      </c>
      <c r="C90" t="inlineStr">
        <is>
          <t>400G NDR</t>
        </is>
      </c>
      <c r="D90" t="n">
        <v>400000</v>
      </c>
      <c r="E90" t="inlineStr">
        <is>
          <t>up</t>
        </is>
      </c>
      <c r="F90" t="inlineStr">
        <is>
          <t>to GPU-001 ib5</t>
        </is>
      </c>
      <c r="G90" t="inlineStr">
        <is>
          <t>OSFP-400G-SR4</t>
        </is>
      </c>
    </row>
    <row r="91">
      <c r="A91" t="inlineStr">
        <is>
          <t>TN-DC-002-GPU-001</t>
        </is>
      </c>
      <c r="B91" t="inlineStr">
        <is>
          <t>ib6</t>
        </is>
      </c>
      <c r="C91" t="inlineStr">
        <is>
          <t>400G NDR</t>
        </is>
      </c>
      <c r="D91" t="n">
        <v>400000</v>
      </c>
      <c r="E91" t="inlineStr">
        <is>
          <t>up</t>
        </is>
      </c>
      <c r="F91" t="inlineStr">
        <is>
          <t>to IB-LEAF-01 IB1/4</t>
        </is>
      </c>
      <c r="G91" t="inlineStr">
        <is>
          <t>OSFP-400G-SR4</t>
        </is>
      </c>
    </row>
    <row r="92">
      <c r="A92" t="inlineStr">
        <is>
          <t>TN-DC-002-IB-LEAF-01</t>
        </is>
      </c>
      <c r="B92" t="inlineStr">
        <is>
          <t>IB1/4</t>
        </is>
      </c>
      <c r="C92" t="inlineStr">
        <is>
          <t>400G NDR</t>
        </is>
      </c>
      <c r="D92" t="n">
        <v>400000</v>
      </c>
      <c r="E92" t="inlineStr">
        <is>
          <t>up</t>
        </is>
      </c>
      <c r="F92" t="inlineStr">
        <is>
          <t>to GPU-001 ib6</t>
        </is>
      </c>
      <c r="G92" t="inlineStr">
        <is>
          <t>OSFP-400G-SR4</t>
        </is>
      </c>
    </row>
    <row r="93">
      <c r="A93" t="inlineStr">
        <is>
          <t>TN-DC-002-GPU-001</t>
        </is>
      </c>
      <c r="B93" t="inlineStr">
        <is>
          <t>ib7</t>
        </is>
      </c>
      <c r="C93" t="inlineStr">
        <is>
          <t>400G NDR</t>
        </is>
      </c>
      <c r="D93" t="n">
        <v>400000</v>
      </c>
      <c r="E93" t="inlineStr">
        <is>
          <t>up</t>
        </is>
      </c>
      <c r="F93" t="inlineStr">
        <is>
          <t>to IB-LEAF-02 IB1/4</t>
        </is>
      </c>
      <c r="G93" t="inlineStr">
        <is>
          <t>OSFP-400G-SR4</t>
        </is>
      </c>
    </row>
    <row r="94">
      <c r="A94" t="inlineStr">
        <is>
          <t>TN-DC-002-IB-LEAF-02</t>
        </is>
      </c>
      <c r="B94" t="inlineStr">
        <is>
          <t>IB1/4</t>
        </is>
      </c>
      <c r="C94" t="inlineStr">
        <is>
          <t>400G NDR</t>
        </is>
      </c>
      <c r="D94" t="n">
        <v>400000</v>
      </c>
      <c r="E94" t="inlineStr">
        <is>
          <t>up</t>
        </is>
      </c>
      <c r="F94" t="inlineStr">
        <is>
          <t>to GPU-001 ib7</t>
        </is>
      </c>
      <c r="G94" t="inlineStr">
        <is>
          <t>OSFP-400G-SR4</t>
        </is>
      </c>
    </row>
    <row r="95">
      <c r="A95" t="inlineStr">
        <is>
          <t>TN-DC-002-GPU-001</t>
        </is>
      </c>
      <c r="B95" t="inlineStr">
        <is>
          <t>eth0</t>
        </is>
      </c>
      <c r="C95" t="inlineStr">
        <is>
          <t>100GE</t>
        </is>
      </c>
      <c r="D95" t="n">
        <v>100000</v>
      </c>
      <c r="E95" t="inlineStr">
        <is>
          <t>up</t>
        </is>
      </c>
      <c r="F95" t="inlineStr">
        <is>
          <t>to ETH-LEAF-01 Ethernet1/1</t>
        </is>
      </c>
    </row>
    <row r="96">
      <c r="A96" t="inlineStr">
        <is>
          <t>TN-DC-002-ETH-LEAF-01</t>
        </is>
      </c>
      <c r="B96" t="inlineStr">
        <is>
          <t>Ethernet1/1</t>
        </is>
      </c>
      <c r="C96" t="inlineStr">
        <is>
          <t>100GE</t>
        </is>
      </c>
      <c r="D96" t="n">
        <v>100000</v>
      </c>
      <c r="E96" t="inlineStr">
        <is>
          <t>up</t>
        </is>
      </c>
      <c r="F96" t="inlineStr">
        <is>
          <t>to GPU-001 eth0</t>
        </is>
      </c>
    </row>
    <row r="97">
      <c r="A97" t="inlineStr">
        <is>
          <t>TN-DC-002-GPU-001</t>
        </is>
      </c>
      <c r="B97" t="inlineStr">
        <is>
          <t>eth1</t>
        </is>
      </c>
      <c r="C97" t="inlineStr">
        <is>
          <t>100GE</t>
        </is>
      </c>
      <c r="D97" t="n">
        <v>100000</v>
      </c>
      <c r="E97" t="inlineStr">
        <is>
          <t>up</t>
        </is>
      </c>
      <c r="F97" t="inlineStr">
        <is>
          <t>to ETH-LEAF-02 Ethernet1/1</t>
        </is>
      </c>
    </row>
    <row r="98">
      <c r="A98" t="inlineStr">
        <is>
          <t>TN-DC-002-ETH-LEAF-02</t>
        </is>
      </c>
      <c r="B98" t="inlineStr">
        <is>
          <t>Ethernet1/1</t>
        </is>
      </c>
      <c r="C98" t="inlineStr">
        <is>
          <t>100GE</t>
        </is>
      </c>
      <c r="D98" t="n">
        <v>100000</v>
      </c>
      <c r="E98" t="inlineStr">
        <is>
          <t>up</t>
        </is>
      </c>
      <c r="F98" t="inlineStr">
        <is>
          <t>to GPU-001 eth1</t>
        </is>
      </c>
    </row>
    <row r="99">
      <c r="A99" t="inlineStr">
        <is>
          <t>TN-DC-002-GPU-002</t>
        </is>
      </c>
      <c r="B99" t="inlineStr">
        <is>
          <t>ib0</t>
        </is>
      </c>
      <c r="C99" t="inlineStr">
        <is>
          <t>400G NDR</t>
        </is>
      </c>
      <c r="D99" t="n">
        <v>400000</v>
      </c>
      <c r="E99" t="inlineStr">
        <is>
          <t>up</t>
        </is>
      </c>
      <c r="F99" t="inlineStr">
        <is>
          <t>to IB-LEAF-01 IB1/5</t>
        </is>
      </c>
      <c r="G99" t="inlineStr">
        <is>
          <t>OSFP-400G-SR4</t>
        </is>
      </c>
    </row>
    <row r="100">
      <c r="A100" t="inlineStr">
        <is>
          <t>TN-DC-002-IB-LEAF-01</t>
        </is>
      </c>
      <c r="B100" t="inlineStr">
        <is>
          <t>IB1/5</t>
        </is>
      </c>
      <c r="C100" t="inlineStr">
        <is>
          <t>400G NDR</t>
        </is>
      </c>
      <c r="D100" t="n">
        <v>400000</v>
      </c>
      <c r="E100" t="inlineStr">
        <is>
          <t>up</t>
        </is>
      </c>
      <c r="F100" t="inlineStr">
        <is>
          <t>to GPU-002 ib0</t>
        </is>
      </c>
      <c r="G100" t="inlineStr">
        <is>
          <t>OSFP-400G-SR4</t>
        </is>
      </c>
    </row>
    <row r="101">
      <c r="A101" t="inlineStr">
        <is>
          <t>TN-DC-002-GPU-002</t>
        </is>
      </c>
      <c r="B101" t="inlineStr">
        <is>
          <t>ib1</t>
        </is>
      </c>
      <c r="C101" t="inlineStr">
        <is>
          <t>400G NDR</t>
        </is>
      </c>
      <c r="D101" t="n">
        <v>400000</v>
      </c>
      <c r="E101" t="inlineStr">
        <is>
          <t>up</t>
        </is>
      </c>
      <c r="F101" t="inlineStr">
        <is>
          <t>to IB-LEAF-02 IB1/5</t>
        </is>
      </c>
      <c r="G101" t="inlineStr">
        <is>
          <t>OSFP-400G-SR4</t>
        </is>
      </c>
    </row>
    <row r="102">
      <c r="A102" t="inlineStr">
        <is>
          <t>TN-DC-002-IB-LEAF-02</t>
        </is>
      </c>
      <c r="B102" t="inlineStr">
        <is>
          <t>IB1/5</t>
        </is>
      </c>
      <c r="C102" t="inlineStr">
        <is>
          <t>400G NDR</t>
        </is>
      </c>
      <c r="D102" t="n">
        <v>400000</v>
      </c>
      <c r="E102" t="inlineStr">
        <is>
          <t>up</t>
        </is>
      </c>
      <c r="F102" t="inlineStr">
        <is>
          <t>to GPU-002 ib1</t>
        </is>
      </c>
      <c r="G102" t="inlineStr">
        <is>
          <t>OSFP-400G-SR4</t>
        </is>
      </c>
    </row>
    <row r="103">
      <c r="A103" t="inlineStr">
        <is>
          <t>TN-DC-002-GPU-002</t>
        </is>
      </c>
      <c r="B103" t="inlineStr">
        <is>
          <t>ib2</t>
        </is>
      </c>
      <c r="C103" t="inlineStr">
        <is>
          <t>400G NDR</t>
        </is>
      </c>
      <c r="D103" t="n">
        <v>400000</v>
      </c>
      <c r="E103" t="inlineStr">
        <is>
          <t>up</t>
        </is>
      </c>
      <c r="F103" t="inlineStr">
        <is>
          <t>to IB-LEAF-01 IB1/6</t>
        </is>
      </c>
      <c r="G103" t="inlineStr">
        <is>
          <t>OSFP-400G-SR4</t>
        </is>
      </c>
    </row>
    <row r="104">
      <c r="A104" t="inlineStr">
        <is>
          <t>TN-DC-002-IB-LEAF-01</t>
        </is>
      </c>
      <c r="B104" t="inlineStr">
        <is>
          <t>IB1/6</t>
        </is>
      </c>
      <c r="C104" t="inlineStr">
        <is>
          <t>400G NDR</t>
        </is>
      </c>
      <c r="D104" t="n">
        <v>400000</v>
      </c>
      <c r="E104" t="inlineStr">
        <is>
          <t>up</t>
        </is>
      </c>
      <c r="F104" t="inlineStr">
        <is>
          <t>to GPU-002 ib2</t>
        </is>
      </c>
      <c r="G104" t="inlineStr">
        <is>
          <t>OSFP-400G-SR4</t>
        </is>
      </c>
    </row>
    <row r="105">
      <c r="A105" t="inlineStr">
        <is>
          <t>TN-DC-002-GPU-002</t>
        </is>
      </c>
      <c r="B105" t="inlineStr">
        <is>
          <t>ib3</t>
        </is>
      </c>
      <c r="C105" t="inlineStr">
        <is>
          <t>400G NDR</t>
        </is>
      </c>
      <c r="D105" t="n">
        <v>400000</v>
      </c>
      <c r="E105" t="inlineStr">
        <is>
          <t>up</t>
        </is>
      </c>
      <c r="F105" t="inlineStr">
        <is>
          <t>to IB-LEAF-02 IB1/6</t>
        </is>
      </c>
      <c r="G105" t="inlineStr">
        <is>
          <t>OSFP-400G-SR4</t>
        </is>
      </c>
    </row>
    <row r="106">
      <c r="A106" t="inlineStr">
        <is>
          <t>TN-DC-002-IB-LEAF-02</t>
        </is>
      </c>
      <c r="B106" t="inlineStr">
        <is>
          <t>IB1/6</t>
        </is>
      </c>
      <c r="C106" t="inlineStr">
        <is>
          <t>400G NDR</t>
        </is>
      </c>
      <c r="D106" t="n">
        <v>400000</v>
      </c>
      <c r="E106" t="inlineStr">
        <is>
          <t>up</t>
        </is>
      </c>
      <c r="F106" t="inlineStr">
        <is>
          <t>to GPU-002 ib3</t>
        </is>
      </c>
      <c r="G106" t="inlineStr">
        <is>
          <t>OSFP-400G-SR4</t>
        </is>
      </c>
    </row>
    <row r="107">
      <c r="A107" t="inlineStr">
        <is>
          <t>TN-DC-002-GPU-002</t>
        </is>
      </c>
      <c r="B107" t="inlineStr">
        <is>
          <t>ib4</t>
        </is>
      </c>
      <c r="C107" t="inlineStr">
        <is>
          <t>400G NDR</t>
        </is>
      </c>
      <c r="D107" t="n">
        <v>400000</v>
      </c>
      <c r="E107" t="inlineStr">
        <is>
          <t>up</t>
        </is>
      </c>
      <c r="F107" t="inlineStr">
        <is>
          <t>to IB-LEAF-01 IB1/7</t>
        </is>
      </c>
      <c r="G107" t="inlineStr">
        <is>
          <t>OSFP-400G-SR4</t>
        </is>
      </c>
    </row>
    <row r="108">
      <c r="A108" t="inlineStr">
        <is>
          <t>TN-DC-002-IB-LEAF-01</t>
        </is>
      </c>
      <c r="B108" t="inlineStr">
        <is>
          <t>IB1/7</t>
        </is>
      </c>
      <c r="C108" t="inlineStr">
        <is>
          <t>400G NDR</t>
        </is>
      </c>
      <c r="D108" t="n">
        <v>400000</v>
      </c>
      <c r="E108" t="inlineStr">
        <is>
          <t>up</t>
        </is>
      </c>
      <c r="F108" t="inlineStr">
        <is>
          <t>to GPU-002 ib4</t>
        </is>
      </c>
      <c r="G108" t="inlineStr">
        <is>
          <t>OSFP-400G-SR4</t>
        </is>
      </c>
    </row>
    <row r="109">
      <c r="A109" t="inlineStr">
        <is>
          <t>TN-DC-002-GPU-002</t>
        </is>
      </c>
      <c r="B109" t="inlineStr">
        <is>
          <t>ib5</t>
        </is>
      </c>
      <c r="C109" t="inlineStr">
        <is>
          <t>400G NDR</t>
        </is>
      </c>
      <c r="D109" t="n">
        <v>400000</v>
      </c>
      <c r="E109" t="inlineStr">
        <is>
          <t>up</t>
        </is>
      </c>
      <c r="F109" t="inlineStr">
        <is>
          <t>to IB-LEAF-02 IB1/7</t>
        </is>
      </c>
      <c r="G109" t="inlineStr">
        <is>
          <t>OSFP-400G-SR4</t>
        </is>
      </c>
    </row>
    <row r="110">
      <c r="A110" t="inlineStr">
        <is>
          <t>TN-DC-002-IB-LEAF-02</t>
        </is>
      </c>
      <c r="B110" t="inlineStr">
        <is>
          <t>IB1/7</t>
        </is>
      </c>
      <c r="C110" t="inlineStr">
        <is>
          <t>400G NDR</t>
        </is>
      </c>
      <c r="D110" t="n">
        <v>400000</v>
      </c>
      <c r="E110" t="inlineStr">
        <is>
          <t>up</t>
        </is>
      </c>
      <c r="F110" t="inlineStr">
        <is>
          <t>to GPU-002 ib5</t>
        </is>
      </c>
      <c r="G110" t="inlineStr">
        <is>
          <t>OSFP-400G-SR4</t>
        </is>
      </c>
    </row>
    <row r="111">
      <c r="A111" t="inlineStr">
        <is>
          <t>TN-DC-002-GPU-002</t>
        </is>
      </c>
      <c r="B111" t="inlineStr">
        <is>
          <t>ib6</t>
        </is>
      </c>
      <c r="C111" t="inlineStr">
        <is>
          <t>400G NDR</t>
        </is>
      </c>
      <c r="D111" t="n">
        <v>400000</v>
      </c>
      <c r="E111" t="inlineStr">
        <is>
          <t>up</t>
        </is>
      </c>
      <c r="F111" t="inlineStr">
        <is>
          <t>to IB-LEAF-01 IB1/8</t>
        </is>
      </c>
      <c r="G111" t="inlineStr">
        <is>
          <t>OSFP-400G-SR4</t>
        </is>
      </c>
    </row>
    <row r="112">
      <c r="A112" t="inlineStr">
        <is>
          <t>TN-DC-002-IB-LEAF-01</t>
        </is>
      </c>
      <c r="B112" t="inlineStr">
        <is>
          <t>IB1/8</t>
        </is>
      </c>
      <c r="C112" t="inlineStr">
        <is>
          <t>400G NDR</t>
        </is>
      </c>
      <c r="D112" t="n">
        <v>400000</v>
      </c>
      <c r="E112" t="inlineStr">
        <is>
          <t>up</t>
        </is>
      </c>
      <c r="F112" t="inlineStr">
        <is>
          <t>to GPU-002 ib6</t>
        </is>
      </c>
      <c r="G112" t="inlineStr">
        <is>
          <t>OSFP-400G-SR4</t>
        </is>
      </c>
    </row>
    <row r="113">
      <c r="A113" t="inlineStr">
        <is>
          <t>TN-DC-002-GPU-002</t>
        </is>
      </c>
      <c r="B113" t="inlineStr">
        <is>
          <t>ib7</t>
        </is>
      </c>
      <c r="C113" t="inlineStr">
        <is>
          <t>400G NDR</t>
        </is>
      </c>
      <c r="D113" t="n">
        <v>400000</v>
      </c>
      <c r="E113" t="inlineStr">
        <is>
          <t>up</t>
        </is>
      </c>
      <c r="F113" t="inlineStr">
        <is>
          <t>to IB-LEAF-02 IB1/8</t>
        </is>
      </c>
      <c r="G113" t="inlineStr">
        <is>
          <t>OSFP-400G-SR4</t>
        </is>
      </c>
    </row>
    <row r="114">
      <c r="A114" t="inlineStr">
        <is>
          <t>TN-DC-002-IB-LEAF-02</t>
        </is>
      </c>
      <c r="B114" t="inlineStr">
        <is>
          <t>IB1/8</t>
        </is>
      </c>
      <c r="C114" t="inlineStr">
        <is>
          <t>400G NDR</t>
        </is>
      </c>
      <c r="D114" t="n">
        <v>400000</v>
      </c>
      <c r="E114" t="inlineStr">
        <is>
          <t>up</t>
        </is>
      </c>
      <c r="F114" t="inlineStr">
        <is>
          <t>to GPU-002 ib7</t>
        </is>
      </c>
      <c r="G114" t="inlineStr">
        <is>
          <t>OSFP-400G-SR4</t>
        </is>
      </c>
    </row>
    <row r="115">
      <c r="A115" t="inlineStr">
        <is>
          <t>TN-DC-002-GPU-002</t>
        </is>
      </c>
      <c r="B115" t="inlineStr">
        <is>
          <t>eth0</t>
        </is>
      </c>
      <c r="C115" t="inlineStr">
        <is>
          <t>100GE</t>
        </is>
      </c>
      <c r="D115" t="n">
        <v>100000</v>
      </c>
      <c r="E115" t="inlineStr">
        <is>
          <t>up</t>
        </is>
      </c>
      <c r="F115" t="inlineStr">
        <is>
          <t>to ETH-LEAF-01 Ethernet2/1</t>
        </is>
      </c>
    </row>
    <row r="116">
      <c r="A116" t="inlineStr">
        <is>
          <t>TN-DC-002-ETH-LEAF-01</t>
        </is>
      </c>
      <c r="B116" t="inlineStr">
        <is>
          <t>Ethernet2/1</t>
        </is>
      </c>
      <c r="C116" t="inlineStr">
        <is>
          <t>100GE</t>
        </is>
      </c>
      <c r="D116" t="n">
        <v>100000</v>
      </c>
      <c r="E116" t="inlineStr">
        <is>
          <t>up</t>
        </is>
      </c>
      <c r="F116" t="inlineStr">
        <is>
          <t>to GPU-002 eth0</t>
        </is>
      </c>
    </row>
    <row r="117">
      <c r="A117" t="inlineStr">
        <is>
          <t>TN-DC-002-GPU-002</t>
        </is>
      </c>
      <c r="B117" t="inlineStr">
        <is>
          <t>eth1</t>
        </is>
      </c>
      <c r="C117" t="inlineStr">
        <is>
          <t>100GE</t>
        </is>
      </c>
      <c r="D117" t="n">
        <v>100000</v>
      </c>
      <c r="E117" t="inlineStr">
        <is>
          <t>up</t>
        </is>
      </c>
      <c r="F117" t="inlineStr">
        <is>
          <t>to ETH-LEAF-02 Ethernet2/1</t>
        </is>
      </c>
    </row>
    <row r="118">
      <c r="A118" t="inlineStr">
        <is>
          <t>TN-DC-002-ETH-LEAF-02</t>
        </is>
      </c>
      <c r="B118" t="inlineStr">
        <is>
          <t>Ethernet2/1</t>
        </is>
      </c>
      <c r="C118" t="inlineStr">
        <is>
          <t>100GE</t>
        </is>
      </c>
      <c r="D118" t="n">
        <v>100000</v>
      </c>
      <c r="E118" t="inlineStr">
        <is>
          <t>up</t>
        </is>
      </c>
      <c r="F118" t="inlineStr">
        <is>
          <t>to GPU-002 eth1</t>
        </is>
      </c>
    </row>
    <row r="119">
      <c r="A119" t="inlineStr">
        <is>
          <t>TN-DC-002-GPU-003</t>
        </is>
      </c>
      <c r="B119" t="inlineStr">
        <is>
          <t>ib0</t>
        </is>
      </c>
      <c r="C119" t="inlineStr">
        <is>
          <t>400G NDR</t>
        </is>
      </c>
      <c r="D119" t="n">
        <v>400000</v>
      </c>
      <c r="E119" t="inlineStr">
        <is>
          <t>up</t>
        </is>
      </c>
      <c r="F119" t="inlineStr">
        <is>
          <t>to IB-LEAF-01 IB1/9</t>
        </is>
      </c>
      <c r="G119" t="inlineStr">
        <is>
          <t>OSFP-400G-SR4</t>
        </is>
      </c>
    </row>
    <row r="120">
      <c r="A120" t="inlineStr">
        <is>
          <t>TN-DC-002-IB-LEAF-01</t>
        </is>
      </c>
      <c r="B120" t="inlineStr">
        <is>
          <t>IB1/9</t>
        </is>
      </c>
      <c r="C120" t="inlineStr">
        <is>
          <t>400G NDR</t>
        </is>
      </c>
      <c r="D120" t="n">
        <v>400000</v>
      </c>
      <c r="E120" t="inlineStr">
        <is>
          <t>up</t>
        </is>
      </c>
      <c r="F120" t="inlineStr">
        <is>
          <t>to GPU-003 ib0</t>
        </is>
      </c>
      <c r="G120" t="inlineStr">
        <is>
          <t>OSFP-400G-SR4</t>
        </is>
      </c>
    </row>
    <row r="121">
      <c r="A121" t="inlineStr">
        <is>
          <t>TN-DC-002-GPU-003</t>
        </is>
      </c>
      <c r="B121" t="inlineStr">
        <is>
          <t>ib1</t>
        </is>
      </c>
      <c r="C121" t="inlineStr">
        <is>
          <t>400G NDR</t>
        </is>
      </c>
      <c r="D121" t="n">
        <v>400000</v>
      </c>
      <c r="E121" t="inlineStr">
        <is>
          <t>up</t>
        </is>
      </c>
      <c r="F121" t="inlineStr">
        <is>
          <t>to IB-LEAF-02 IB1/9</t>
        </is>
      </c>
      <c r="G121" t="inlineStr">
        <is>
          <t>OSFP-400G-SR4</t>
        </is>
      </c>
    </row>
    <row r="122">
      <c r="A122" t="inlineStr">
        <is>
          <t>TN-DC-002-IB-LEAF-02</t>
        </is>
      </c>
      <c r="B122" t="inlineStr">
        <is>
          <t>IB1/9</t>
        </is>
      </c>
      <c r="C122" t="inlineStr">
        <is>
          <t>400G NDR</t>
        </is>
      </c>
      <c r="D122" t="n">
        <v>400000</v>
      </c>
      <c r="E122" t="inlineStr">
        <is>
          <t>up</t>
        </is>
      </c>
      <c r="F122" t="inlineStr">
        <is>
          <t>to GPU-003 ib1</t>
        </is>
      </c>
      <c r="G122" t="inlineStr">
        <is>
          <t>OSFP-400G-SR4</t>
        </is>
      </c>
    </row>
    <row r="123">
      <c r="A123" t="inlineStr">
        <is>
          <t>TN-DC-002-GPU-003</t>
        </is>
      </c>
      <c r="B123" t="inlineStr">
        <is>
          <t>ib2</t>
        </is>
      </c>
      <c r="C123" t="inlineStr">
        <is>
          <t>400G NDR</t>
        </is>
      </c>
      <c r="D123" t="n">
        <v>400000</v>
      </c>
      <c r="E123" t="inlineStr">
        <is>
          <t>up</t>
        </is>
      </c>
      <c r="F123" t="inlineStr">
        <is>
          <t>to IB-LEAF-01 IB1/10</t>
        </is>
      </c>
      <c r="G123" t="inlineStr">
        <is>
          <t>OSFP-400G-SR4</t>
        </is>
      </c>
    </row>
    <row r="124">
      <c r="A124" t="inlineStr">
        <is>
          <t>TN-DC-002-IB-LEAF-01</t>
        </is>
      </c>
      <c r="B124" t="inlineStr">
        <is>
          <t>IB1/10</t>
        </is>
      </c>
      <c r="C124" t="inlineStr">
        <is>
          <t>400G NDR</t>
        </is>
      </c>
      <c r="D124" t="n">
        <v>400000</v>
      </c>
      <c r="E124" t="inlineStr">
        <is>
          <t>up</t>
        </is>
      </c>
      <c r="F124" t="inlineStr">
        <is>
          <t>to GPU-003 ib2</t>
        </is>
      </c>
      <c r="G124" t="inlineStr">
        <is>
          <t>OSFP-400G-SR4</t>
        </is>
      </c>
    </row>
    <row r="125">
      <c r="A125" t="inlineStr">
        <is>
          <t>TN-DC-002-GPU-003</t>
        </is>
      </c>
      <c r="B125" t="inlineStr">
        <is>
          <t>ib3</t>
        </is>
      </c>
      <c r="C125" t="inlineStr">
        <is>
          <t>400G NDR</t>
        </is>
      </c>
      <c r="D125" t="n">
        <v>400000</v>
      </c>
      <c r="E125" t="inlineStr">
        <is>
          <t>up</t>
        </is>
      </c>
      <c r="F125" t="inlineStr">
        <is>
          <t>to IB-LEAF-02 IB1/10</t>
        </is>
      </c>
      <c r="G125" t="inlineStr">
        <is>
          <t>OSFP-400G-SR4</t>
        </is>
      </c>
    </row>
    <row r="126">
      <c r="A126" t="inlineStr">
        <is>
          <t>TN-DC-002-IB-LEAF-02</t>
        </is>
      </c>
      <c r="B126" t="inlineStr">
        <is>
          <t>IB1/10</t>
        </is>
      </c>
      <c r="C126" t="inlineStr">
        <is>
          <t>400G NDR</t>
        </is>
      </c>
      <c r="D126" t="n">
        <v>400000</v>
      </c>
      <c r="E126" t="inlineStr">
        <is>
          <t>up</t>
        </is>
      </c>
      <c r="F126" t="inlineStr">
        <is>
          <t>to GPU-003 ib3</t>
        </is>
      </c>
      <c r="G126" t="inlineStr">
        <is>
          <t>OSFP-400G-SR4</t>
        </is>
      </c>
    </row>
    <row r="127">
      <c r="A127" t="inlineStr">
        <is>
          <t>TN-DC-002-GPU-003</t>
        </is>
      </c>
      <c r="B127" t="inlineStr">
        <is>
          <t>ib4</t>
        </is>
      </c>
      <c r="C127" t="inlineStr">
        <is>
          <t>400G NDR</t>
        </is>
      </c>
      <c r="D127" t="n">
        <v>400000</v>
      </c>
      <c r="E127" t="inlineStr">
        <is>
          <t>up</t>
        </is>
      </c>
      <c r="F127" t="inlineStr">
        <is>
          <t>to IB-LEAF-01 IB1/11</t>
        </is>
      </c>
      <c r="G127" t="inlineStr">
        <is>
          <t>OSFP-400G-SR4</t>
        </is>
      </c>
    </row>
    <row r="128">
      <c r="A128" t="inlineStr">
        <is>
          <t>TN-DC-002-IB-LEAF-01</t>
        </is>
      </c>
      <c r="B128" t="inlineStr">
        <is>
          <t>IB1/11</t>
        </is>
      </c>
      <c r="C128" t="inlineStr">
        <is>
          <t>400G NDR</t>
        </is>
      </c>
      <c r="D128" t="n">
        <v>400000</v>
      </c>
      <c r="E128" t="inlineStr">
        <is>
          <t>up</t>
        </is>
      </c>
      <c r="F128" t="inlineStr">
        <is>
          <t>to GPU-003 ib4</t>
        </is>
      </c>
      <c r="G128" t="inlineStr">
        <is>
          <t>OSFP-400G-SR4</t>
        </is>
      </c>
    </row>
    <row r="129">
      <c r="A129" t="inlineStr">
        <is>
          <t>TN-DC-002-GPU-003</t>
        </is>
      </c>
      <c r="B129" t="inlineStr">
        <is>
          <t>ib5</t>
        </is>
      </c>
      <c r="C129" t="inlineStr">
        <is>
          <t>400G NDR</t>
        </is>
      </c>
      <c r="D129" t="n">
        <v>400000</v>
      </c>
      <c r="E129" t="inlineStr">
        <is>
          <t>up</t>
        </is>
      </c>
      <c r="F129" t="inlineStr">
        <is>
          <t>to IB-LEAF-02 IB1/11</t>
        </is>
      </c>
      <c r="G129" t="inlineStr">
        <is>
          <t>OSFP-400G-SR4</t>
        </is>
      </c>
    </row>
    <row r="130">
      <c r="A130" t="inlineStr">
        <is>
          <t>TN-DC-002-IB-LEAF-02</t>
        </is>
      </c>
      <c r="B130" t="inlineStr">
        <is>
          <t>IB1/11</t>
        </is>
      </c>
      <c r="C130" t="inlineStr">
        <is>
          <t>400G NDR</t>
        </is>
      </c>
      <c r="D130" t="n">
        <v>400000</v>
      </c>
      <c r="E130" t="inlineStr">
        <is>
          <t>up</t>
        </is>
      </c>
      <c r="F130" t="inlineStr">
        <is>
          <t>to GPU-003 ib5</t>
        </is>
      </c>
      <c r="G130" t="inlineStr">
        <is>
          <t>OSFP-400G-SR4</t>
        </is>
      </c>
    </row>
    <row r="131">
      <c r="A131" t="inlineStr">
        <is>
          <t>TN-DC-002-GPU-003</t>
        </is>
      </c>
      <c r="B131" t="inlineStr">
        <is>
          <t>ib6</t>
        </is>
      </c>
      <c r="C131" t="inlineStr">
        <is>
          <t>400G NDR</t>
        </is>
      </c>
      <c r="D131" t="n">
        <v>400000</v>
      </c>
      <c r="E131" t="inlineStr">
        <is>
          <t>up</t>
        </is>
      </c>
      <c r="F131" t="inlineStr">
        <is>
          <t>to IB-LEAF-01 IB1/12</t>
        </is>
      </c>
      <c r="G131" t="inlineStr">
        <is>
          <t>OSFP-400G-SR4</t>
        </is>
      </c>
    </row>
    <row r="132">
      <c r="A132" t="inlineStr">
        <is>
          <t>TN-DC-002-IB-LEAF-01</t>
        </is>
      </c>
      <c r="B132" t="inlineStr">
        <is>
          <t>IB1/12</t>
        </is>
      </c>
      <c r="C132" t="inlineStr">
        <is>
          <t>400G NDR</t>
        </is>
      </c>
      <c r="D132" t="n">
        <v>400000</v>
      </c>
      <c r="E132" t="inlineStr">
        <is>
          <t>up</t>
        </is>
      </c>
      <c r="F132" t="inlineStr">
        <is>
          <t>to GPU-003 ib6</t>
        </is>
      </c>
      <c r="G132" t="inlineStr">
        <is>
          <t>OSFP-400G-SR4</t>
        </is>
      </c>
    </row>
    <row r="133">
      <c r="A133" t="inlineStr">
        <is>
          <t>TN-DC-002-GPU-003</t>
        </is>
      </c>
      <c r="B133" t="inlineStr">
        <is>
          <t>ib7</t>
        </is>
      </c>
      <c r="C133" t="inlineStr">
        <is>
          <t>400G NDR</t>
        </is>
      </c>
      <c r="D133" t="n">
        <v>400000</v>
      </c>
      <c r="E133" t="inlineStr">
        <is>
          <t>up</t>
        </is>
      </c>
      <c r="F133" t="inlineStr">
        <is>
          <t>to IB-LEAF-02 IB1/12</t>
        </is>
      </c>
      <c r="G133" t="inlineStr">
        <is>
          <t>OSFP-400G-SR4</t>
        </is>
      </c>
    </row>
    <row r="134">
      <c r="A134" t="inlineStr">
        <is>
          <t>TN-DC-002-IB-LEAF-02</t>
        </is>
      </c>
      <c r="B134" t="inlineStr">
        <is>
          <t>IB1/12</t>
        </is>
      </c>
      <c r="C134" t="inlineStr">
        <is>
          <t>400G NDR</t>
        </is>
      </c>
      <c r="D134" t="n">
        <v>400000</v>
      </c>
      <c r="E134" t="inlineStr">
        <is>
          <t>up</t>
        </is>
      </c>
      <c r="F134" t="inlineStr">
        <is>
          <t>to GPU-003 ib7</t>
        </is>
      </c>
      <c r="G134" t="inlineStr">
        <is>
          <t>OSFP-400G-SR4</t>
        </is>
      </c>
    </row>
    <row r="135">
      <c r="A135" t="inlineStr">
        <is>
          <t>TN-DC-002-GPU-003</t>
        </is>
      </c>
      <c r="B135" t="inlineStr">
        <is>
          <t>eth0</t>
        </is>
      </c>
      <c r="C135" t="inlineStr">
        <is>
          <t>100GE</t>
        </is>
      </c>
      <c r="D135" t="n">
        <v>100000</v>
      </c>
      <c r="E135" t="inlineStr">
        <is>
          <t>up</t>
        </is>
      </c>
      <c r="F135" t="inlineStr">
        <is>
          <t>to ETH-LEAF-01 Ethernet3/1</t>
        </is>
      </c>
    </row>
    <row r="136">
      <c r="A136" t="inlineStr">
        <is>
          <t>TN-DC-002-ETH-LEAF-01</t>
        </is>
      </c>
      <c r="B136" t="inlineStr">
        <is>
          <t>Ethernet3/1</t>
        </is>
      </c>
      <c r="C136" t="inlineStr">
        <is>
          <t>100GE</t>
        </is>
      </c>
      <c r="D136" t="n">
        <v>100000</v>
      </c>
      <c r="E136" t="inlineStr">
        <is>
          <t>up</t>
        </is>
      </c>
      <c r="F136" t="inlineStr">
        <is>
          <t>to GPU-003 eth0</t>
        </is>
      </c>
    </row>
    <row r="137">
      <c r="A137" t="inlineStr">
        <is>
          <t>TN-DC-002-GPU-003</t>
        </is>
      </c>
      <c r="B137" t="inlineStr">
        <is>
          <t>eth1</t>
        </is>
      </c>
      <c r="C137" t="inlineStr">
        <is>
          <t>100GE</t>
        </is>
      </c>
      <c r="D137" t="n">
        <v>100000</v>
      </c>
      <c r="E137" t="inlineStr">
        <is>
          <t>up</t>
        </is>
      </c>
      <c r="F137" t="inlineStr">
        <is>
          <t>to ETH-LEAF-02 Ethernet3/1</t>
        </is>
      </c>
    </row>
    <row r="138">
      <c r="A138" t="inlineStr">
        <is>
          <t>TN-DC-002-ETH-LEAF-02</t>
        </is>
      </c>
      <c r="B138" t="inlineStr">
        <is>
          <t>Ethernet3/1</t>
        </is>
      </c>
      <c r="C138" t="inlineStr">
        <is>
          <t>100GE</t>
        </is>
      </c>
      <c r="D138" t="n">
        <v>100000</v>
      </c>
      <c r="E138" t="inlineStr">
        <is>
          <t>up</t>
        </is>
      </c>
      <c r="F138" t="inlineStr">
        <is>
          <t>to GPU-003 eth1</t>
        </is>
      </c>
    </row>
    <row r="139">
      <c r="A139" t="inlineStr">
        <is>
          <t>TN-DC-002-GPU-004</t>
        </is>
      </c>
      <c r="B139" t="inlineStr">
        <is>
          <t>ib0</t>
        </is>
      </c>
      <c r="C139" t="inlineStr">
        <is>
          <t>400G NDR</t>
        </is>
      </c>
      <c r="D139" t="n">
        <v>400000</v>
      </c>
      <c r="E139" t="inlineStr">
        <is>
          <t>up</t>
        </is>
      </c>
      <c r="F139" t="inlineStr">
        <is>
          <t>to IB-LEAF-01 IB1/13</t>
        </is>
      </c>
      <c r="G139" t="inlineStr">
        <is>
          <t>OSFP-400G-SR4</t>
        </is>
      </c>
    </row>
    <row r="140">
      <c r="A140" t="inlineStr">
        <is>
          <t>TN-DC-002-IB-LEAF-01</t>
        </is>
      </c>
      <c r="B140" t="inlineStr">
        <is>
          <t>IB1/13</t>
        </is>
      </c>
      <c r="C140" t="inlineStr">
        <is>
          <t>400G NDR</t>
        </is>
      </c>
      <c r="D140" t="n">
        <v>400000</v>
      </c>
      <c r="E140" t="inlineStr">
        <is>
          <t>up</t>
        </is>
      </c>
      <c r="F140" t="inlineStr">
        <is>
          <t>to GPU-004 ib0</t>
        </is>
      </c>
      <c r="G140" t="inlineStr">
        <is>
          <t>OSFP-400G-SR4</t>
        </is>
      </c>
    </row>
    <row r="141">
      <c r="A141" t="inlineStr">
        <is>
          <t>TN-DC-002-GPU-004</t>
        </is>
      </c>
      <c r="B141" t="inlineStr">
        <is>
          <t>ib1</t>
        </is>
      </c>
      <c r="C141" t="inlineStr">
        <is>
          <t>400G NDR</t>
        </is>
      </c>
      <c r="D141" t="n">
        <v>400000</v>
      </c>
      <c r="E141" t="inlineStr">
        <is>
          <t>up</t>
        </is>
      </c>
      <c r="F141" t="inlineStr">
        <is>
          <t>to IB-LEAF-02 IB1/13</t>
        </is>
      </c>
      <c r="G141" t="inlineStr">
        <is>
          <t>OSFP-400G-SR4</t>
        </is>
      </c>
    </row>
    <row r="142">
      <c r="A142" t="inlineStr">
        <is>
          <t>TN-DC-002-IB-LEAF-02</t>
        </is>
      </c>
      <c r="B142" t="inlineStr">
        <is>
          <t>IB1/13</t>
        </is>
      </c>
      <c r="C142" t="inlineStr">
        <is>
          <t>400G NDR</t>
        </is>
      </c>
      <c r="D142" t="n">
        <v>400000</v>
      </c>
      <c r="E142" t="inlineStr">
        <is>
          <t>up</t>
        </is>
      </c>
      <c r="F142" t="inlineStr">
        <is>
          <t>to GPU-004 ib1</t>
        </is>
      </c>
      <c r="G142" t="inlineStr">
        <is>
          <t>OSFP-400G-SR4</t>
        </is>
      </c>
    </row>
    <row r="143">
      <c r="A143" t="inlineStr">
        <is>
          <t>TN-DC-002-GPU-004</t>
        </is>
      </c>
      <c r="B143" t="inlineStr">
        <is>
          <t>ib2</t>
        </is>
      </c>
      <c r="C143" t="inlineStr">
        <is>
          <t>400G NDR</t>
        </is>
      </c>
      <c r="D143" t="n">
        <v>400000</v>
      </c>
      <c r="E143" t="inlineStr">
        <is>
          <t>up</t>
        </is>
      </c>
      <c r="F143" t="inlineStr">
        <is>
          <t>to IB-LEAF-01 IB1/14</t>
        </is>
      </c>
      <c r="G143" t="inlineStr">
        <is>
          <t>OSFP-400G-SR4</t>
        </is>
      </c>
    </row>
    <row r="144">
      <c r="A144" t="inlineStr">
        <is>
          <t>TN-DC-002-IB-LEAF-01</t>
        </is>
      </c>
      <c r="B144" t="inlineStr">
        <is>
          <t>IB1/14</t>
        </is>
      </c>
      <c r="C144" t="inlineStr">
        <is>
          <t>400G NDR</t>
        </is>
      </c>
      <c r="D144" t="n">
        <v>400000</v>
      </c>
      <c r="E144" t="inlineStr">
        <is>
          <t>up</t>
        </is>
      </c>
      <c r="F144" t="inlineStr">
        <is>
          <t>to GPU-004 ib2</t>
        </is>
      </c>
      <c r="G144" t="inlineStr">
        <is>
          <t>OSFP-400G-SR4</t>
        </is>
      </c>
    </row>
    <row r="145">
      <c r="A145" t="inlineStr">
        <is>
          <t>TN-DC-002-GPU-004</t>
        </is>
      </c>
      <c r="B145" t="inlineStr">
        <is>
          <t>ib3</t>
        </is>
      </c>
      <c r="C145" t="inlineStr">
        <is>
          <t>400G NDR</t>
        </is>
      </c>
      <c r="D145" t="n">
        <v>400000</v>
      </c>
      <c r="E145" t="inlineStr">
        <is>
          <t>up</t>
        </is>
      </c>
      <c r="F145" t="inlineStr">
        <is>
          <t>to IB-LEAF-02 IB1/14</t>
        </is>
      </c>
      <c r="G145" t="inlineStr">
        <is>
          <t>OSFP-400G-SR4</t>
        </is>
      </c>
    </row>
    <row r="146">
      <c r="A146" t="inlineStr">
        <is>
          <t>TN-DC-002-IB-LEAF-02</t>
        </is>
      </c>
      <c r="B146" t="inlineStr">
        <is>
          <t>IB1/14</t>
        </is>
      </c>
      <c r="C146" t="inlineStr">
        <is>
          <t>400G NDR</t>
        </is>
      </c>
      <c r="D146" t="n">
        <v>400000</v>
      </c>
      <c r="E146" t="inlineStr">
        <is>
          <t>up</t>
        </is>
      </c>
      <c r="F146" t="inlineStr">
        <is>
          <t>to GPU-004 ib3</t>
        </is>
      </c>
      <c r="G146" t="inlineStr">
        <is>
          <t>OSFP-400G-SR4</t>
        </is>
      </c>
    </row>
    <row r="147">
      <c r="A147" t="inlineStr">
        <is>
          <t>TN-DC-002-GPU-004</t>
        </is>
      </c>
      <c r="B147" t="inlineStr">
        <is>
          <t>ib4</t>
        </is>
      </c>
      <c r="C147" t="inlineStr">
        <is>
          <t>400G NDR</t>
        </is>
      </c>
      <c r="D147" t="n">
        <v>400000</v>
      </c>
      <c r="E147" t="inlineStr">
        <is>
          <t>up</t>
        </is>
      </c>
      <c r="F147" t="inlineStr">
        <is>
          <t>to IB-LEAF-01 IB1/15</t>
        </is>
      </c>
      <c r="G147" t="inlineStr">
        <is>
          <t>OSFP-400G-SR4</t>
        </is>
      </c>
    </row>
    <row r="148">
      <c r="A148" t="inlineStr">
        <is>
          <t>TN-DC-002-IB-LEAF-01</t>
        </is>
      </c>
      <c r="B148" t="inlineStr">
        <is>
          <t>IB1/15</t>
        </is>
      </c>
      <c r="C148" t="inlineStr">
        <is>
          <t>400G NDR</t>
        </is>
      </c>
      <c r="D148" t="n">
        <v>400000</v>
      </c>
      <c r="E148" t="inlineStr">
        <is>
          <t>up</t>
        </is>
      </c>
      <c r="F148" t="inlineStr">
        <is>
          <t>to GPU-004 ib4</t>
        </is>
      </c>
      <c r="G148" t="inlineStr">
        <is>
          <t>OSFP-400G-SR4</t>
        </is>
      </c>
    </row>
    <row r="149">
      <c r="A149" t="inlineStr">
        <is>
          <t>TN-DC-002-GPU-004</t>
        </is>
      </c>
      <c r="B149" t="inlineStr">
        <is>
          <t>ib5</t>
        </is>
      </c>
      <c r="C149" t="inlineStr">
        <is>
          <t>400G NDR</t>
        </is>
      </c>
      <c r="D149" t="n">
        <v>400000</v>
      </c>
      <c r="E149" t="inlineStr">
        <is>
          <t>up</t>
        </is>
      </c>
      <c r="F149" t="inlineStr">
        <is>
          <t>to IB-LEAF-02 IB1/15</t>
        </is>
      </c>
      <c r="G149" t="inlineStr">
        <is>
          <t>OSFP-400G-SR4</t>
        </is>
      </c>
    </row>
    <row r="150">
      <c r="A150" t="inlineStr">
        <is>
          <t>TN-DC-002-IB-LEAF-02</t>
        </is>
      </c>
      <c r="B150" t="inlineStr">
        <is>
          <t>IB1/15</t>
        </is>
      </c>
      <c r="C150" t="inlineStr">
        <is>
          <t>400G NDR</t>
        </is>
      </c>
      <c r="D150" t="n">
        <v>400000</v>
      </c>
      <c r="E150" t="inlineStr">
        <is>
          <t>up</t>
        </is>
      </c>
      <c r="F150" t="inlineStr">
        <is>
          <t>to GPU-004 ib5</t>
        </is>
      </c>
      <c r="G150" t="inlineStr">
        <is>
          <t>OSFP-400G-SR4</t>
        </is>
      </c>
    </row>
    <row r="151">
      <c r="A151" t="inlineStr">
        <is>
          <t>TN-DC-002-GPU-004</t>
        </is>
      </c>
      <c r="B151" t="inlineStr">
        <is>
          <t>ib6</t>
        </is>
      </c>
      <c r="C151" t="inlineStr">
        <is>
          <t>400G NDR</t>
        </is>
      </c>
      <c r="D151" t="n">
        <v>400000</v>
      </c>
      <c r="E151" t="inlineStr">
        <is>
          <t>up</t>
        </is>
      </c>
      <c r="F151" t="inlineStr">
        <is>
          <t>to IB-LEAF-01 IB1/16</t>
        </is>
      </c>
      <c r="G151" t="inlineStr">
        <is>
          <t>OSFP-400G-SR4</t>
        </is>
      </c>
    </row>
    <row r="152">
      <c r="A152" t="inlineStr">
        <is>
          <t>TN-DC-002-IB-LEAF-01</t>
        </is>
      </c>
      <c r="B152" t="inlineStr">
        <is>
          <t>IB1/16</t>
        </is>
      </c>
      <c r="C152" t="inlineStr">
        <is>
          <t>400G NDR</t>
        </is>
      </c>
      <c r="D152" t="n">
        <v>400000</v>
      </c>
      <c r="E152" t="inlineStr">
        <is>
          <t>up</t>
        </is>
      </c>
      <c r="F152" t="inlineStr">
        <is>
          <t>to GPU-004 ib6</t>
        </is>
      </c>
      <c r="G152" t="inlineStr">
        <is>
          <t>OSFP-400G-SR4</t>
        </is>
      </c>
    </row>
    <row r="153">
      <c r="A153" t="inlineStr">
        <is>
          <t>TN-DC-002-GPU-004</t>
        </is>
      </c>
      <c r="B153" t="inlineStr">
        <is>
          <t>ib7</t>
        </is>
      </c>
      <c r="C153" t="inlineStr">
        <is>
          <t>400G NDR</t>
        </is>
      </c>
      <c r="D153" t="n">
        <v>400000</v>
      </c>
      <c r="E153" t="inlineStr">
        <is>
          <t>up</t>
        </is>
      </c>
      <c r="F153" t="inlineStr">
        <is>
          <t>to IB-LEAF-02 IB1/16</t>
        </is>
      </c>
      <c r="G153" t="inlineStr">
        <is>
          <t>OSFP-400G-SR4</t>
        </is>
      </c>
    </row>
    <row r="154">
      <c r="A154" t="inlineStr">
        <is>
          <t>TN-DC-002-IB-LEAF-02</t>
        </is>
      </c>
      <c r="B154" t="inlineStr">
        <is>
          <t>IB1/16</t>
        </is>
      </c>
      <c r="C154" t="inlineStr">
        <is>
          <t>400G NDR</t>
        </is>
      </c>
      <c r="D154" t="n">
        <v>400000</v>
      </c>
      <c r="E154" t="inlineStr">
        <is>
          <t>up</t>
        </is>
      </c>
      <c r="F154" t="inlineStr">
        <is>
          <t>to GPU-004 ib7</t>
        </is>
      </c>
      <c r="G154" t="inlineStr">
        <is>
          <t>OSFP-400G-SR4</t>
        </is>
      </c>
    </row>
    <row r="155">
      <c r="A155" t="inlineStr">
        <is>
          <t>TN-DC-002-GPU-004</t>
        </is>
      </c>
      <c r="B155" t="inlineStr">
        <is>
          <t>eth0</t>
        </is>
      </c>
      <c r="C155" t="inlineStr">
        <is>
          <t>100GE</t>
        </is>
      </c>
      <c r="D155" t="n">
        <v>100000</v>
      </c>
      <c r="E155" t="inlineStr">
        <is>
          <t>up</t>
        </is>
      </c>
      <c r="F155" t="inlineStr">
        <is>
          <t>to ETH-LEAF-01 Ethernet4/1</t>
        </is>
      </c>
    </row>
    <row r="156">
      <c r="A156" t="inlineStr">
        <is>
          <t>TN-DC-002-ETH-LEAF-01</t>
        </is>
      </c>
      <c r="B156" t="inlineStr">
        <is>
          <t>Ethernet4/1</t>
        </is>
      </c>
      <c r="C156" t="inlineStr">
        <is>
          <t>100GE</t>
        </is>
      </c>
      <c r="D156" t="n">
        <v>100000</v>
      </c>
      <c r="E156" t="inlineStr">
        <is>
          <t>up</t>
        </is>
      </c>
      <c r="F156" t="inlineStr">
        <is>
          <t>to GPU-004 eth0</t>
        </is>
      </c>
    </row>
    <row r="157">
      <c r="A157" t="inlineStr">
        <is>
          <t>TN-DC-002-GPU-004</t>
        </is>
      </c>
      <c r="B157" t="inlineStr">
        <is>
          <t>eth1</t>
        </is>
      </c>
      <c r="C157" t="inlineStr">
        <is>
          <t>100GE</t>
        </is>
      </c>
      <c r="D157" t="n">
        <v>100000</v>
      </c>
      <c r="E157" t="inlineStr">
        <is>
          <t>up</t>
        </is>
      </c>
      <c r="F157" t="inlineStr">
        <is>
          <t>to ETH-LEAF-02 Ethernet4/1</t>
        </is>
      </c>
    </row>
    <row r="158">
      <c r="A158" t="inlineStr">
        <is>
          <t>TN-DC-002-ETH-LEAF-02</t>
        </is>
      </c>
      <c r="B158" t="inlineStr">
        <is>
          <t>Ethernet4/1</t>
        </is>
      </c>
      <c r="C158" t="inlineStr">
        <is>
          <t>100GE</t>
        </is>
      </c>
      <c r="D158" t="n">
        <v>100000</v>
      </c>
      <c r="E158" t="inlineStr">
        <is>
          <t>up</t>
        </is>
      </c>
      <c r="F158" t="inlineStr">
        <is>
          <t>to GPU-004 eth1</t>
        </is>
      </c>
    </row>
    <row r="159">
      <c r="A159" t="inlineStr">
        <is>
          <t>TN-DC-002-GPU-005</t>
        </is>
      </c>
      <c r="B159" t="inlineStr">
        <is>
          <t>ib0</t>
        </is>
      </c>
      <c r="C159" t="inlineStr">
        <is>
          <t>400G NDR</t>
        </is>
      </c>
      <c r="D159" t="n">
        <v>400000</v>
      </c>
      <c r="E159" t="inlineStr">
        <is>
          <t>up</t>
        </is>
      </c>
      <c r="F159" t="inlineStr">
        <is>
          <t>to IB-LEAF-01 IB1/17</t>
        </is>
      </c>
      <c r="G159" t="inlineStr">
        <is>
          <t>OSFP-400G-SR4</t>
        </is>
      </c>
    </row>
    <row r="160">
      <c r="A160" t="inlineStr">
        <is>
          <t>TN-DC-002-IB-LEAF-01</t>
        </is>
      </c>
      <c r="B160" t="inlineStr">
        <is>
          <t>IB1/17</t>
        </is>
      </c>
      <c r="C160" t="inlineStr">
        <is>
          <t>400G NDR</t>
        </is>
      </c>
      <c r="D160" t="n">
        <v>400000</v>
      </c>
      <c r="E160" t="inlineStr">
        <is>
          <t>up</t>
        </is>
      </c>
      <c r="F160" t="inlineStr">
        <is>
          <t>to GPU-005 ib0</t>
        </is>
      </c>
      <c r="G160" t="inlineStr">
        <is>
          <t>OSFP-400G-SR4</t>
        </is>
      </c>
    </row>
    <row r="161">
      <c r="A161" t="inlineStr">
        <is>
          <t>TN-DC-002-GPU-005</t>
        </is>
      </c>
      <c r="B161" t="inlineStr">
        <is>
          <t>ib1</t>
        </is>
      </c>
      <c r="C161" t="inlineStr">
        <is>
          <t>400G NDR</t>
        </is>
      </c>
      <c r="D161" t="n">
        <v>400000</v>
      </c>
      <c r="E161" t="inlineStr">
        <is>
          <t>up</t>
        </is>
      </c>
      <c r="F161" t="inlineStr">
        <is>
          <t>to IB-LEAF-02 IB1/17</t>
        </is>
      </c>
      <c r="G161" t="inlineStr">
        <is>
          <t>OSFP-400G-SR4</t>
        </is>
      </c>
    </row>
    <row r="162">
      <c r="A162" t="inlineStr">
        <is>
          <t>TN-DC-002-IB-LEAF-02</t>
        </is>
      </c>
      <c r="B162" t="inlineStr">
        <is>
          <t>IB1/17</t>
        </is>
      </c>
      <c r="C162" t="inlineStr">
        <is>
          <t>400G NDR</t>
        </is>
      </c>
      <c r="D162" t="n">
        <v>400000</v>
      </c>
      <c r="E162" t="inlineStr">
        <is>
          <t>up</t>
        </is>
      </c>
      <c r="F162" t="inlineStr">
        <is>
          <t>to GPU-005 ib1</t>
        </is>
      </c>
      <c r="G162" t="inlineStr">
        <is>
          <t>OSFP-400G-SR4</t>
        </is>
      </c>
    </row>
    <row r="163">
      <c r="A163" t="inlineStr">
        <is>
          <t>TN-DC-002-GPU-005</t>
        </is>
      </c>
      <c r="B163" t="inlineStr">
        <is>
          <t>ib2</t>
        </is>
      </c>
      <c r="C163" t="inlineStr">
        <is>
          <t>400G NDR</t>
        </is>
      </c>
      <c r="D163" t="n">
        <v>400000</v>
      </c>
      <c r="E163" t="inlineStr">
        <is>
          <t>up</t>
        </is>
      </c>
      <c r="F163" t="inlineStr">
        <is>
          <t>to IB-LEAF-01 IB1/18</t>
        </is>
      </c>
      <c r="G163" t="inlineStr">
        <is>
          <t>OSFP-400G-SR4</t>
        </is>
      </c>
    </row>
    <row r="164">
      <c r="A164" t="inlineStr">
        <is>
          <t>TN-DC-002-IB-LEAF-01</t>
        </is>
      </c>
      <c r="B164" t="inlineStr">
        <is>
          <t>IB1/18</t>
        </is>
      </c>
      <c r="C164" t="inlineStr">
        <is>
          <t>400G NDR</t>
        </is>
      </c>
      <c r="D164" t="n">
        <v>400000</v>
      </c>
      <c r="E164" t="inlineStr">
        <is>
          <t>up</t>
        </is>
      </c>
      <c r="F164" t="inlineStr">
        <is>
          <t>to GPU-005 ib2</t>
        </is>
      </c>
      <c r="G164" t="inlineStr">
        <is>
          <t>OSFP-400G-SR4</t>
        </is>
      </c>
    </row>
    <row r="165">
      <c r="A165" t="inlineStr">
        <is>
          <t>TN-DC-002-GPU-005</t>
        </is>
      </c>
      <c r="B165" t="inlineStr">
        <is>
          <t>ib3</t>
        </is>
      </c>
      <c r="C165" t="inlineStr">
        <is>
          <t>400G NDR</t>
        </is>
      </c>
      <c r="D165" t="n">
        <v>400000</v>
      </c>
      <c r="E165" t="inlineStr">
        <is>
          <t>up</t>
        </is>
      </c>
      <c r="F165" t="inlineStr">
        <is>
          <t>to IB-LEAF-02 IB1/18</t>
        </is>
      </c>
      <c r="G165" t="inlineStr">
        <is>
          <t>OSFP-400G-SR4</t>
        </is>
      </c>
    </row>
    <row r="166">
      <c r="A166" t="inlineStr">
        <is>
          <t>TN-DC-002-IB-LEAF-02</t>
        </is>
      </c>
      <c r="B166" t="inlineStr">
        <is>
          <t>IB1/18</t>
        </is>
      </c>
      <c r="C166" t="inlineStr">
        <is>
          <t>400G NDR</t>
        </is>
      </c>
      <c r="D166" t="n">
        <v>400000</v>
      </c>
      <c r="E166" t="inlineStr">
        <is>
          <t>up</t>
        </is>
      </c>
      <c r="F166" t="inlineStr">
        <is>
          <t>to GPU-005 ib3</t>
        </is>
      </c>
      <c r="G166" t="inlineStr">
        <is>
          <t>OSFP-400G-SR4</t>
        </is>
      </c>
    </row>
    <row r="167">
      <c r="A167" t="inlineStr">
        <is>
          <t>TN-DC-002-GPU-005</t>
        </is>
      </c>
      <c r="B167" t="inlineStr">
        <is>
          <t>ib4</t>
        </is>
      </c>
      <c r="C167" t="inlineStr">
        <is>
          <t>400G NDR</t>
        </is>
      </c>
      <c r="D167" t="n">
        <v>400000</v>
      </c>
      <c r="E167" t="inlineStr">
        <is>
          <t>up</t>
        </is>
      </c>
      <c r="F167" t="inlineStr">
        <is>
          <t>to IB-LEAF-01 IB1/19</t>
        </is>
      </c>
      <c r="G167" t="inlineStr">
        <is>
          <t>OSFP-400G-SR4</t>
        </is>
      </c>
    </row>
    <row r="168">
      <c r="A168" t="inlineStr">
        <is>
          <t>TN-DC-002-IB-LEAF-01</t>
        </is>
      </c>
      <c r="B168" t="inlineStr">
        <is>
          <t>IB1/19</t>
        </is>
      </c>
      <c r="C168" t="inlineStr">
        <is>
          <t>400G NDR</t>
        </is>
      </c>
      <c r="D168" t="n">
        <v>400000</v>
      </c>
      <c r="E168" t="inlineStr">
        <is>
          <t>up</t>
        </is>
      </c>
      <c r="F168" t="inlineStr">
        <is>
          <t>to GPU-005 ib4</t>
        </is>
      </c>
      <c r="G168" t="inlineStr">
        <is>
          <t>OSFP-400G-SR4</t>
        </is>
      </c>
    </row>
    <row r="169">
      <c r="A169" t="inlineStr">
        <is>
          <t>TN-DC-002-GPU-005</t>
        </is>
      </c>
      <c r="B169" t="inlineStr">
        <is>
          <t>ib5</t>
        </is>
      </c>
      <c r="C169" t="inlineStr">
        <is>
          <t>400G NDR</t>
        </is>
      </c>
      <c r="D169" t="n">
        <v>400000</v>
      </c>
      <c r="E169" t="inlineStr">
        <is>
          <t>up</t>
        </is>
      </c>
      <c r="F169" t="inlineStr">
        <is>
          <t>to IB-LEAF-02 IB1/19</t>
        </is>
      </c>
      <c r="G169" t="inlineStr">
        <is>
          <t>OSFP-400G-SR4</t>
        </is>
      </c>
    </row>
    <row r="170">
      <c r="A170" t="inlineStr">
        <is>
          <t>TN-DC-002-IB-LEAF-02</t>
        </is>
      </c>
      <c r="B170" t="inlineStr">
        <is>
          <t>IB1/19</t>
        </is>
      </c>
      <c r="C170" t="inlineStr">
        <is>
          <t>400G NDR</t>
        </is>
      </c>
      <c r="D170" t="n">
        <v>400000</v>
      </c>
      <c r="E170" t="inlineStr">
        <is>
          <t>up</t>
        </is>
      </c>
      <c r="F170" t="inlineStr">
        <is>
          <t>to GPU-005 ib5</t>
        </is>
      </c>
      <c r="G170" t="inlineStr">
        <is>
          <t>OSFP-400G-SR4</t>
        </is>
      </c>
    </row>
    <row r="171">
      <c r="A171" t="inlineStr">
        <is>
          <t>TN-DC-002-GPU-005</t>
        </is>
      </c>
      <c r="B171" t="inlineStr">
        <is>
          <t>ib6</t>
        </is>
      </c>
      <c r="C171" t="inlineStr">
        <is>
          <t>400G NDR</t>
        </is>
      </c>
      <c r="D171" t="n">
        <v>400000</v>
      </c>
      <c r="E171" t="inlineStr">
        <is>
          <t>up</t>
        </is>
      </c>
      <c r="F171" t="inlineStr">
        <is>
          <t>to IB-LEAF-01 IB1/20</t>
        </is>
      </c>
      <c r="G171" t="inlineStr">
        <is>
          <t>OSFP-400G-SR4</t>
        </is>
      </c>
    </row>
    <row r="172">
      <c r="A172" t="inlineStr">
        <is>
          <t>TN-DC-002-IB-LEAF-01</t>
        </is>
      </c>
      <c r="B172" t="inlineStr">
        <is>
          <t>IB1/20</t>
        </is>
      </c>
      <c r="C172" t="inlineStr">
        <is>
          <t>400G NDR</t>
        </is>
      </c>
      <c r="D172" t="n">
        <v>400000</v>
      </c>
      <c r="E172" t="inlineStr">
        <is>
          <t>up</t>
        </is>
      </c>
      <c r="F172" t="inlineStr">
        <is>
          <t>to GPU-005 ib6</t>
        </is>
      </c>
      <c r="G172" t="inlineStr">
        <is>
          <t>OSFP-400G-SR4</t>
        </is>
      </c>
    </row>
    <row r="173">
      <c r="A173" t="inlineStr">
        <is>
          <t>TN-DC-002-GPU-005</t>
        </is>
      </c>
      <c r="B173" t="inlineStr">
        <is>
          <t>ib7</t>
        </is>
      </c>
      <c r="C173" t="inlineStr">
        <is>
          <t>400G NDR</t>
        </is>
      </c>
      <c r="D173" t="n">
        <v>400000</v>
      </c>
      <c r="E173" t="inlineStr">
        <is>
          <t>up</t>
        </is>
      </c>
      <c r="F173" t="inlineStr">
        <is>
          <t>to IB-LEAF-02 IB1/20</t>
        </is>
      </c>
      <c r="G173" t="inlineStr">
        <is>
          <t>OSFP-400G-SR4</t>
        </is>
      </c>
    </row>
    <row r="174">
      <c r="A174" t="inlineStr">
        <is>
          <t>TN-DC-002-IB-LEAF-02</t>
        </is>
      </c>
      <c r="B174" t="inlineStr">
        <is>
          <t>IB1/20</t>
        </is>
      </c>
      <c r="C174" t="inlineStr">
        <is>
          <t>400G NDR</t>
        </is>
      </c>
      <c r="D174" t="n">
        <v>400000</v>
      </c>
      <c r="E174" t="inlineStr">
        <is>
          <t>up</t>
        </is>
      </c>
      <c r="F174" t="inlineStr">
        <is>
          <t>to GPU-005 ib7</t>
        </is>
      </c>
      <c r="G174" t="inlineStr">
        <is>
          <t>OSFP-400G-SR4</t>
        </is>
      </c>
    </row>
    <row r="175">
      <c r="A175" t="inlineStr">
        <is>
          <t>TN-DC-002-GPU-005</t>
        </is>
      </c>
      <c r="B175" t="inlineStr">
        <is>
          <t>eth0</t>
        </is>
      </c>
      <c r="C175" t="inlineStr">
        <is>
          <t>100GE</t>
        </is>
      </c>
      <c r="D175" t="n">
        <v>100000</v>
      </c>
      <c r="E175" t="inlineStr">
        <is>
          <t>up</t>
        </is>
      </c>
      <c r="F175" t="inlineStr">
        <is>
          <t>to ETH-LEAF-01 Ethernet5/1</t>
        </is>
      </c>
    </row>
    <row r="176">
      <c r="A176" t="inlineStr">
        <is>
          <t>TN-DC-002-ETH-LEAF-01</t>
        </is>
      </c>
      <c r="B176" t="inlineStr">
        <is>
          <t>Ethernet5/1</t>
        </is>
      </c>
      <c r="C176" t="inlineStr">
        <is>
          <t>100GE</t>
        </is>
      </c>
      <c r="D176" t="n">
        <v>100000</v>
      </c>
      <c r="E176" t="inlineStr">
        <is>
          <t>up</t>
        </is>
      </c>
      <c r="F176" t="inlineStr">
        <is>
          <t>to GPU-005 eth0</t>
        </is>
      </c>
    </row>
    <row r="177">
      <c r="A177" t="inlineStr">
        <is>
          <t>TN-DC-002-GPU-005</t>
        </is>
      </c>
      <c r="B177" t="inlineStr">
        <is>
          <t>eth1</t>
        </is>
      </c>
      <c r="C177" t="inlineStr">
        <is>
          <t>100GE</t>
        </is>
      </c>
      <c r="D177" t="n">
        <v>100000</v>
      </c>
      <c r="E177" t="inlineStr">
        <is>
          <t>up</t>
        </is>
      </c>
      <c r="F177" t="inlineStr">
        <is>
          <t>to ETH-LEAF-02 Ethernet5/1</t>
        </is>
      </c>
    </row>
    <row r="178">
      <c r="A178" t="inlineStr">
        <is>
          <t>TN-DC-002-ETH-LEAF-02</t>
        </is>
      </c>
      <c r="B178" t="inlineStr">
        <is>
          <t>Ethernet5/1</t>
        </is>
      </c>
      <c r="C178" t="inlineStr">
        <is>
          <t>100GE</t>
        </is>
      </c>
      <c r="D178" t="n">
        <v>100000</v>
      </c>
      <c r="E178" t="inlineStr">
        <is>
          <t>up</t>
        </is>
      </c>
      <c r="F178" t="inlineStr">
        <is>
          <t>to GPU-005 eth1</t>
        </is>
      </c>
    </row>
    <row r="179">
      <c r="A179" t="inlineStr">
        <is>
          <t>TN-DC-002-GPU-006</t>
        </is>
      </c>
      <c r="B179" t="inlineStr">
        <is>
          <t>ib0</t>
        </is>
      </c>
      <c r="C179" t="inlineStr">
        <is>
          <t>400G NDR</t>
        </is>
      </c>
      <c r="D179" t="n">
        <v>400000</v>
      </c>
      <c r="E179" t="inlineStr">
        <is>
          <t>up</t>
        </is>
      </c>
      <c r="F179" t="inlineStr">
        <is>
          <t>to IB-LEAF-01 IB1/21</t>
        </is>
      </c>
      <c r="G179" t="inlineStr">
        <is>
          <t>OSFP-400G-SR4</t>
        </is>
      </c>
    </row>
    <row r="180">
      <c r="A180" t="inlineStr">
        <is>
          <t>TN-DC-002-IB-LEAF-01</t>
        </is>
      </c>
      <c r="B180" t="inlineStr">
        <is>
          <t>IB1/21</t>
        </is>
      </c>
      <c r="C180" t="inlineStr">
        <is>
          <t>400G NDR</t>
        </is>
      </c>
      <c r="D180" t="n">
        <v>400000</v>
      </c>
      <c r="E180" t="inlineStr">
        <is>
          <t>up</t>
        </is>
      </c>
      <c r="F180" t="inlineStr">
        <is>
          <t>to GPU-006 ib0</t>
        </is>
      </c>
      <c r="G180" t="inlineStr">
        <is>
          <t>OSFP-400G-SR4</t>
        </is>
      </c>
    </row>
    <row r="181">
      <c r="A181" t="inlineStr">
        <is>
          <t>TN-DC-002-GPU-006</t>
        </is>
      </c>
      <c r="B181" t="inlineStr">
        <is>
          <t>ib1</t>
        </is>
      </c>
      <c r="C181" t="inlineStr">
        <is>
          <t>400G NDR</t>
        </is>
      </c>
      <c r="D181" t="n">
        <v>400000</v>
      </c>
      <c r="E181" t="inlineStr">
        <is>
          <t>up</t>
        </is>
      </c>
      <c r="F181" t="inlineStr">
        <is>
          <t>to IB-LEAF-02 IB1/21</t>
        </is>
      </c>
      <c r="G181" t="inlineStr">
        <is>
          <t>OSFP-400G-SR4</t>
        </is>
      </c>
    </row>
    <row r="182">
      <c r="A182" t="inlineStr">
        <is>
          <t>TN-DC-002-IB-LEAF-02</t>
        </is>
      </c>
      <c r="B182" t="inlineStr">
        <is>
          <t>IB1/21</t>
        </is>
      </c>
      <c r="C182" t="inlineStr">
        <is>
          <t>400G NDR</t>
        </is>
      </c>
      <c r="D182" t="n">
        <v>400000</v>
      </c>
      <c r="E182" t="inlineStr">
        <is>
          <t>up</t>
        </is>
      </c>
      <c r="F182" t="inlineStr">
        <is>
          <t>to GPU-006 ib1</t>
        </is>
      </c>
      <c r="G182" t="inlineStr">
        <is>
          <t>OSFP-400G-SR4</t>
        </is>
      </c>
    </row>
    <row r="183">
      <c r="A183" t="inlineStr">
        <is>
          <t>TN-DC-002-GPU-006</t>
        </is>
      </c>
      <c r="B183" t="inlineStr">
        <is>
          <t>ib2</t>
        </is>
      </c>
      <c r="C183" t="inlineStr">
        <is>
          <t>400G NDR</t>
        </is>
      </c>
      <c r="D183" t="n">
        <v>400000</v>
      </c>
      <c r="E183" t="inlineStr">
        <is>
          <t>up</t>
        </is>
      </c>
      <c r="F183" t="inlineStr">
        <is>
          <t>to IB-LEAF-01 IB1/22</t>
        </is>
      </c>
      <c r="G183" t="inlineStr">
        <is>
          <t>OSFP-400G-SR4</t>
        </is>
      </c>
    </row>
    <row r="184">
      <c r="A184" t="inlineStr">
        <is>
          <t>TN-DC-002-IB-LEAF-01</t>
        </is>
      </c>
      <c r="B184" t="inlineStr">
        <is>
          <t>IB1/22</t>
        </is>
      </c>
      <c r="C184" t="inlineStr">
        <is>
          <t>400G NDR</t>
        </is>
      </c>
      <c r="D184" t="n">
        <v>400000</v>
      </c>
      <c r="E184" t="inlineStr">
        <is>
          <t>up</t>
        </is>
      </c>
      <c r="F184" t="inlineStr">
        <is>
          <t>to GPU-006 ib2</t>
        </is>
      </c>
      <c r="G184" t="inlineStr">
        <is>
          <t>OSFP-400G-SR4</t>
        </is>
      </c>
    </row>
    <row r="185">
      <c r="A185" t="inlineStr">
        <is>
          <t>TN-DC-002-GPU-006</t>
        </is>
      </c>
      <c r="B185" t="inlineStr">
        <is>
          <t>ib3</t>
        </is>
      </c>
      <c r="C185" t="inlineStr">
        <is>
          <t>400G NDR</t>
        </is>
      </c>
      <c r="D185" t="n">
        <v>400000</v>
      </c>
      <c r="E185" t="inlineStr">
        <is>
          <t>up</t>
        </is>
      </c>
      <c r="F185" t="inlineStr">
        <is>
          <t>to IB-LEAF-02 IB1/22</t>
        </is>
      </c>
      <c r="G185" t="inlineStr">
        <is>
          <t>OSFP-400G-SR4</t>
        </is>
      </c>
    </row>
    <row r="186">
      <c r="A186" t="inlineStr">
        <is>
          <t>TN-DC-002-IB-LEAF-02</t>
        </is>
      </c>
      <c r="B186" t="inlineStr">
        <is>
          <t>IB1/22</t>
        </is>
      </c>
      <c r="C186" t="inlineStr">
        <is>
          <t>400G NDR</t>
        </is>
      </c>
      <c r="D186" t="n">
        <v>400000</v>
      </c>
      <c r="E186" t="inlineStr">
        <is>
          <t>up</t>
        </is>
      </c>
      <c r="F186" t="inlineStr">
        <is>
          <t>to GPU-006 ib3</t>
        </is>
      </c>
      <c r="G186" t="inlineStr">
        <is>
          <t>OSFP-400G-SR4</t>
        </is>
      </c>
    </row>
    <row r="187">
      <c r="A187" t="inlineStr">
        <is>
          <t>TN-DC-002-GPU-006</t>
        </is>
      </c>
      <c r="B187" t="inlineStr">
        <is>
          <t>ib4</t>
        </is>
      </c>
      <c r="C187" t="inlineStr">
        <is>
          <t>400G NDR</t>
        </is>
      </c>
      <c r="D187" t="n">
        <v>400000</v>
      </c>
      <c r="E187" t="inlineStr">
        <is>
          <t>up</t>
        </is>
      </c>
      <c r="F187" t="inlineStr">
        <is>
          <t>to IB-LEAF-01 IB1/23</t>
        </is>
      </c>
      <c r="G187" t="inlineStr">
        <is>
          <t>OSFP-400G-SR4</t>
        </is>
      </c>
    </row>
    <row r="188">
      <c r="A188" t="inlineStr">
        <is>
          <t>TN-DC-002-IB-LEAF-01</t>
        </is>
      </c>
      <c r="B188" t="inlineStr">
        <is>
          <t>IB1/23</t>
        </is>
      </c>
      <c r="C188" t="inlineStr">
        <is>
          <t>400G NDR</t>
        </is>
      </c>
      <c r="D188" t="n">
        <v>400000</v>
      </c>
      <c r="E188" t="inlineStr">
        <is>
          <t>up</t>
        </is>
      </c>
      <c r="F188" t="inlineStr">
        <is>
          <t>to GPU-006 ib4</t>
        </is>
      </c>
      <c r="G188" t="inlineStr">
        <is>
          <t>OSFP-400G-SR4</t>
        </is>
      </c>
    </row>
    <row r="189">
      <c r="A189" t="inlineStr">
        <is>
          <t>TN-DC-002-GPU-006</t>
        </is>
      </c>
      <c r="B189" t="inlineStr">
        <is>
          <t>ib5</t>
        </is>
      </c>
      <c r="C189" t="inlineStr">
        <is>
          <t>400G NDR</t>
        </is>
      </c>
      <c r="D189" t="n">
        <v>400000</v>
      </c>
      <c r="E189" t="inlineStr">
        <is>
          <t>up</t>
        </is>
      </c>
      <c r="F189" t="inlineStr">
        <is>
          <t>to IB-LEAF-02 IB1/23</t>
        </is>
      </c>
      <c r="G189" t="inlineStr">
        <is>
          <t>OSFP-400G-SR4</t>
        </is>
      </c>
    </row>
    <row r="190">
      <c r="A190" t="inlineStr">
        <is>
          <t>TN-DC-002-IB-LEAF-02</t>
        </is>
      </c>
      <c r="B190" t="inlineStr">
        <is>
          <t>IB1/23</t>
        </is>
      </c>
      <c r="C190" t="inlineStr">
        <is>
          <t>400G NDR</t>
        </is>
      </c>
      <c r="D190" t="n">
        <v>400000</v>
      </c>
      <c r="E190" t="inlineStr">
        <is>
          <t>up</t>
        </is>
      </c>
      <c r="F190" t="inlineStr">
        <is>
          <t>to GPU-006 ib5</t>
        </is>
      </c>
      <c r="G190" t="inlineStr">
        <is>
          <t>OSFP-400G-SR4</t>
        </is>
      </c>
    </row>
    <row r="191">
      <c r="A191" t="inlineStr">
        <is>
          <t>TN-DC-002-GPU-006</t>
        </is>
      </c>
      <c r="B191" t="inlineStr">
        <is>
          <t>ib6</t>
        </is>
      </c>
      <c r="C191" t="inlineStr">
        <is>
          <t>400G NDR</t>
        </is>
      </c>
      <c r="D191" t="n">
        <v>400000</v>
      </c>
      <c r="E191" t="inlineStr">
        <is>
          <t>up</t>
        </is>
      </c>
      <c r="F191" t="inlineStr">
        <is>
          <t>to IB-LEAF-01 IB1/24</t>
        </is>
      </c>
      <c r="G191" t="inlineStr">
        <is>
          <t>OSFP-400G-SR4</t>
        </is>
      </c>
    </row>
    <row r="192">
      <c r="A192" t="inlineStr">
        <is>
          <t>TN-DC-002-IB-LEAF-01</t>
        </is>
      </c>
      <c r="B192" t="inlineStr">
        <is>
          <t>IB1/24</t>
        </is>
      </c>
      <c r="C192" t="inlineStr">
        <is>
          <t>400G NDR</t>
        </is>
      </c>
      <c r="D192" t="n">
        <v>400000</v>
      </c>
      <c r="E192" t="inlineStr">
        <is>
          <t>up</t>
        </is>
      </c>
      <c r="F192" t="inlineStr">
        <is>
          <t>to GPU-006 ib6</t>
        </is>
      </c>
      <c r="G192" t="inlineStr">
        <is>
          <t>OSFP-400G-SR4</t>
        </is>
      </c>
    </row>
    <row r="193">
      <c r="A193" t="inlineStr">
        <is>
          <t>TN-DC-002-GPU-006</t>
        </is>
      </c>
      <c r="B193" t="inlineStr">
        <is>
          <t>ib7</t>
        </is>
      </c>
      <c r="C193" t="inlineStr">
        <is>
          <t>400G NDR</t>
        </is>
      </c>
      <c r="D193" t="n">
        <v>400000</v>
      </c>
      <c r="E193" t="inlineStr">
        <is>
          <t>up</t>
        </is>
      </c>
      <c r="F193" t="inlineStr">
        <is>
          <t>to IB-LEAF-02 IB1/24</t>
        </is>
      </c>
      <c r="G193" t="inlineStr">
        <is>
          <t>OSFP-400G-SR4</t>
        </is>
      </c>
    </row>
    <row r="194">
      <c r="A194" t="inlineStr">
        <is>
          <t>TN-DC-002-IB-LEAF-02</t>
        </is>
      </c>
      <c r="B194" t="inlineStr">
        <is>
          <t>IB1/24</t>
        </is>
      </c>
      <c r="C194" t="inlineStr">
        <is>
          <t>400G NDR</t>
        </is>
      </c>
      <c r="D194" t="n">
        <v>400000</v>
      </c>
      <c r="E194" t="inlineStr">
        <is>
          <t>up</t>
        </is>
      </c>
      <c r="F194" t="inlineStr">
        <is>
          <t>to GPU-006 ib7</t>
        </is>
      </c>
      <c r="G194" t="inlineStr">
        <is>
          <t>OSFP-400G-SR4</t>
        </is>
      </c>
    </row>
    <row r="195">
      <c r="A195" t="inlineStr">
        <is>
          <t>TN-DC-002-GPU-006</t>
        </is>
      </c>
      <c r="B195" t="inlineStr">
        <is>
          <t>eth0</t>
        </is>
      </c>
      <c r="C195" t="inlineStr">
        <is>
          <t>100GE</t>
        </is>
      </c>
      <c r="D195" t="n">
        <v>100000</v>
      </c>
      <c r="E195" t="inlineStr">
        <is>
          <t>up</t>
        </is>
      </c>
      <c r="F195" t="inlineStr">
        <is>
          <t>to ETH-LEAF-01 Ethernet6/1</t>
        </is>
      </c>
    </row>
    <row r="196">
      <c r="A196" t="inlineStr">
        <is>
          <t>TN-DC-002-ETH-LEAF-01</t>
        </is>
      </c>
      <c r="B196" t="inlineStr">
        <is>
          <t>Ethernet6/1</t>
        </is>
      </c>
      <c r="C196" t="inlineStr">
        <is>
          <t>100GE</t>
        </is>
      </c>
      <c r="D196" t="n">
        <v>100000</v>
      </c>
      <c r="E196" t="inlineStr">
        <is>
          <t>up</t>
        </is>
      </c>
      <c r="F196" t="inlineStr">
        <is>
          <t>to GPU-006 eth0</t>
        </is>
      </c>
    </row>
    <row r="197">
      <c r="A197" t="inlineStr">
        <is>
          <t>TN-DC-002-GPU-006</t>
        </is>
      </c>
      <c r="B197" t="inlineStr">
        <is>
          <t>eth1</t>
        </is>
      </c>
      <c r="C197" t="inlineStr">
        <is>
          <t>100GE</t>
        </is>
      </c>
      <c r="D197" t="n">
        <v>100000</v>
      </c>
      <c r="E197" t="inlineStr">
        <is>
          <t>up</t>
        </is>
      </c>
      <c r="F197" t="inlineStr">
        <is>
          <t>to ETH-LEAF-02 Ethernet6/1</t>
        </is>
      </c>
    </row>
    <row r="198">
      <c r="A198" t="inlineStr">
        <is>
          <t>TN-DC-002-ETH-LEAF-02</t>
        </is>
      </c>
      <c r="B198" t="inlineStr">
        <is>
          <t>Ethernet6/1</t>
        </is>
      </c>
      <c r="C198" t="inlineStr">
        <is>
          <t>100GE</t>
        </is>
      </c>
      <c r="D198" t="n">
        <v>100000</v>
      </c>
      <c r="E198" t="inlineStr">
        <is>
          <t>up</t>
        </is>
      </c>
      <c r="F198" t="inlineStr">
        <is>
          <t>to GPU-006 eth1</t>
        </is>
      </c>
    </row>
    <row r="199">
      <c r="A199" t="inlineStr">
        <is>
          <t>TN-DC-002-GPU-007</t>
        </is>
      </c>
      <c r="B199" t="inlineStr">
        <is>
          <t>ib0</t>
        </is>
      </c>
      <c r="C199" t="inlineStr">
        <is>
          <t>400G NDR</t>
        </is>
      </c>
      <c r="D199" t="n">
        <v>400000</v>
      </c>
      <c r="E199" t="inlineStr">
        <is>
          <t>up</t>
        </is>
      </c>
      <c r="F199" t="inlineStr">
        <is>
          <t>to IB-LEAF-01 IB1/25</t>
        </is>
      </c>
      <c r="G199" t="inlineStr">
        <is>
          <t>OSFP-400G-SR4</t>
        </is>
      </c>
    </row>
    <row r="200">
      <c r="A200" t="inlineStr">
        <is>
          <t>TN-DC-002-IB-LEAF-01</t>
        </is>
      </c>
      <c r="B200" t="inlineStr">
        <is>
          <t>IB1/25</t>
        </is>
      </c>
      <c r="C200" t="inlineStr">
        <is>
          <t>400G NDR</t>
        </is>
      </c>
      <c r="D200" t="n">
        <v>400000</v>
      </c>
      <c r="E200" t="inlineStr">
        <is>
          <t>up</t>
        </is>
      </c>
      <c r="F200" t="inlineStr">
        <is>
          <t>to GPU-007 ib0</t>
        </is>
      </c>
      <c r="G200" t="inlineStr">
        <is>
          <t>OSFP-400G-SR4</t>
        </is>
      </c>
    </row>
    <row r="201">
      <c r="A201" t="inlineStr">
        <is>
          <t>TN-DC-002-GPU-007</t>
        </is>
      </c>
      <c r="B201" t="inlineStr">
        <is>
          <t>ib1</t>
        </is>
      </c>
      <c r="C201" t="inlineStr">
        <is>
          <t>400G NDR</t>
        </is>
      </c>
      <c r="D201" t="n">
        <v>400000</v>
      </c>
      <c r="E201" t="inlineStr">
        <is>
          <t>up</t>
        </is>
      </c>
      <c r="F201" t="inlineStr">
        <is>
          <t>to IB-LEAF-02 IB1/25</t>
        </is>
      </c>
      <c r="G201" t="inlineStr">
        <is>
          <t>OSFP-400G-SR4</t>
        </is>
      </c>
    </row>
    <row r="202">
      <c r="A202" t="inlineStr">
        <is>
          <t>TN-DC-002-IB-LEAF-02</t>
        </is>
      </c>
      <c r="B202" t="inlineStr">
        <is>
          <t>IB1/25</t>
        </is>
      </c>
      <c r="C202" t="inlineStr">
        <is>
          <t>400G NDR</t>
        </is>
      </c>
      <c r="D202" t="n">
        <v>400000</v>
      </c>
      <c r="E202" t="inlineStr">
        <is>
          <t>up</t>
        </is>
      </c>
      <c r="F202" t="inlineStr">
        <is>
          <t>to GPU-007 ib1</t>
        </is>
      </c>
      <c r="G202" t="inlineStr">
        <is>
          <t>OSFP-400G-SR4</t>
        </is>
      </c>
    </row>
    <row r="203">
      <c r="A203" t="inlineStr">
        <is>
          <t>TN-DC-002-GPU-007</t>
        </is>
      </c>
      <c r="B203" t="inlineStr">
        <is>
          <t>ib2</t>
        </is>
      </c>
      <c r="C203" t="inlineStr">
        <is>
          <t>400G NDR</t>
        </is>
      </c>
      <c r="D203" t="n">
        <v>400000</v>
      </c>
      <c r="E203" t="inlineStr">
        <is>
          <t>up</t>
        </is>
      </c>
      <c r="F203" t="inlineStr">
        <is>
          <t>to IB-LEAF-01 IB1/26</t>
        </is>
      </c>
      <c r="G203" t="inlineStr">
        <is>
          <t>OSFP-400G-SR4</t>
        </is>
      </c>
    </row>
    <row r="204">
      <c r="A204" t="inlineStr">
        <is>
          <t>TN-DC-002-IB-LEAF-01</t>
        </is>
      </c>
      <c r="B204" t="inlineStr">
        <is>
          <t>IB1/26</t>
        </is>
      </c>
      <c r="C204" t="inlineStr">
        <is>
          <t>400G NDR</t>
        </is>
      </c>
      <c r="D204" t="n">
        <v>400000</v>
      </c>
      <c r="E204" t="inlineStr">
        <is>
          <t>up</t>
        </is>
      </c>
      <c r="F204" t="inlineStr">
        <is>
          <t>to GPU-007 ib2</t>
        </is>
      </c>
      <c r="G204" t="inlineStr">
        <is>
          <t>OSFP-400G-SR4</t>
        </is>
      </c>
    </row>
    <row r="205">
      <c r="A205" t="inlineStr">
        <is>
          <t>TN-DC-002-GPU-007</t>
        </is>
      </c>
      <c r="B205" t="inlineStr">
        <is>
          <t>ib3</t>
        </is>
      </c>
      <c r="C205" t="inlineStr">
        <is>
          <t>400G NDR</t>
        </is>
      </c>
      <c r="D205" t="n">
        <v>400000</v>
      </c>
      <c r="E205" t="inlineStr">
        <is>
          <t>up</t>
        </is>
      </c>
      <c r="F205" t="inlineStr">
        <is>
          <t>to IB-LEAF-02 IB1/26</t>
        </is>
      </c>
      <c r="G205" t="inlineStr">
        <is>
          <t>OSFP-400G-SR4</t>
        </is>
      </c>
    </row>
    <row r="206">
      <c r="A206" t="inlineStr">
        <is>
          <t>TN-DC-002-IB-LEAF-02</t>
        </is>
      </c>
      <c r="B206" t="inlineStr">
        <is>
          <t>IB1/26</t>
        </is>
      </c>
      <c r="C206" t="inlineStr">
        <is>
          <t>400G NDR</t>
        </is>
      </c>
      <c r="D206" t="n">
        <v>400000</v>
      </c>
      <c r="E206" t="inlineStr">
        <is>
          <t>up</t>
        </is>
      </c>
      <c r="F206" t="inlineStr">
        <is>
          <t>to GPU-007 ib3</t>
        </is>
      </c>
      <c r="G206" t="inlineStr">
        <is>
          <t>OSFP-400G-SR4</t>
        </is>
      </c>
    </row>
    <row r="207">
      <c r="A207" t="inlineStr">
        <is>
          <t>TN-DC-002-GPU-007</t>
        </is>
      </c>
      <c r="B207" t="inlineStr">
        <is>
          <t>ib4</t>
        </is>
      </c>
      <c r="C207" t="inlineStr">
        <is>
          <t>400G NDR</t>
        </is>
      </c>
      <c r="D207" t="n">
        <v>400000</v>
      </c>
      <c r="E207" t="inlineStr">
        <is>
          <t>up</t>
        </is>
      </c>
      <c r="F207" t="inlineStr">
        <is>
          <t>to IB-LEAF-01 IB1/27</t>
        </is>
      </c>
      <c r="G207" t="inlineStr">
        <is>
          <t>OSFP-400G-SR4</t>
        </is>
      </c>
    </row>
    <row r="208">
      <c r="A208" t="inlineStr">
        <is>
          <t>TN-DC-002-IB-LEAF-01</t>
        </is>
      </c>
      <c r="B208" t="inlineStr">
        <is>
          <t>IB1/27</t>
        </is>
      </c>
      <c r="C208" t="inlineStr">
        <is>
          <t>400G NDR</t>
        </is>
      </c>
      <c r="D208" t="n">
        <v>400000</v>
      </c>
      <c r="E208" t="inlineStr">
        <is>
          <t>up</t>
        </is>
      </c>
      <c r="F208" t="inlineStr">
        <is>
          <t>to GPU-007 ib4</t>
        </is>
      </c>
      <c r="G208" t="inlineStr">
        <is>
          <t>OSFP-400G-SR4</t>
        </is>
      </c>
    </row>
    <row r="209">
      <c r="A209" t="inlineStr">
        <is>
          <t>TN-DC-002-GPU-007</t>
        </is>
      </c>
      <c r="B209" t="inlineStr">
        <is>
          <t>ib5</t>
        </is>
      </c>
      <c r="C209" t="inlineStr">
        <is>
          <t>400G NDR</t>
        </is>
      </c>
      <c r="D209" t="n">
        <v>400000</v>
      </c>
      <c r="E209" t="inlineStr">
        <is>
          <t>up</t>
        </is>
      </c>
      <c r="F209" t="inlineStr">
        <is>
          <t>to IB-LEAF-02 IB1/27</t>
        </is>
      </c>
      <c r="G209" t="inlineStr">
        <is>
          <t>OSFP-400G-SR4</t>
        </is>
      </c>
    </row>
    <row r="210">
      <c r="A210" t="inlineStr">
        <is>
          <t>TN-DC-002-IB-LEAF-02</t>
        </is>
      </c>
      <c r="B210" t="inlineStr">
        <is>
          <t>IB1/27</t>
        </is>
      </c>
      <c r="C210" t="inlineStr">
        <is>
          <t>400G NDR</t>
        </is>
      </c>
      <c r="D210" t="n">
        <v>400000</v>
      </c>
      <c r="E210" t="inlineStr">
        <is>
          <t>up</t>
        </is>
      </c>
      <c r="F210" t="inlineStr">
        <is>
          <t>to GPU-007 ib5</t>
        </is>
      </c>
      <c r="G210" t="inlineStr">
        <is>
          <t>OSFP-400G-SR4</t>
        </is>
      </c>
    </row>
    <row r="211">
      <c r="A211" t="inlineStr">
        <is>
          <t>TN-DC-002-GPU-007</t>
        </is>
      </c>
      <c r="B211" t="inlineStr">
        <is>
          <t>ib6</t>
        </is>
      </c>
      <c r="C211" t="inlineStr">
        <is>
          <t>400G NDR</t>
        </is>
      </c>
      <c r="D211" t="n">
        <v>400000</v>
      </c>
      <c r="E211" t="inlineStr">
        <is>
          <t>up</t>
        </is>
      </c>
      <c r="F211" t="inlineStr">
        <is>
          <t>to IB-LEAF-01 IB1/28</t>
        </is>
      </c>
      <c r="G211" t="inlineStr">
        <is>
          <t>OSFP-400G-SR4</t>
        </is>
      </c>
    </row>
    <row r="212">
      <c r="A212" t="inlineStr">
        <is>
          <t>TN-DC-002-IB-LEAF-01</t>
        </is>
      </c>
      <c r="B212" t="inlineStr">
        <is>
          <t>IB1/28</t>
        </is>
      </c>
      <c r="C212" t="inlineStr">
        <is>
          <t>400G NDR</t>
        </is>
      </c>
      <c r="D212" t="n">
        <v>400000</v>
      </c>
      <c r="E212" t="inlineStr">
        <is>
          <t>up</t>
        </is>
      </c>
      <c r="F212" t="inlineStr">
        <is>
          <t>to GPU-007 ib6</t>
        </is>
      </c>
      <c r="G212" t="inlineStr">
        <is>
          <t>OSFP-400G-SR4</t>
        </is>
      </c>
    </row>
    <row r="213">
      <c r="A213" t="inlineStr">
        <is>
          <t>TN-DC-002-GPU-007</t>
        </is>
      </c>
      <c r="B213" t="inlineStr">
        <is>
          <t>ib7</t>
        </is>
      </c>
      <c r="C213" t="inlineStr">
        <is>
          <t>400G NDR</t>
        </is>
      </c>
      <c r="D213" t="n">
        <v>400000</v>
      </c>
      <c r="E213" t="inlineStr">
        <is>
          <t>up</t>
        </is>
      </c>
      <c r="F213" t="inlineStr">
        <is>
          <t>to IB-LEAF-02 IB1/28</t>
        </is>
      </c>
      <c r="G213" t="inlineStr">
        <is>
          <t>OSFP-400G-SR4</t>
        </is>
      </c>
    </row>
    <row r="214">
      <c r="A214" t="inlineStr">
        <is>
          <t>TN-DC-002-IB-LEAF-02</t>
        </is>
      </c>
      <c r="B214" t="inlineStr">
        <is>
          <t>IB1/28</t>
        </is>
      </c>
      <c r="C214" t="inlineStr">
        <is>
          <t>400G NDR</t>
        </is>
      </c>
      <c r="D214" t="n">
        <v>400000</v>
      </c>
      <c r="E214" t="inlineStr">
        <is>
          <t>up</t>
        </is>
      </c>
      <c r="F214" t="inlineStr">
        <is>
          <t>to GPU-007 ib7</t>
        </is>
      </c>
      <c r="G214" t="inlineStr">
        <is>
          <t>OSFP-400G-SR4</t>
        </is>
      </c>
    </row>
    <row r="215">
      <c r="A215" t="inlineStr">
        <is>
          <t>TN-DC-002-GPU-007</t>
        </is>
      </c>
      <c r="B215" t="inlineStr">
        <is>
          <t>eth0</t>
        </is>
      </c>
      <c r="C215" t="inlineStr">
        <is>
          <t>100GE</t>
        </is>
      </c>
      <c r="D215" t="n">
        <v>100000</v>
      </c>
      <c r="E215" t="inlineStr">
        <is>
          <t>up</t>
        </is>
      </c>
      <c r="F215" t="inlineStr">
        <is>
          <t>to ETH-LEAF-01 Ethernet7/1</t>
        </is>
      </c>
    </row>
    <row r="216">
      <c r="A216" t="inlineStr">
        <is>
          <t>TN-DC-002-ETH-LEAF-01</t>
        </is>
      </c>
      <c r="B216" t="inlineStr">
        <is>
          <t>Ethernet7/1</t>
        </is>
      </c>
      <c r="C216" t="inlineStr">
        <is>
          <t>100GE</t>
        </is>
      </c>
      <c r="D216" t="n">
        <v>100000</v>
      </c>
      <c r="E216" t="inlineStr">
        <is>
          <t>up</t>
        </is>
      </c>
      <c r="F216" t="inlineStr">
        <is>
          <t>to GPU-007 eth0</t>
        </is>
      </c>
    </row>
    <row r="217">
      <c r="A217" t="inlineStr">
        <is>
          <t>TN-DC-002-GPU-007</t>
        </is>
      </c>
      <c r="B217" t="inlineStr">
        <is>
          <t>eth1</t>
        </is>
      </c>
      <c r="C217" t="inlineStr">
        <is>
          <t>100GE</t>
        </is>
      </c>
      <c r="D217" t="n">
        <v>100000</v>
      </c>
      <c r="E217" t="inlineStr">
        <is>
          <t>up</t>
        </is>
      </c>
      <c r="F217" t="inlineStr">
        <is>
          <t>to ETH-LEAF-02 Ethernet7/1</t>
        </is>
      </c>
    </row>
    <row r="218">
      <c r="A218" t="inlineStr">
        <is>
          <t>TN-DC-002-ETH-LEAF-02</t>
        </is>
      </c>
      <c r="B218" t="inlineStr">
        <is>
          <t>Ethernet7/1</t>
        </is>
      </c>
      <c r="C218" t="inlineStr">
        <is>
          <t>100GE</t>
        </is>
      </c>
      <c r="D218" t="n">
        <v>100000</v>
      </c>
      <c r="E218" t="inlineStr">
        <is>
          <t>up</t>
        </is>
      </c>
      <c r="F218" t="inlineStr">
        <is>
          <t>to GPU-007 eth1</t>
        </is>
      </c>
    </row>
    <row r="219">
      <c r="A219" t="inlineStr">
        <is>
          <t>TN-DC-002-GPU-008</t>
        </is>
      </c>
      <c r="B219" t="inlineStr">
        <is>
          <t>ib0</t>
        </is>
      </c>
      <c r="C219" t="inlineStr">
        <is>
          <t>400G NDR</t>
        </is>
      </c>
      <c r="D219" t="n">
        <v>400000</v>
      </c>
      <c r="E219" t="inlineStr">
        <is>
          <t>up</t>
        </is>
      </c>
      <c r="F219" t="inlineStr">
        <is>
          <t>to IB-LEAF-01 IB1/29</t>
        </is>
      </c>
      <c r="G219" t="inlineStr">
        <is>
          <t>OSFP-400G-SR4</t>
        </is>
      </c>
    </row>
    <row r="220">
      <c r="A220" t="inlineStr">
        <is>
          <t>TN-DC-002-IB-LEAF-01</t>
        </is>
      </c>
      <c r="B220" t="inlineStr">
        <is>
          <t>IB1/29</t>
        </is>
      </c>
      <c r="C220" t="inlineStr">
        <is>
          <t>400G NDR</t>
        </is>
      </c>
      <c r="D220" t="n">
        <v>400000</v>
      </c>
      <c r="E220" t="inlineStr">
        <is>
          <t>up</t>
        </is>
      </c>
      <c r="F220" t="inlineStr">
        <is>
          <t>to GPU-008 ib0</t>
        </is>
      </c>
      <c r="G220" t="inlineStr">
        <is>
          <t>OSFP-400G-SR4</t>
        </is>
      </c>
    </row>
    <row r="221">
      <c r="A221" t="inlineStr">
        <is>
          <t>TN-DC-002-GPU-008</t>
        </is>
      </c>
      <c r="B221" t="inlineStr">
        <is>
          <t>ib1</t>
        </is>
      </c>
      <c r="C221" t="inlineStr">
        <is>
          <t>400G NDR</t>
        </is>
      </c>
      <c r="D221" t="n">
        <v>400000</v>
      </c>
      <c r="E221" t="inlineStr">
        <is>
          <t>up</t>
        </is>
      </c>
      <c r="F221" t="inlineStr">
        <is>
          <t>to IB-LEAF-02 IB1/29</t>
        </is>
      </c>
      <c r="G221" t="inlineStr">
        <is>
          <t>OSFP-400G-SR4</t>
        </is>
      </c>
    </row>
    <row r="222">
      <c r="A222" t="inlineStr">
        <is>
          <t>TN-DC-002-IB-LEAF-02</t>
        </is>
      </c>
      <c r="B222" t="inlineStr">
        <is>
          <t>IB1/29</t>
        </is>
      </c>
      <c r="C222" t="inlineStr">
        <is>
          <t>400G NDR</t>
        </is>
      </c>
      <c r="D222" t="n">
        <v>400000</v>
      </c>
      <c r="E222" t="inlineStr">
        <is>
          <t>up</t>
        </is>
      </c>
      <c r="F222" t="inlineStr">
        <is>
          <t>to GPU-008 ib1</t>
        </is>
      </c>
      <c r="G222" t="inlineStr">
        <is>
          <t>OSFP-400G-SR4</t>
        </is>
      </c>
    </row>
    <row r="223">
      <c r="A223" t="inlineStr">
        <is>
          <t>TN-DC-002-GPU-008</t>
        </is>
      </c>
      <c r="B223" t="inlineStr">
        <is>
          <t>ib2</t>
        </is>
      </c>
      <c r="C223" t="inlineStr">
        <is>
          <t>400G NDR</t>
        </is>
      </c>
      <c r="D223" t="n">
        <v>400000</v>
      </c>
      <c r="E223" t="inlineStr">
        <is>
          <t>up</t>
        </is>
      </c>
      <c r="F223" t="inlineStr">
        <is>
          <t>to IB-LEAF-01 IB1/30</t>
        </is>
      </c>
      <c r="G223" t="inlineStr">
        <is>
          <t>OSFP-400G-SR4</t>
        </is>
      </c>
    </row>
    <row r="224">
      <c r="A224" t="inlineStr">
        <is>
          <t>TN-DC-002-IB-LEAF-01</t>
        </is>
      </c>
      <c r="B224" t="inlineStr">
        <is>
          <t>IB1/30</t>
        </is>
      </c>
      <c r="C224" t="inlineStr">
        <is>
          <t>400G NDR</t>
        </is>
      </c>
      <c r="D224" t="n">
        <v>400000</v>
      </c>
      <c r="E224" t="inlineStr">
        <is>
          <t>up</t>
        </is>
      </c>
      <c r="F224" t="inlineStr">
        <is>
          <t>to GPU-008 ib2</t>
        </is>
      </c>
      <c r="G224" t="inlineStr">
        <is>
          <t>OSFP-400G-SR4</t>
        </is>
      </c>
    </row>
    <row r="225">
      <c r="A225" t="inlineStr">
        <is>
          <t>TN-DC-002-GPU-008</t>
        </is>
      </c>
      <c r="B225" t="inlineStr">
        <is>
          <t>ib3</t>
        </is>
      </c>
      <c r="C225" t="inlineStr">
        <is>
          <t>400G NDR</t>
        </is>
      </c>
      <c r="D225" t="n">
        <v>400000</v>
      </c>
      <c r="E225" t="inlineStr">
        <is>
          <t>up</t>
        </is>
      </c>
      <c r="F225" t="inlineStr">
        <is>
          <t>to IB-LEAF-02 IB1/30</t>
        </is>
      </c>
      <c r="G225" t="inlineStr">
        <is>
          <t>OSFP-400G-SR4</t>
        </is>
      </c>
    </row>
    <row r="226">
      <c r="A226" t="inlineStr">
        <is>
          <t>TN-DC-002-IB-LEAF-02</t>
        </is>
      </c>
      <c r="B226" t="inlineStr">
        <is>
          <t>IB1/30</t>
        </is>
      </c>
      <c r="C226" t="inlineStr">
        <is>
          <t>400G NDR</t>
        </is>
      </c>
      <c r="D226" t="n">
        <v>400000</v>
      </c>
      <c r="E226" t="inlineStr">
        <is>
          <t>up</t>
        </is>
      </c>
      <c r="F226" t="inlineStr">
        <is>
          <t>to GPU-008 ib3</t>
        </is>
      </c>
      <c r="G226" t="inlineStr">
        <is>
          <t>OSFP-400G-SR4</t>
        </is>
      </c>
    </row>
    <row r="227">
      <c r="A227" t="inlineStr">
        <is>
          <t>TN-DC-002-GPU-008</t>
        </is>
      </c>
      <c r="B227" t="inlineStr">
        <is>
          <t>ib4</t>
        </is>
      </c>
      <c r="C227" t="inlineStr">
        <is>
          <t>400G NDR</t>
        </is>
      </c>
      <c r="D227" t="n">
        <v>400000</v>
      </c>
      <c r="E227" t="inlineStr">
        <is>
          <t>up</t>
        </is>
      </c>
      <c r="F227" t="inlineStr">
        <is>
          <t>to IB-LEAF-01 IB1/31</t>
        </is>
      </c>
      <c r="G227" t="inlineStr">
        <is>
          <t>OSFP-400G-SR4</t>
        </is>
      </c>
    </row>
    <row r="228">
      <c r="A228" t="inlineStr">
        <is>
          <t>TN-DC-002-IB-LEAF-01</t>
        </is>
      </c>
      <c r="B228" t="inlineStr">
        <is>
          <t>IB1/31</t>
        </is>
      </c>
      <c r="C228" t="inlineStr">
        <is>
          <t>400G NDR</t>
        </is>
      </c>
      <c r="D228" t="n">
        <v>400000</v>
      </c>
      <c r="E228" t="inlineStr">
        <is>
          <t>up</t>
        </is>
      </c>
      <c r="F228" t="inlineStr">
        <is>
          <t>to GPU-008 ib4</t>
        </is>
      </c>
      <c r="G228" t="inlineStr">
        <is>
          <t>OSFP-400G-SR4</t>
        </is>
      </c>
    </row>
    <row r="229">
      <c r="A229" t="inlineStr">
        <is>
          <t>TN-DC-002-GPU-008</t>
        </is>
      </c>
      <c r="B229" t="inlineStr">
        <is>
          <t>ib5</t>
        </is>
      </c>
      <c r="C229" t="inlineStr">
        <is>
          <t>400G NDR</t>
        </is>
      </c>
      <c r="D229" t="n">
        <v>400000</v>
      </c>
      <c r="E229" t="inlineStr">
        <is>
          <t>up</t>
        </is>
      </c>
      <c r="F229" t="inlineStr">
        <is>
          <t>to IB-LEAF-02 IB1/31</t>
        </is>
      </c>
      <c r="G229" t="inlineStr">
        <is>
          <t>OSFP-400G-SR4</t>
        </is>
      </c>
    </row>
    <row r="230">
      <c r="A230" t="inlineStr">
        <is>
          <t>TN-DC-002-IB-LEAF-02</t>
        </is>
      </c>
      <c r="B230" t="inlineStr">
        <is>
          <t>IB1/31</t>
        </is>
      </c>
      <c r="C230" t="inlineStr">
        <is>
          <t>400G NDR</t>
        </is>
      </c>
      <c r="D230" t="n">
        <v>400000</v>
      </c>
      <c r="E230" t="inlineStr">
        <is>
          <t>up</t>
        </is>
      </c>
      <c r="F230" t="inlineStr">
        <is>
          <t>to GPU-008 ib5</t>
        </is>
      </c>
      <c r="G230" t="inlineStr">
        <is>
          <t>OSFP-400G-SR4</t>
        </is>
      </c>
    </row>
    <row r="231">
      <c r="A231" t="inlineStr">
        <is>
          <t>TN-DC-002-GPU-008</t>
        </is>
      </c>
      <c r="B231" t="inlineStr">
        <is>
          <t>ib6</t>
        </is>
      </c>
      <c r="C231" t="inlineStr">
        <is>
          <t>400G NDR</t>
        </is>
      </c>
      <c r="D231" t="n">
        <v>400000</v>
      </c>
      <c r="E231" t="inlineStr">
        <is>
          <t>up</t>
        </is>
      </c>
      <c r="F231" t="inlineStr">
        <is>
          <t>to IB-LEAF-01 IB1/32</t>
        </is>
      </c>
      <c r="G231" t="inlineStr">
        <is>
          <t>OSFP-400G-SR4</t>
        </is>
      </c>
    </row>
    <row r="232">
      <c r="A232" t="inlineStr">
        <is>
          <t>TN-DC-002-IB-LEAF-01</t>
        </is>
      </c>
      <c r="B232" t="inlineStr">
        <is>
          <t>IB1/32</t>
        </is>
      </c>
      <c r="C232" t="inlineStr">
        <is>
          <t>400G NDR</t>
        </is>
      </c>
      <c r="D232" t="n">
        <v>400000</v>
      </c>
      <c r="E232" t="inlineStr">
        <is>
          <t>up</t>
        </is>
      </c>
      <c r="F232" t="inlineStr">
        <is>
          <t>to GPU-008 ib6</t>
        </is>
      </c>
      <c r="G232" t="inlineStr">
        <is>
          <t>OSFP-400G-SR4</t>
        </is>
      </c>
    </row>
    <row r="233">
      <c r="A233" t="inlineStr">
        <is>
          <t>TN-DC-002-GPU-008</t>
        </is>
      </c>
      <c r="B233" t="inlineStr">
        <is>
          <t>ib7</t>
        </is>
      </c>
      <c r="C233" t="inlineStr">
        <is>
          <t>400G NDR</t>
        </is>
      </c>
      <c r="D233" t="n">
        <v>400000</v>
      </c>
      <c r="E233" t="inlineStr">
        <is>
          <t>up</t>
        </is>
      </c>
      <c r="F233" t="inlineStr">
        <is>
          <t>to IB-LEAF-02 IB1/32</t>
        </is>
      </c>
      <c r="G233" t="inlineStr">
        <is>
          <t>OSFP-400G-SR4</t>
        </is>
      </c>
    </row>
    <row r="234">
      <c r="A234" t="inlineStr">
        <is>
          <t>TN-DC-002-IB-LEAF-02</t>
        </is>
      </c>
      <c r="B234" t="inlineStr">
        <is>
          <t>IB1/32</t>
        </is>
      </c>
      <c r="C234" t="inlineStr">
        <is>
          <t>400G NDR</t>
        </is>
      </c>
      <c r="D234" t="n">
        <v>400000</v>
      </c>
      <c r="E234" t="inlineStr">
        <is>
          <t>up</t>
        </is>
      </c>
      <c r="F234" t="inlineStr">
        <is>
          <t>to GPU-008 ib7</t>
        </is>
      </c>
      <c r="G234" t="inlineStr">
        <is>
          <t>OSFP-400G-SR4</t>
        </is>
      </c>
    </row>
    <row r="235">
      <c r="A235" t="inlineStr">
        <is>
          <t>TN-DC-002-GPU-008</t>
        </is>
      </c>
      <c r="B235" t="inlineStr">
        <is>
          <t>eth0</t>
        </is>
      </c>
      <c r="C235" t="inlineStr">
        <is>
          <t>100GE</t>
        </is>
      </c>
      <c r="D235" t="n">
        <v>100000</v>
      </c>
      <c r="E235" t="inlineStr">
        <is>
          <t>up</t>
        </is>
      </c>
      <c r="F235" t="inlineStr">
        <is>
          <t>to ETH-LEAF-01 Ethernet8/1</t>
        </is>
      </c>
    </row>
    <row r="236">
      <c r="A236" t="inlineStr">
        <is>
          <t>TN-DC-002-ETH-LEAF-01</t>
        </is>
      </c>
      <c r="B236" t="inlineStr">
        <is>
          <t>Ethernet8/1</t>
        </is>
      </c>
      <c r="C236" t="inlineStr">
        <is>
          <t>100GE</t>
        </is>
      </c>
      <c r="D236" t="n">
        <v>100000</v>
      </c>
      <c r="E236" t="inlineStr">
        <is>
          <t>up</t>
        </is>
      </c>
      <c r="F236" t="inlineStr">
        <is>
          <t>to GPU-008 eth0</t>
        </is>
      </c>
    </row>
    <row r="237">
      <c r="A237" t="inlineStr">
        <is>
          <t>TN-DC-002-GPU-008</t>
        </is>
      </c>
      <c r="B237" t="inlineStr">
        <is>
          <t>eth1</t>
        </is>
      </c>
      <c r="C237" t="inlineStr">
        <is>
          <t>100GE</t>
        </is>
      </c>
      <c r="D237" t="n">
        <v>100000</v>
      </c>
      <c r="E237" t="inlineStr">
        <is>
          <t>up</t>
        </is>
      </c>
      <c r="F237" t="inlineStr">
        <is>
          <t>to ETH-LEAF-02 Ethernet8/1</t>
        </is>
      </c>
    </row>
    <row r="238">
      <c r="A238" t="inlineStr">
        <is>
          <t>TN-DC-002-ETH-LEAF-02</t>
        </is>
      </c>
      <c r="B238" t="inlineStr">
        <is>
          <t>Ethernet8/1</t>
        </is>
      </c>
      <c r="C238" t="inlineStr">
        <is>
          <t>100GE</t>
        </is>
      </c>
      <c r="D238" t="n">
        <v>100000</v>
      </c>
      <c r="E238" t="inlineStr">
        <is>
          <t>up</t>
        </is>
      </c>
      <c r="F238" t="inlineStr">
        <is>
          <t>to GPU-008 eth1</t>
        </is>
      </c>
    </row>
    <row r="239">
      <c r="A239" t="inlineStr">
        <is>
          <t>TN-DC-002-STG-001</t>
        </is>
      </c>
      <c r="B239" t="inlineStr">
        <is>
          <t>eth0</t>
        </is>
      </c>
      <c r="C239" t="inlineStr">
        <is>
          <t>100GE</t>
        </is>
      </c>
      <c r="D239" t="n">
        <v>100000</v>
      </c>
      <c r="E239" t="inlineStr">
        <is>
          <t>up</t>
        </is>
      </c>
      <c r="F239" t="inlineStr">
        <is>
          <t>to ETH-LEAF-01 Ethernet20/1</t>
        </is>
      </c>
    </row>
    <row r="240">
      <c r="A240" t="inlineStr">
        <is>
          <t>TN-DC-002-ETH-LEAF-01</t>
        </is>
      </c>
      <c r="B240" t="inlineStr">
        <is>
          <t>Ethernet20/1</t>
        </is>
      </c>
      <c r="C240" t="inlineStr">
        <is>
          <t>100GE</t>
        </is>
      </c>
      <c r="D240" t="n">
        <v>100000</v>
      </c>
      <c r="E240" t="inlineStr">
        <is>
          <t>up</t>
        </is>
      </c>
      <c r="F240" t="inlineStr">
        <is>
          <t>to STG-001 eth0</t>
        </is>
      </c>
    </row>
    <row r="241">
      <c r="A241" t="inlineStr">
        <is>
          <t>TN-DC-002-STG-001</t>
        </is>
      </c>
      <c r="B241" t="inlineStr">
        <is>
          <t>eth1</t>
        </is>
      </c>
      <c r="C241" t="inlineStr">
        <is>
          <t>100GE</t>
        </is>
      </c>
      <c r="D241" t="n">
        <v>100000</v>
      </c>
      <c r="E241" t="inlineStr">
        <is>
          <t>up</t>
        </is>
      </c>
      <c r="F241" t="inlineStr">
        <is>
          <t>to ETH-LEAF-02 Ethernet20/1</t>
        </is>
      </c>
    </row>
    <row r="242">
      <c r="A242" t="inlineStr">
        <is>
          <t>TN-DC-002-ETH-LEAF-02</t>
        </is>
      </c>
      <c r="B242" t="inlineStr">
        <is>
          <t>Ethernet20/1</t>
        </is>
      </c>
      <c r="C242" t="inlineStr">
        <is>
          <t>100GE</t>
        </is>
      </c>
      <c r="D242" t="n">
        <v>100000</v>
      </c>
      <c r="E242" t="inlineStr">
        <is>
          <t>up</t>
        </is>
      </c>
      <c r="F242" t="inlineStr">
        <is>
          <t>to STG-001 eth1</t>
        </is>
      </c>
    </row>
    <row r="243">
      <c r="A243" t="inlineStr">
        <is>
          <t>TN-DC-002-STG-002</t>
        </is>
      </c>
      <c r="B243" t="inlineStr">
        <is>
          <t>eth0</t>
        </is>
      </c>
      <c r="C243" t="inlineStr">
        <is>
          <t>100GE</t>
        </is>
      </c>
      <c r="D243" t="n">
        <v>100000</v>
      </c>
      <c r="E243" t="inlineStr">
        <is>
          <t>up</t>
        </is>
      </c>
      <c r="F243" t="inlineStr">
        <is>
          <t>to ETH-LEAF-01 Ethernet21/1</t>
        </is>
      </c>
    </row>
    <row r="244">
      <c r="A244" t="inlineStr">
        <is>
          <t>TN-DC-002-ETH-LEAF-01</t>
        </is>
      </c>
      <c r="B244" t="inlineStr">
        <is>
          <t>Ethernet21/1</t>
        </is>
      </c>
      <c r="C244" t="inlineStr">
        <is>
          <t>100GE</t>
        </is>
      </c>
      <c r="D244" t="n">
        <v>100000</v>
      </c>
      <c r="E244" t="inlineStr">
        <is>
          <t>up</t>
        </is>
      </c>
      <c r="F244" t="inlineStr">
        <is>
          <t>to STG-002 eth0</t>
        </is>
      </c>
    </row>
    <row r="245">
      <c r="A245" t="inlineStr">
        <is>
          <t>TN-DC-002-STG-002</t>
        </is>
      </c>
      <c r="B245" t="inlineStr">
        <is>
          <t>eth1</t>
        </is>
      </c>
      <c r="C245" t="inlineStr">
        <is>
          <t>100GE</t>
        </is>
      </c>
      <c r="D245" t="n">
        <v>100000</v>
      </c>
      <c r="E245" t="inlineStr">
        <is>
          <t>up</t>
        </is>
      </c>
      <c r="F245" t="inlineStr">
        <is>
          <t>to ETH-LEAF-02 Ethernet21/1</t>
        </is>
      </c>
    </row>
    <row r="246">
      <c r="A246" t="inlineStr">
        <is>
          <t>TN-DC-002-ETH-LEAF-02</t>
        </is>
      </c>
      <c r="B246" t="inlineStr">
        <is>
          <t>Ethernet21/1</t>
        </is>
      </c>
      <c r="C246" t="inlineStr">
        <is>
          <t>100GE</t>
        </is>
      </c>
      <c r="D246" t="n">
        <v>100000</v>
      </c>
      <c r="E246" t="inlineStr">
        <is>
          <t>up</t>
        </is>
      </c>
      <c r="F246" t="inlineStr">
        <is>
          <t>to STG-002 eth1</t>
        </is>
      </c>
    </row>
    <row r="247">
      <c r="A247" t="inlineStr">
        <is>
          <t>TN-DC-002-CPU-0001</t>
        </is>
      </c>
      <c r="B247" t="inlineStr">
        <is>
          <t>eth0</t>
        </is>
      </c>
      <c r="C247" t="inlineStr">
        <is>
          <t>100GE</t>
        </is>
      </c>
      <c r="D247" t="n">
        <v>100000</v>
      </c>
      <c r="E247" t="inlineStr">
        <is>
          <t>up</t>
        </is>
      </c>
      <c r="F247" t="inlineStr">
        <is>
          <t>to ETH-LEAF-01 Ethernet22/1</t>
        </is>
      </c>
    </row>
    <row r="248">
      <c r="A248" t="inlineStr">
        <is>
          <t>TN-DC-002-ETH-LEAF-01</t>
        </is>
      </c>
      <c r="B248" t="inlineStr">
        <is>
          <t>Ethernet22/1</t>
        </is>
      </c>
      <c r="C248" t="inlineStr">
        <is>
          <t>100GE</t>
        </is>
      </c>
      <c r="D248" t="n">
        <v>100000</v>
      </c>
      <c r="E248" t="inlineStr">
        <is>
          <t>up</t>
        </is>
      </c>
      <c r="F248" t="inlineStr">
        <is>
          <t>to CPU-0001 eth0</t>
        </is>
      </c>
    </row>
    <row r="249">
      <c r="A249" t="inlineStr">
        <is>
          <t>TN-DC-002-CPU-0001</t>
        </is>
      </c>
      <c r="B249" t="inlineStr">
        <is>
          <t>eth1</t>
        </is>
      </c>
      <c r="C249" t="inlineStr">
        <is>
          <t>100GE</t>
        </is>
      </c>
      <c r="D249" t="n">
        <v>100000</v>
      </c>
      <c r="E249" t="inlineStr">
        <is>
          <t>up</t>
        </is>
      </c>
      <c r="F249" t="inlineStr">
        <is>
          <t>to ETH-LEAF-02 Ethernet22/1</t>
        </is>
      </c>
    </row>
    <row r="250">
      <c r="A250" t="inlineStr">
        <is>
          <t>TN-DC-002-ETH-LEAF-02</t>
        </is>
      </c>
      <c r="B250" t="inlineStr">
        <is>
          <t>Ethernet22/1</t>
        </is>
      </c>
      <c r="C250" t="inlineStr">
        <is>
          <t>100GE</t>
        </is>
      </c>
      <c r="D250" t="n">
        <v>100000</v>
      </c>
      <c r="E250" t="inlineStr">
        <is>
          <t>up</t>
        </is>
      </c>
      <c r="F250" t="inlineStr">
        <is>
          <t>to CPU-0001 eth1</t>
        </is>
      </c>
    </row>
    <row r="251">
      <c r="A251" t="inlineStr">
        <is>
          <t>TN-DC-002-CPU-0002</t>
        </is>
      </c>
      <c r="B251" t="inlineStr">
        <is>
          <t>eth0</t>
        </is>
      </c>
      <c r="C251" t="inlineStr">
        <is>
          <t>100GE</t>
        </is>
      </c>
      <c r="D251" t="n">
        <v>100000</v>
      </c>
      <c r="E251" t="inlineStr">
        <is>
          <t>up</t>
        </is>
      </c>
      <c r="F251" t="inlineStr">
        <is>
          <t>to ETH-LEAF-01 Ethernet23/1</t>
        </is>
      </c>
    </row>
    <row r="252">
      <c r="A252" t="inlineStr">
        <is>
          <t>TN-DC-002-ETH-LEAF-01</t>
        </is>
      </c>
      <c r="B252" t="inlineStr">
        <is>
          <t>Ethernet23/1</t>
        </is>
      </c>
      <c r="C252" t="inlineStr">
        <is>
          <t>100GE</t>
        </is>
      </c>
      <c r="D252" t="n">
        <v>100000</v>
      </c>
      <c r="E252" t="inlineStr">
        <is>
          <t>up</t>
        </is>
      </c>
      <c r="F252" t="inlineStr">
        <is>
          <t>to CPU-0002 eth0</t>
        </is>
      </c>
    </row>
    <row r="253">
      <c r="A253" t="inlineStr">
        <is>
          <t>TN-DC-002-CPU-0002</t>
        </is>
      </c>
      <c r="B253" t="inlineStr">
        <is>
          <t>eth1</t>
        </is>
      </c>
      <c r="C253" t="inlineStr">
        <is>
          <t>100GE</t>
        </is>
      </c>
      <c r="D253" t="n">
        <v>100000</v>
      </c>
      <c r="E253" t="inlineStr">
        <is>
          <t>up</t>
        </is>
      </c>
      <c r="F253" t="inlineStr">
        <is>
          <t>to ETH-LEAF-02 Ethernet23/1</t>
        </is>
      </c>
    </row>
    <row r="254">
      <c r="A254" t="inlineStr">
        <is>
          <t>TN-DC-002-ETH-LEAF-02</t>
        </is>
      </c>
      <c r="B254" t="inlineStr">
        <is>
          <t>Ethernet23/1</t>
        </is>
      </c>
      <c r="C254" t="inlineStr">
        <is>
          <t>100GE</t>
        </is>
      </c>
      <c r="D254" t="n">
        <v>100000</v>
      </c>
      <c r="E254" t="inlineStr">
        <is>
          <t>up</t>
        </is>
      </c>
      <c r="F254" t="inlineStr">
        <is>
          <t>to CPU-0002 eth1</t>
        </is>
      </c>
    </row>
    <row r="255">
      <c r="A255" t="inlineStr">
        <is>
          <t>TN-DC-002-OOB-01</t>
        </is>
      </c>
      <c r="B255" t="inlineStr">
        <is>
          <t>swp1</t>
        </is>
      </c>
      <c r="C255" t="inlineStr">
        <is>
          <t>1GE</t>
        </is>
      </c>
      <c r="D255" t="n">
        <v>1000</v>
      </c>
      <c r="E255" t="inlineStr">
        <is>
          <t>up</t>
        </is>
      </c>
      <c r="F255" t="inlineStr">
        <is>
          <t>to BDR-01 mgmt0</t>
        </is>
      </c>
    </row>
    <row r="256">
      <c r="A256" t="inlineStr">
        <is>
          <t>TN-DC-002-BDR-01</t>
        </is>
      </c>
      <c r="B256" t="inlineStr">
        <is>
          <t>mgmt0</t>
        </is>
      </c>
      <c r="C256" t="inlineStr">
        <is>
          <t>1GE</t>
        </is>
      </c>
      <c r="D256" t="n">
        <v>1000</v>
      </c>
      <c r="E256" t="inlineStr">
        <is>
          <t>up</t>
        </is>
      </c>
      <c r="F256" t="inlineStr">
        <is>
          <t>to OOB-01 swp1</t>
        </is>
      </c>
    </row>
    <row r="257">
      <c r="A257" t="inlineStr">
        <is>
          <t>TN-DC-002-OOB-01</t>
        </is>
      </c>
      <c r="B257" t="inlineStr">
        <is>
          <t>swp2</t>
        </is>
      </c>
      <c r="C257" t="inlineStr">
        <is>
          <t>1GE</t>
        </is>
      </c>
      <c r="D257" t="n">
        <v>1000</v>
      </c>
      <c r="E257" t="inlineStr">
        <is>
          <t>up</t>
        </is>
      </c>
      <c r="F257" t="inlineStr">
        <is>
          <t>to BDR-02 mgmt0</t>
        </is>
      </c>
    </row>
    <row r="258">
      <c r="A258" t="inlineStr">
        <is>
          <t>TN-DC-002-BDR-02</t>
        </is>
      </c>
      <c r="B258" t="inlineStr">
        <is>
          <t>mgmt0</t>
        </is>
      </c>
      <c r="C258" t="inlineStr">
        <is>
          <t>1GE</t>
        </is>
      </c>
      <c r="D258" t="n">
        <v>1000</v>
      </c>
      <c r="E258" t="inlineStr">
        <is>
          <t>up</t>
        </is>
      </c>
      <c r="F258" t="inlineStr">
        <is>
          <t>to OOB-01 swp2</t>
        </is>
      </c>
    </row>
    <row r="259">
      <c r="A259" t="inlineStr">
        <is>
          <t>TN-DC-002-OOB-01</t>
        </is>
      </c>
      <c r="B259" t="inlineStr">
        <is>
          <t>swp3</t>
        </is>
      </c>
      <c r="C259" t="inlineStr">
        <is>
          <t>1GE</t>
        </is>
      </c>
      <c r="D259" t="n">
        <v>1000</v>
      </c>
      <c r="E259" t="inlineStr">
        <is>
          <t>up</t>
        </is>
      </c>
      <c r="F259" t="inlineStr">
        <is>
          <t>to FW-01 mgmt0</t>
        </is>
      </c>
    </row>
    <row r="260">
      <c r="A260" t="inlineStr">
        <is>
          <t>TN-DC-002-FW-01</t>
        </is>
      </c>
      <c r="B260" t="inlineStr">
        <is>
          <t>mgmt0</t>
        </is>
      </c>
      <c r="C260" t="inlineStr">
        <is>
          <t>1GE</t>
        </is>
      </c>
      <c r="D260" t="n">
        <v>1000</v>
      </c>
      <c r="E260" t="inlineStr">
        <is>
          <t>up</t>
        </is>
      </c>
      <c r="F260" t="inlineStr">
        <is>
          <t>to OOB-01 swp3</t>
        </is>
      </c>
    </row>
    <row r="261">
      <c r="A261" t="inlineStr">
        <is>
          <t>TN-DC-002-OOB-01</t>
        </is>
      </c>
      <c r="B261" t="inlineStr">
        <is>
          <t>swp4</t>
        </is>
      </c>
      <c r="C261" t="inlineStr">
        <is>
          <t>1GE</t>
        </is>
      </c>
      <c r="D261" t="n">
        <v>1000</v>
      </c>
      <c r="E261" t="inlineStr">
        <is>
          <t>up</t>
        </is>
      </c>
      <c r="F261" t="inlineStr">
        <is>
          <t>to FW-02 mgmt0</t>
        </is>
      </c>
    </row>
    <row r="262">
      <c r="A262" t="inlineStr">
        <is>
          <t>TN-DC-002-FW-02</t>
        </is>
      </c>
      <c r="B262" t="inlineStr">
        <is>
          <t>mgmt0</t>
        </is>
      </c>
      <c r="C262" t="inlineStr">
        <is>
          <t>1GE</t>
        </is>
      </c>
      <c r="D262" t="n">
        <v>1000</v>
      </c>
      <c r="E262" t="inlineStr">
        <is>
          <t>up</t>
        </is>
      </c>
      <c r="F262" t="inlineStr">
        <is>
          <t>to OOB-01 swp4</t>
        </is>
      </c>
    </row>
    <row r="263">
      <c r="A263" t="inlineStr">
        <is>
          <t>TN-DC-002-OOB-01</t>
        </is>
      </c>
      <c r="B263" t="inlineStr">
        <is>
          <t>swp5</t>
        </is>
      </c>
      <c r="C263" t="inlineStr">
        <is>
          <t>1GE</t>
        </is>
      </c>
      <c r="D263" t="n">
        <v>1000</v>
      </c>
      <c r="E263" t="inlineStr">
        <is>
          <t>up</t>
        </is>
      </c>
      <c r="F263" t="inlineStr">
        <is>
          <t>to IB-SPINE-01 mgmt0</t>
        </is>
      </c>
    </row>
    <row r="264">
      <c r="A264" t="inlineStr">
        <is>
          <t>TN-DC-002-IB-SPINE-01</t>
        </is>
      </c>
      <c r="B264" t="inlineStr">
        <is>
          <t>mgmt0</t>
        </is>
      </c>
      <c r="C264" t="inlineStr">
        <is>
          <t>1GE</t>
        </is>
      </c>
      <c r="D264" t="n">
        <v>1000</v>
      </c>
      <c r="E264" t="inlineStr">
        <is>
          <t>up</t>
        </is>
      </c>
      <c r="F264" t="inlineStr">
        <is>
          <t>to OOB-01 swp5</t>
        </is>
      </c>
    </row>
    <row r="265">
      <c r="A265" t="inlineStr">
        <is>
          <t>TN-DC-002-OOB-01</t>
        </is>
      </c>
      <c r="B265" t="inlineStr">
        <is>
          <t>swp6</t>
        </is>
      </c>
      <c r="C265" t="inlineStr">
        <is>
          <t>1GE</t>
        </is>
      </c>
      <c r="D265" t="n">
        <v>1000</v>
      </c>
      <c r="E265" t="inlineStr">
        <is>
          <t>up</t>
        </is>
      </c>
      <c r="F265" t="inlineStr">
        <is>
          <t>to IB-SPINE-02 mgmt0</t>
        </is>
      </c>
    </row>
    <row r="266">
      <c r="A266" t="inlineStr">
        <is>
          <t>TN-DC-002-IB-SPINE-02</t>
        </is>
      </c>
      <c r="B266" t="inlineStr">
        <is>
          <t>mgmt0</t>
        </is>
      </c>
      <c r="C266" t="inlineStr">
        <is>
          <t>1GE</t>
        </is>
      </c>
      <c r="D266" t="n">
        <v>1000</v>
      </c>
      <c r="E266" t="inlineStr">
        <is>
          <t>up</t>
        </is>
      </c>
      <c r="F266" t="inlineStr">
        <is>
          <t>to OOB-01 swp6</t>
        </is>
      </c>
    </row>
    <row r="267">
      <c r="A267" t="inlineStr">
        <is>
          <t>TN-DC-002-OOB-01</t>
        </is>
      </c>
      <c r="B267" t="inlineStr">
        <is>
          <t>swp7</t>
        </is>
      </c>
      <c r="C267" t="inlineStr">
        <is>
          <t>1GE</t>
        </is>
      </c>
      <c r="D267" t="n">
        <v>1000</v>
      </c>
      <c r="E267" t="inlineStr">
        <is>
          <t>up</t>
        </is>
      </c>
      <c r="F267" t="inlineStr">
        <is>
          <t>to ETH-SPINE-01 mgmt0</t>
        </is>
      </c>
    </row>
    <row r="268">
      <c r="A268" t="inlineStr">
        <is>
          <t>TN-DC-002-ETH-SPINE-01</t>
        </is>
      </c>
      <c r="B268" t="inlineStr">
        <is>
          <t>mgmt0</t>
        </is>
      </c>
      <c r="C268" t="inlineStr">
        <is>
          <t>1GE</t>
        </is>
      </c>
      <c r="D268" t="n">
        <v>1000</v>
      </c>
      <c r="E268" t="inlineStr">
        <is>
          <t>up</t>
        </is>
      </c>
      <c r="F268" t="inlineStr">
        <is>
          <t>to OOB-01 swp7</t>
        </is>
      </c>
    </row>
    <row r="269">
      <c r="A269" t="inlineStr">
        <is>
          <t>TN-DC-002-OOB-01</t>
        </is>
      </c>
      <c r="B269" t="inlineStr">
        <is>
          <t>swp8</t>
        </is>
      </c>
      <c r="C269" t="inlineStr">
        <is>
          <t>1GE</t>
        </is>
      </c>
      <c r="D269" t="n">
        <v>1000</v>
      </c>
      <c r="E269" t="inlineStr">
        <is>
          <t>up</t>
        </is>
      </c>
      <c r="F269" t="inlineStr">
        <is>
          <t>to ETH-SPINE-02 mgmt0</t>
        </is>
      </c>
    </row>
    <row r="270">
      <c r="A270" t="inlineStr">
        <is>
          <t>TN-DC-002-ETH-SPINE-02</t>
        </is>
      </c>
      <c r="B270" t="inlineStr">
        <is>
          <t>mgmt0</t>
        </is>
      </c>
      <c r="C270" t="inlineStr">
        <is>
          <t>1GE</t>
        </is>
      </c>
      <c r="D270" t="n">
        <v>1000</v>
      </c>
      <c r="E270" t="inlineStr">
        <is>
          <t>up</t>
        </is>
      </c>
      <c r="F270" t="inlineStr">
        <is>
          <t>to OOB-01 swp8</t>
        </is>
      </c>
    </row>
    <row r="271">
      <c r="A271" t="inlineStr">
        <is>
          <t>TN-DC-002-OOB-01</t>
        </is>
      </c>
      <c r="B271" t="inlineStr">
        <is>
          <t>swp9</t>
        </is>
      </c>
      <c r="C271" t="inlineStr">
        <is>
          <t>1GE</t>
        </is>
      </c>
      <c r="D271" t="n">
        <v>1000</v>
      </c>
      <c r="E271" t="inlineStr">
        <is>
          <t>up</t>
        </is>
      </c>
      <c r="F271" t="inlineStr">
        <is>
          <t>to IB-LEAF-01 mgmt0</t>
        </is>
      </c>
    </row>
    <row r="272">
      <c r="A272" t="inlineStr">
        <is>
          <t>TN-DC-002-IB-LEAF-01</t>
        </is>
      </c>
      <c r="B272" t="inlineStr">
        <is>
          <t>mgmt0</t>
        </is>
      </c>
      <c r="C272" t="inlineStr">
        <is>
          <t>1GE</t>
        </is>
      </c>
      <c r="D272" t="n">
        <v>1000</v>
      </c>
      <c r="E272" t="inlineStr">
        <is>
          <t>up</t>
        </is>
      </c>
      <c r="F272" t="inlineStr">
        <is>
          <t>to OOB-01 swp9</t>
        </is>
      </c>
    </row>
    <row r="273">
      <c r="A273" t="inlineStr">
        <is>
          <t>TN-DC-002-OOB-01</t>
        </is>
      </c>
      <c r="B273" t="inlineStr">
        <is>
          <t>swp10</t>
        </is>
      </c>
      <c r="C273" t="inlineStr">
        <is>
          <t>1GE</t>
        </is>
      </c>
      <c r="D273" t="n">
        <v>1000</v>
      </c>
      <c r="E273" t="inlineStr">
        <is>
          <t>up</t>
        </is>
      </c>
      <c r="F273" t="inlineStr">
        <is>
          <t>to IB-LEAF-02 mgmt0</t>
        </is>
      </c>
    </row>
    <row r="274">
      <c r="A274" t="inlineStr">
        <is>
          <t>TN-DC-002-IB-LEAF-02</t>
        </is>
      </c>
      <c r="B274" t="inlineStr">
        <is>
          <t>mgmt0</t>
        </is>
      </c>
      <c r="C274" t="inlineStr">
        <is>
          <t>1GE</t>
        </is>
      </c>
      <c r="D274" t="n">
        <v>1000</v>
      </c>
      <c r="E274" t="inlineStr">
        <is>
          <t>up</t>
        </is>
      </c>
      <c r="F274" t="inlineStr">
        <is>
          <t>to OOB-01 swp10</t>
        </is>
      </c>
    </row>
    <row r="275">
      <c r="A275" t="inlineStr">
        <is>
          <t>TN-DC-002-OOB-01</t>
        </is>
      </c>
      <c r="B275" t="inlineStr">
        <is>
          <t>swp11</t>
        </is>
      </c>
      <c r="C275" t="inlineStr">
        <is>
          <t>1GE</t>
        </is>
      </c>
      <c r="D275" t="n">
        <v>1000</v>
      </c>
      <c r="E275" t="inlineStr">
        <is>
          <t>up</t>
        </is>
      </c>
      <c r="F275" t="inlineStr">
        <is>
          <t>to ETH-LEAF-01 mgmt0</t>
        </is>
      </c>
    </row>
    <row r="276">
      <c r="A276" t="inlineStr">
        <is>
          <t>TN-DC-002-ETH-LEAF-01</t>
        </is>
      </c>
      <c r="B276" t="inlineStr">
        <is>
          <t>mgmt0</t>
        </is>
      </c>
      <c r="C276" t="inlineStr">
        <is>
          <t>1GE</t>
        </is>
      </c>
      <c r="D276" t="n">
        <v>1000</v>
      </c>
      <c r="E276" t="inlineStr">
        <is>
          <t>up</t>
        </is>
      </c>
      <c r="F276" t="inlineStr">
        <is>
          <t>to OOB-01 swp11</t>
        </is>
      </c>
    </row>
    <row r="277">
      <c r="A277" t="inlineStr">
        <is>
          <t>TN-DC-002-OOB-01</t>
        </is>
      </c>
      <c r="B277" t="inlineStr">
        <is>
          <t>swp12</t>
        </is>
      </c>
      <c r="C277" t="inlineStr">
        <is>
          <t>1GE</t>
        </is>
      </c>
      <c r="D277" t="n">
        <v>1000</v>
      </c>
      <c r="E277" t="inlineStr">
        <is>
          <t>up</t>
        </is>
      </c>
      <c r="F277" t="inlineStr">
        <is>
          <t>to ETH-LEAF-02 mgmt0</t>
        </is>
      </c>
    </row>
    <row r="278">
      <c r="A278" t="inlineStr">
        <is>
          <t>TN-DC-002-ETH-LEAF-02</t>
        </is>
      </c>
      <c r="B278" t="inlineStr">
        <is>
          <t>mgmt0</t>
        </is>
      </c>
      <c r="C278" t="inlineStr">
        <is>
          <t>1GE</t>
        </is>
      </c>
      <c r="D278" t="n">
        <v>1000</v>
      </c>
      <c r="E278" t="inlineStr">
        <is>
          <t>up</t>
        </is>
      </c>
      <c r="F278" t="inlineStr">
        <is>
          <t>to OOB-01 swp12</t>
        </is>
      </c>
    </row>
    <row r="279">
      <c r="A279" t="inlineStr">
        <is>
          <t>TN-DC-002-OOB-01</t>
        </is>
      </c>
      <c r="B279" t="inlineStr">
        <is>
          <t>swp13</t>
        </is>
      </c>
      <c r="C279" t="inlineStr">
        <is>
          <t>1GE</t>
        </is>
      </c>
      <c r="D279" t="n">
        <v>1000</v>
      </c>
      <c r="E279" t="inlineStr">
        <is>
          <t>up</t>
        </is>
      </c>
      <c r="F279" t="inlineStr">
        <is>
          <t>to STG-001 mgmt0</t>
        </is>
      </c>
    </row>
    <row r="280">
      <c r="A280" t="inlineStr">
        <is>
          <t>TN-DC-002-STG-001</t>
        </is>
      </c>
      <c r="B280" t="inlineStr">
        <is>
          <t>mgmt0</t>
        </is>
      </c>
      <c r="C280" t="inlineStr">
        <is>
          <t>1GE</t>
        </is>
      </c>
      <c r="D280" t="n">
        <v>1000</v>
      </c>
      <c r="E280" t="inlineStr">
        <is>
          <t>up</t>
        </is>
      </c>
      <c r="F280" t="inlineStr">
        <is>
          <t>to OOB-01 swp13</t>
        </is>
      </c>
    </row>
    <row r="281">
      <c r="A281" t="inlineStr">
        <is>
          <t>TN-DC-002-OOB-01</t>
        </is>
      </c>
      <c r="B281" t="inlineStr">
        <is>
          <t>swp14</t>
        </is>
      </c>
      <c r="C281" t="inlineStr">
        <is>
          <t>1GE</t>
        </is>
      </c>
      <c r="D281" t="n">
        <v>1000</v>
      </c>
      <c r="E281" t="inlineStr">
        <is>
          <t>up</t>
        </is>
      </c>
      <c r="F281" t="inlineStr">
        <is>
          <t>to STG-002 mgmt0</t>
        </is>
      </c>
    </row>
    <row r="282">
      <c r="A282" t="inlineStr">
        <is>
          <t>TN-DC-002-STG-002</t>
        </is>
      </c>
      <c r="B282" t="inlineStr">
        <is>
          <t>mgmt0</t>
        </is>
      </c>
      <c r="C282" t="inlineStr">
        <is>
          <t>1GE</t>
        </is>
      </c>
      <c r="D282" t="n">
        <v>1000</v>
      </c>
      <c r="E282" t="inlineStr">
        <is>
          <t>up</t>
        </is>
      </c>
      <c r="F282" t="inlineStr">
        <is>
          <t>to OOB-01 swp14</t>
        </is>
      </c>
    </row>
    <row r="283">
      <c r="A283" t="inlineStr">
        <is>
          <t>TN-DC-002-OOB-01</t>
        </is>
      </c>
      <c r="B283" t="inlineStr">
        <is>
          <t>swp15</t>
        </is>
      </c>
      <c r="C283" t="inlineStr">
        <is>
          <t>1GE</t>
        </is>
      </c>
      <c r="D283" t="n">
        <v>1000</v>
      </c>
      <c r="E283" t="inlineStr">
        <is>
          <t>up</t>
        </is>
      </c>
      <c r="F283" t="inlineStr">
        <is>
          <t>to CPU-0001 mgmt0</t>
        </is>
      </c>
    </row>
    <row r="284">
      <c r="A284" t="inlineStr">
        <is>
          <t>TN-DC-002-CPU-0001</t>
        </is>
      </c>
      <c r="B284" t="inlineStr">
        <is>
          <t>mgmt0</t>
        </is>
      </c>
      <c r="C284" t="inlineStr">
        <is>
          <t>1GE</t>
        </is>
      </c>
      <c r="D284" t="n">
        <v>1000</v>
      </c>
      <c r="E284" t="inlineStr">
        <is>
          <t>up</t>
        </is>
      </c>
      <c r="F284" t="inlineStr">
        <is>
          <t>to OOB-01 swp15</t>
        </is>
      </c>
    </row>
    <row r="285">
      <c r="A285" t="inlineStr">
        <is>
          <t>TN-DC-002-OOB-01</t>
        </is>
      </c>
      <c r="B285" t="inlineStr">
        <is>
          <t>swp16</t>
        </is>
      </c>
      <c r="C285" t="inlineStr">
        <is>
          <t>1GE</t>
        </is>
      </c>
      <c r="D285" t="n">
        <v>1000</v>
      </c>
      <c r="E285" t="inlineStr">
        <is>
          <t>up</t>
        </is>
      </c>
      <c r="F285" t="inlineStr">
        <is>
          <t>to CPU-0002 mgmt0</t>
        </is>
      </c>
    </row>
    <row r="286">
      <c r="A286" t="inlineStr">
        <is>
          <t>TN-DC-002-CPU-0002</t>
        </is>
      </c>
      <c r="B286" t="inlineStr">
        <is>
          <t>mgmt0</t>
        </is>
      </c>
      <c r="C286" t="inlineStr">
        <is>
          <t>1GE</t>
        </is>
      </c>
      <c r="D286" t="n">
        <v>1000</v>
      </c>
      <c r="E286" t="inlineStr">
        <is>
          <t>up</t>
        </is>
      </c>
      <c r="F286" t="inlineStr">
        <is>
          <t>to OOB-01 swp16</t>
        </is>
      </c>
    </row>
    <row r="287">
      <c r="A287" t="inlineStr">
        <is>
          <t>TN-DC-002-OOB-01</t>
        </is>
      </c>
      <c r="B287" t="inlineStr">
        <is>
          <t>swp17</t>
        </is>
      </c>
      <c r="C287" t="inlineStr">
        <is>
          <t>1GE</t>
        </is>
      </c>
      <c r="D287" t="n">
        <v>1000</v>
      </c>
      <c r="E287" t="inlineStr">
        <is>
          <t>up</t>
        </is>
      </c>
      <c r="F287" t="inlineStr">
        <is>
          <t>to GPU-001 mgmt0</t>
        </is>
      </c>
    </row>
    <row r="288">
      <c r="A288" t="inlineStr">
        <is>
          <t>TN-DC-002-GPU-001</t>
        </is>
      </c>
      <c r="B288" t="inlineStr">
        <is>
          <t>mgmt0</t>
        </is>
      </c>
      <c r="C288" t="inlineStr">
        <is>
          <t>1GE</t>
        </is>
      </c>
      <c r="D288" t="n">
        <v>1000</v>
      </c>
      <c r="E288" t="inlineStr">
        <is>
          <t>up</t>
        </is>
      </c>
      <c r="F288" t="inlineStr">
        <is>
          <t>to OOB-01 swp17</t>
        </is>
      </c>
    </row>
    <row r="289">
      <c r="A289" t="inlineStr">
        <is>
          <t>TN-DC-002-OOB-01</t>
        </is>
      </c>
      <c r="B289" t="inlineStr">
        <is>
          <t>swp18</t>
        </is>
      </c>
      <c r="C289" t="inlineStr">
        <is>
          <t>1GE</t>
        </is>
      </c>
      <c r="D289" t="n">
        <v>1000</v>
      </c>
      <c r="E289" t="inlineStr">
        <is>
          <t>up</t>
        </is>
      </c>
      <c r="F289" t="inlineStr">
        <is>
          <t>to GPU-002 mgmt0</t>
        </is>
      </c>
    </row>
    <row r="290">
      <c r="A290" t="inlineStr">
        <is>
          <t>TN-DC-002-GPU-002</t>
        </is>
      </c>
      <c r="B290" t="inlineStr">
        <is>
          <t>mgmt0</t>
        </is>
      </c>
      <c r="C290" t="inlineStr">
        <is>
          <t>1GE</t>
        </is>
      </c>
      <c r="D290" t="n">
        <v>1000</v>
      </c>
      <c r="E290" t="inlineStr">
        <is>
          <t>up</t>
        </is>
      </c>
      <c r="F290" t="inlineStr">
        <is>
          <t>to OOB-01 swp18</t>
        </is>
      </c>
    </row>
    <row r="291">
      <c r="A291" t="inlineStr">
        <is>
          <t>TN-DC-002-OOB-01</t>
        </is>
      </c>
      <c r="B291" t="inlineStr">
        <is>
          <t>swp19</t>
        </is>
      </c>
      <c r="C291" t="inlineStr">
        <is>
          <t>1GE</t>
        </is>
      </c>
      <c r="D291" t="n">
        <v>1000</v>
      </c>
      <c r="E291" t="inlineStr">
        <is>
          <t>up</t>
        </is>
      </c>
      <c r="F291" t="inlineStr">
        <is>
          <t>to GPU-003 mgmt0</t>
        </is>
      </c>
    </row>
    <row r="292">
      <c r="A292" t="inlineStr">
        <is>
          <t>TN-DC-002-GPU-003</t>
        </is>
      </c>
      <c r="B292" t="inlineStr">
        <is>
          <t>mgmt0</t>
        </is>
      </c>
      <c r="C292" t="inlineStr">
        <is>
          <t>1GE</t>
        </is>
      </c>
      <c r="D292" t="n">
        <v>1000</v>
      </c>
      <c r="E292" t="inlineStr">
        <is>
          <t>up</t>
        </is>
      </c>
      <c r="F292" t="inlineStr">
        <is>
          <t>to OOB-01 swp19</t>
        </is>
      </c>
    </row>
    <row r="293">
      <c r="A293" t="inlineStr">
        <is>
          <t>TN-DC-002-OOB-01</t>
        </is>
      </c>
      <c r="B293" t="inlineStr">
        <is>
          <t>swp20</t>
        </is>
      </c>
      <c r="C293" t="inlineStr">
        <is>
          <t>1GE</t>
        </is>
      </c>
      <c r="D293" t="n">
        <v>1000</v>
      </c>
      <c r="E293" t="inlineStr">
        <is>
          <t>up</t>
        </is>
      </c>
      <c r="F293" t="inlineStr">
        <is>
          <t>to GPU-004 mgmt0</t>
        </is>
      </c>
    </row>
    <row r="294">
      <c r="A294" t="inlineStr">
        <is>
          <t>TN-DC-002-GPU-004</t>
        </is>
      </c>
      <c r="B294" t="inlineStr">
        <is>
          <t>mgmt0</t>
        </is>
      </c>
      <c r="C294" t="inlineStr">
        <is>
          <t>1GE</t>
        </is>
      </c>
      <c r="D294" t="n">
        <v>1000</v>
      </c>
      <c r="E294" t="inlineStr">
        <is>
          <t>up</t>
        </is>
      </c>
      <c r="F294" t="inlineStr">
        <is>
          <t>to OOB-01 swp20</t>
        </is>
      </c>
    </row>
    <row r="295">
      <c r="A295" t="inlineStr">
        <is>
          <t>TN-DC-002-OOB-01</t>
        </is>
      </c>
      <c r="B295" t="inlineStr">
        <is>
          <t>swp21</t>
        </is>
      </c>
      <c r="C295" t="inlineStr">
        <is>
          <t>1GE</t>
        </is>
      </c>
      <c r="D295" t="n">
        <v>1000</v>
      </c>
      <c r="E295" t="inlineStr">
        <is>
          <t>up</t>
        </is>
      </c>
      <c r="F295" t="inlineStr">
        <is>
          <t>to GPU-005 mgmt0</t>
        </is>
      </c>
    </row>
    <row r="296">
      <c r="A296" t="inlineStr">
        <is>
          <t>TN-DC-002-GPU-005</t>
        </is>
      </c>
      <c r="B296" t="inlineStr">
        <is>
          <t>mgmt0</t>
        </is>
      </c>
      <c r="C296" t="inlineStr">
        <is>
          <t>1GE</t>
        </is>
      </c>
      <c r="D296" t="n">
        <v>1000</v>
      </c>
      <c r="E296" t="inlineStr">
        <is>
          <t>up</t>
        </is>
      </c>
      <c r="F296" t="inlineStr">
        <is>
          <t>to OOB-01 swp21</t>
        </is>
      </c>
    </row>
    <row r="297">
      <c r="A297" t="inlineStr">
        <is>
          <t>TN-DC-002-OOB-01</t>
        </is>
      </c>
      <c r="B297" t="inlineStr">
        <is>
          <t>swp22</t>
        </is>
      </c>
      <c r="C297" t="inlineStr">
        <is>
          <t>1GE</t>
        </is>
      </c>
      <c r="D297" t="n">
        <v>1000</v>
      </c>
      <c r="E297" t="inlineStr">
        <is>
          <t>up</t>
        </is>
      </c>
      <c r="F297" t="inlineStr">
        <is>
          <t>to GPU-006 mgmt0</t>
        </is>
      </c>
    </row>
    <row r="298">
      <c r="A298" t="inlineStr">
        <is>
          <t>TN-DC-002-GPU-006</t>
        </is>
      </c>
      <c r="B298" t="inlineStr">
        <is>
          <t>mgmt0</t>
        </is>
      </c>
      <c r="C298" t="inlineStr">
        <is>
          <t>1GE</t>
        </is>
      </c>
      <c r="D298" t="n">
        <v>1000</v>
      </c>
      <c r="E298" t="inlineStr">
        <is>
          <t>up</t>
        </is>
      </c>
      <c r="F298" t="inlineStr">
        <is>
          <t>to OOB-01 swp22</t>
        </is>
      </c>
    </row>
    <row r="299">
      <c r="A299" t="inlineStr">
        <is>
          <t>TN-DC-002-OOB-01</t>
        </is>
      </c>
      <c r="B299" t="inlineStr">
        <is>
          <t>swp23</t>
        </is>
      </c>
      <c r="C299" t="inlineStr">
        <is>
          <t>1GE</t>
        </is>
      </c>
      <c r="D299" t="n">
        <v>1000</v>
      </c>
      <c r="E299" t="inlineStr">
        <is>
          <t>up</t>
        </is>
      </c>
      <c r="F299" t="inlineStr">
        <is>
          <t>to GPU-007 mgmt0</t>
        </is>
      </c>
    </row>
    <row r="300">
      <c r="A300" t="inlineStr">
        <is>
          <t>TN-DC-002-GPU-007</t>
        </is>
      </c>
      <c r="B300" t="inlineStr">
        <is>
          <t>mgmt0</t>
        </is>
      </c>
      <c r="C300" t="inlineStr">
        <is>
          <t>1GE</t>
        </is>
      </c>
      <c r="D300" t="n">
        <v>1000</v>
      </c>
      <c r="E300" t="inlineStr">
        <is>
          <t>up</t>
        </is>
      </c>
      <c r="F300" t="inlineStr">
        <is>
          <t>to OOB-01 swp23</t>
        </is>
      </c>
    </row>
    <row r="301">
      <c r="A301" t="inlineStr">
        <is>
          <t>TN-DC-002-OOB-01</t>
        </is>
      </c>
      <c r="B301" t="inlineStr">
        <is>
          <t>swp24</t>
        </is>
      </c>
      <c r="C301" t="inlineStr">
        <is>
          <t>1GE</t>
        </is>
      </c>
      <c r="D301" t="n">
        <v>1000</v>
      </c>
      <c r="E301" t="inlineStr">
        <is>
          <t>up</t>
        </is>
      </c>
      <c r="F301" t="inlineStr">
        <is>
          <t>to GPU-008 mgmt0</t>
        </is>
      </c>
    </row>
    <row r="302">
      <c r="A302" t="inlineStr">
        <is>
          <t>TN-DC-002-GPU-008</t>
        </is>
      </c>
      <c r="B302" t="inlineStr">
        <is>
          <t>mgmt0</t>
        </is>
      </c>
      <c r="C302" t="inlineStr">
        <is>
          <t>1GE</t>
        </is>
      </c>
      <c r="D302" t="n">
        <v>1000</v>
      </c>
      <c r="E302" t="inlineStr">
        <is>
          <t>up</t>
        </is>
      </c>
      <c r="F302" t="inlineStr">
        <is>
          <t>to OOB-01 swp24</t>
        </is>
      </c>
    </row>
    <row r="303">
      <c r="A303" t="inlineStr">
        <is>
          <t>MP-DC-001-BDR-01</t>
        </is>
      </c>
      <c r="B303" t="inlineStr">
        <is>
          <t>et-0/0/2</t>
        </is>
      </c>
      <c r="C303" t="inlineStr">
        <is>
          <t>100GE</t>
        </is>
      </c>
      <c r="D303" t="n">
        <v>100000</v>
      </c>
      <c r="E303" t="inlineStr">
        <is>
          <t>up</t>
        </is>
      </c>
      <c r="F303" t="inlineStr">
        <is>
          <t>to BDR-01 et-0/0/2</t>
        </is>
      </c>
      <c r="G303" t="inlineStr">
        <is>
          <t>QSFP28-100G-ZR</t>
        </is>
      </c>
    </row>
    <row r="304">
      <c r="A304" t="inlineStr">
        <is>
          <t>TN-DC-002-BDR-01</t>
        </is>
      </c>
      <c r="B304" t="inlineStr">
        <is>
          <t>et-0/0/2</t>
        </is>
      </c>
      <c r="C304" t="inlineStr">
        <is>
          <t>100GE</t>
        </is>
      </c>
      <c r="D304" t="n">
        <v>100000</v>
      </c>
      <c r="E304" t="inlineStr">
        <is>
          <t>up</t>
        </is>
      </c>
      <c r="F304" t="inlineStr">
        <is>
          <t>to BDR-01 et-0/0/2</t>
        </is>
      </c>
      <c r="G304" t="inlineStr">
        <is>
          <t>QSFP28-100G-ZR</t>
        </is>
      </c>
    </row>
    <row r="305">
      <c r="A305" t="inlineStr">
        <is>
          <t>MP-DC-001-BDR-02</t>
        </is>
      </c>
      <c r="B305" t="inlineStr">
        <is>
          <t>et-0/0/2</t>
        </is>
      </c>
      <c r="C305" t="inlineStr">
        <is>
          <t>100GE</t>
        </is>
      </c>
      <c r="D305" t="n">
        <v>100000</v>
      </c>
      <c r="E305" t="inlineStr">
        <is>
          <t>up</t>
        </is>
      </c>
      <c r="F305" t="inlineStr">
        <is>
          <t>to BDR-02 et-0/0/2</t>
        </is>
      </c>
      <c r="G305" t="inlineStr">
        <is>
          <t>QSFP28-100G-ZR</t>
        </is>
      </c>
    </row>
    <row r="306">
      <c r="A306" t="inlineStr">
        <is>
          <t>TN-DC-002-BDR-02</t>
        </is>
      </c>
      <c r="B306" t="inlineStr">
        <is>
          <t>et-0/0/2</t>
        </is>
      </c>
      <c r="C306" t="inlineStr">
        <is>
          <t>100GE</t>
        </is>
      </c>
      <c r="D306" t="n">
        <v>100000</v>
      </c>
      <c r="E306" t="inlineStr">
        <is>
          <t>up</t>
        </is>
      </c>
      <c r="F306" t="inlineStr">
        <is>
          <t>to BDR-02 et-0/0/2</t>
        </is>
      </c>
      <c r="G306" t="inlineStr">
        <is>
          <t>QSFP28-100G-ZR</t>
        </is>
      </c>
    </row>
  </sheetData>
  <autoFilter ref="A1:G306"/>
  <dataValidations count="1">
    <dataValidation sqref="E2:E2000" showDropDown="0" showInputMessage="0" showErrorMessage="1" allowBlank="1" errorTitle="Not an allowed value" error="Pick a value from the list (Lookups → if_admin)." type="list">
      <formula1>=L_if_admin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E6BD9"/>
    <outlinePr summaryBelow="1" summaryRight="1"/>
    <pageSetUpPr/>
  </sheetPr>
  <dimension ref="A1:M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4" customWidth="1" min="4" max="4"/>
    <col width="14" customWidth="1" min="5" max="5"/>
    <col width="10" customWidth="1" min="6" max="6"/>
    <col width="13" customWidth="1" min="7" max="7"/>
    <col width="18" customWidth="1" min="8" max="8"/>
    <col width="23" customWidth="1" min="9" max="9"/>
    <col width="11" customWidth="1" min="10" max="10"/>
    <col width="17" customWidth="1" min="11" max="11"/>
    <col width="17" customWidth="1" min="12" max="12"/>
    <col width="32" customWidth="1" min="13" max="13"/>
  </cols>
  <sheetData>
    <row r="1" ht="30" customHeight="1">
      <c r="A1" s="16" t="inlineStr">
        <is>
          <t>link_id *</t>
        </is>
      </c>
      <c r="B1" s="16" t="inlineStr">
        <is>
          <t>a_device_id *</t>
        </is>
      </c>
      <c r="C1" s="16" t="inlineStr">
        <is>
          <t>a_if_name *</t>
        </is>
      </c>
      <c r="D1" s="16" t="inlineStr">
        <is>
          <t>z_device_id *</t>
        </is>
      </c>
      <c r="E1" s="16" t="inlineStr">
        <is>
          <t>z_if_name *</t>
        </is>
      </c>
      <c r="F1" s="16" t="inlineStr">
        <is>
          <t>role *</t>
        </is>
      </c>
      <c r="G1" s="17" t="inlineStr">
        <is>
          <t>protocol</t>
        </is>
      </c>
      <c r="H1" s="16" t="inlineStr">
        <is>
          <t>capacity_mbps *</t>
        </is>
      </c>
      <c r="I1" s="17" t="inlineStr">
        <is>
          <t>cable_id</t>
        </is>
      </c>
      <c r="J1" s="17" t="inlineStr">
        <is>
          <t>strand</t>
        </is>
      </c>
      <c r="K1" s="17" t="inlineStr">
        <is>
          <t>a_patch_port</t>
        </is>
      </c>
      <c r="L1" s="17" t="inlineStr">
        <is>
          <t>z_patch_port</t>
        </is>
      </c>
      <c r="M1" s="19" t="inlineStr">
        <is>
          <t>carrier_circuit_id</t>
        </is>
      </c>
    </row>
    <row r="2">
      <c r="A2" t="inlineStr">
        <is>
          <t>LNK-0001</t>
        </is>
      </c>
      <c r="B2" t="inlineStr">
        <is>
          <t>MP-DC-001-BDR-01</t>
        </is>
      </c>
      <c r="C2" t="inlineStr">
        <is>
          <t>et-0/0/0</t>
        </is>
      </c>
      <c r="D2" t="inlineStr">
        <is>
          <t>MP-DC-001-FW-01</t>
        </is>
      </c>
      <c r="E2" t="inlineStr">
        <is>
          <t>port1</t>
        </is>
      </c>
      <c r="F2" t="inlineStr">
        <is>
          <t>Uplink</t>
        </is>
      </c>
      <c r="G2" t="inlineStr">
        <is>
          <t>LLDP</t>
        </is>
      </c>
      <c r="H2" t="n">
        <v>100000</v>
      </c>
      <c r="I2" t="inlineStr">
        <is>
          <t>MP-DC-001-MMR-PC-01</t>
        </is>
      </c>
    </row>
    <row r="3">
      <c r="A3" t="inlineStr">
        <is>
          <t>LNK-0002</t>
        </is>
      </c>
      <c r="B3" t="inlineStr">
        <is>
          <t>MP-DC-001-FW-01</t>
        </is>
      </c>
      <c r="C3" t="inlineStr">
        <is>
          <t>port9</t>
        </is>
      </c>
      <c r="D3" t="inlineStr">
        <is>
          <t>MP-DC-001-AGG-01</t>
        </is>
      </c>
      <c r="E3" t="inlineStr">
        <is>
          <t>Ethernet49/1</t>
        </is>
      </c>
      <c r="F3" t="inlineStr">
        <is>
          <t>Uplink</t>
        </is>
      </c>
      <c r="G3" t="inlineStr">
        <is>
          <t>LLDP</t>
        </is>
      </c>
      <c r="H3" t="n">
        <v>100000</v>
      </c>
      <c r="I3" t="inlineStr">
        <is>
          <t>MP-DC-001-TRK-HA-01</t>
        </is>
      </c>
      <c r="J3" t="inlineStr">
        <is>
          <t>1-2</t>
        </is>
      </c>
      <c r="K3" t="inlineStr">
        <is>
          <t>MMR-ODF-01:1</t>
        </is>
      </c>
      <c r="L3" t="inlineStr">
        <is>
          <t>A01-ODF:1</t>
        </is>
      </c>
    </row>
    <row r="4">
      <c r="A4" t="inlineStr">
        <is>
          <t>LNK-0003</t>
        </is>
      </c>
      <c r="B4" t="inlineStr">
        <is>
          <t>MP-DC-001-AGG-01</t>
        </is>
      </c>
      <c r="C4" t="inlineStr">
        <is>
          <t>Ethernet50/1</t>
        </is>
      </c>
      <c r="D4" t="inlineStr">
        <is>
          <t>MP-DC-001-MMR-SW-01</t>
        </is>
      </c>
      <c r="E4" t="inlineStr">
        <is>
          <t>Ethernet49/1</t>
        </is>
      </c>
      <c r="F4" t="inlineStr">
        <is>
          <t>Uplink</t>
        </is>
      </c>
      <c r="G4" t="inlineStr">
        <is>
          <t>LLDP</t>
        </is>
      </c>
      <c r="H4" t="n">
        <v>100000</v>
      </c>
      <c r="I4" t="inlineStr">
        <is>
          <t>MP-DC-001-TRK-HA-03</t>
        </is>
      </c>
      <c r="J4" t="inlineStr">
        <is>
          <t>5-6</t>
        </is>
      </c>
      <c r="K4" t="inlineStr">
        <is>
          <t>A01-ODF:5</t>
        </is>
      </c>
      <c r="L4" t="inlineStr">
        <is>
          <t>MMR-ODF-01:5</t>
        </is>
      </c>
    </row>
    <row r="5">
      <c r="A5" t="inlineStr">
        <is>
          <t>LNK-0004</t>
        </is>
      </c>
      <c r="B5" t="inlineStr">
        <is>
          <t>MP-DC-001-BDR-02</t>
        </is>
      </c>
      <c r="C5" t="inlineStr">
        <is>
          <t>et-0/0/0</t>
        </is>
      </c>
      <c r="D5" t="inlineStr">
        <is>
          <t>MP-DC-001-FW-02</t>
        </is>
      </c>
      <c r="E5" t="inlineStr">
        <is>
          <t>port1</t>
        </is>
      </c>
      <c r="F5" t="inlineStr">
        <is>
          <t>Uplink</t>
        </is>
      </c>
      <c r="G5" t="inlineStr">
        <is>
          <t>LLDP</t>
        </is>
      </c>
      <c r="H5" t="n">
        <v>100000</v>
      </c>
      <c r="I5" t="inlineStr">
        <is>
          <t>MP-DC-001-MMR-PC-02</t>
        </is>
      </c>
    </row>
    <row r="6">
      <c r="A6" t="inlineStr">
        <is>
          <t>LNK-0005</t>
        </is>
      </c>
      <c r="B6" t="inlineStr">
        <is>
          <t>MP-DC-001-FW-02</t>
        </is>
      </c>
      <c r="C6" t="inlineStr">
        <is>
          <t>port9</t>
        </is>
      </c>
      <c r="D6" t="inlineStr">
        <is>
          <t>MP-DC-001-AGG-02</t>
        </is>
      </c>
      <c r="E6" t="inlineStr">
        <is>
          <t>Ethernet49/1</t>
        </is>
      </c>
      <c r="F6" t="inlineStr">
        <is>
          <t>Uplink</t>
        </is>
      </c>
      <c r="G6" t="inlineStr">
        <is>
          <t>LLDP</t>
        </is>
      </c>
      <c r="H6" t="n">
        <v>100000</v>
      </c>
      <c r="I6" t="inlineStr">
        <is>
          <t>MP-DC-001-TRK-HA-02</t>
        </is>
      </c>
      <c r="J6" t="inlineStr">
        <is>
          <t>3-4</t>
        </is>
      </c>
      <c r="K6" t="inlineStr">
        <is>
          <t>MMR-ODF-01:3</t>
        </is>
      </c>
      <c r="L6" t="inlineStr">
        <is>
          <t>A01-ODF:3</t>
        </is>
      </c>
    </row>
    <row r="7">
      <c r="A7" t="inlineStr">
        <is>
          <t>LNK-0006</t>
        </is>
      </c>
      <c r="B7" t="inlineStr">
        <is>
          <t>MP-DC-001-AGG-02</t>
        </is>
      </c>
      <c r="C7" t="inlineStr">
        <is>
          <t>Ethernet50/1</t>
        </is>
      </c>
      <c r="D7" t="inlineStr">
        <is>
          <t>MP-DC-001-MMR-SW-02</t>
        </is>
      </c>
      <c r="E7" t="inlineStr">
        <is>
          <t>Ethernet49/1</t>
        </is>
      </c>
      <c r="F7" t="inlineStr">
        <is>
          <t>Uplink</t>
        </is>
      </c>
      <c r="G7" t="inlineStr">
        <is>
          <t>LLDP</t>
        </is>
      </c>
      <c r="H7" t="n">
        <v>100000</v>
      </c>
      <c r="I7" t="inlineStr">
        <is>
          <t>MP-DC-001-TRK-HA-04</t>
        </is>
      </c>
      <c r="J7" t="inlineStr">
        <is>
          <t>7-8</t>
        </is>
      </c>
      <c r="K7" t="inlineStr">
        <is>
          <t>A01-ODF:7</t>
        </is>
      </c>
      <c r="L7" t="inlineStr">
        <is>
          <t>MMR-ODF-01:7</t>
        </is>
      </c>
    </row>
    <row r="8">
      <c r="A8" t="inlineStr">
        <is>
          <t>LNK-0007</t>
        </is>
      </c>
      <c r="B8" t="inlineStr">
        <is>
          <t>MP-DC-001-BDR-01</t>
        </is>
      </c>
      <c r="C8" t="inlineStr">
        <is>
          <t>et-0/0/1</t>
        </is>
      </c>
      <c r="D8" t="inlineStr">
        <is>
          <t>MP-DC-001-BDR-02</t>
        </is>
      </c>
      <c r="E8" t="inlineStr">
        <is>
          <t>et-0/0/1</t>
        </is>
      </c>
      <c r="F8" t="inlineStr">
        <is>
          <t>Fabric</t>
        </is>
      </c>
      <c r="G8" t="inlineStr">
        <is>
          <t>LLDP</t>
        </is>
      </c>
      <c r="H8" t="n">
        <v>100000</v>
      </c>
      <c r="I8" t="inlineStr">
        <is>
          <t>MP-DC-001-MMR-PC-05</t>
        </is>
      </c>
    </row>
    <row r="9">
      <c r="A9" t="inlineStr">
        <is>
          <t>LNK-0008</t>
        </is>
      </c>
      <c r="B9" t="inlineStr">
        <is>
          <t>MP-DC-001-AGG-01</t>
        </is>
      </c>
      <c r="C9" t="inlineStr">
        <is>
          <t>Ethernet51/1</t>
        </is>
      </c>
      <c r="D9" t="inlineStr">
        <is>
          <t>MP-DC-001-AGG-02</t>
        </is>
      </c>
      <c r="E9" t="inlineStr">
        <is>
          <t>Ethernet51/1</t>
        </is>
      </c>
      <c r="F9" t="inlineStr">
        <is>
          <t>Fabric</t>
        </is>
      </c>
      <c r="G9" t="inlineStr">
        <is>
          <t>LLDP</t>
        </is>
      </c>
      <c r="H9" t="n">
        <v>100000</v>
      </c>
      <c r="I9" t="inlineStr">
        <is>
          <t>MP-DC-001-A01-PC-01</t>
        </is>
      </c>
    </row>
    <row r="10">
      <c r="A10" t="inlineStr">
        <is>
          <t>LNK-0009</t>
        </is>
      </c>
      <c r="B10" t="inlineStr">
        <is>
          <t>MP-DC-001-OOB-01</t>
        </is>
      </c>
      <c r="C10" t="inlineStr">
        <is>
          <t>GigabitEthernet1/0/1</t>
        </is>
      </c>
      <c r="D10" t="inlineStr">
        <is>
          <t>MP-DC-001-BDR-01</t>
        </is>
      </c>
      <c r="E10" t="inlineStr">
        <is>
          <t>mgmt0</t>
        </is>
      </c>
      <c r="F10" t="inlineStr">
        <is>
          <t>Access</t>
        </is>
      </c>
      <c r="G10" t="inlineStr">
        <is>
          <t>LLDP</t>
        </is>
      </c>
      <c r="H10" t="n">
        <v>1000</v>
      </c>
    </row>
    <row r="11">
      <c r="A11" t="inlineStr">
        <is>
          <t>LNK-0010</t>
        </is>
      </c>
      <c r="B11" t="inlineStr">
        <is>
          <t>MP-DC-001-OOB-01</t>
        </is>
      </c>
      <c r="C11" t="inlineStr">
        <is>
          <t>GigabitEthernet1/0/2</t>
        </is>
      </c>
      <c r="D11" t="inlineStr">
        <is>
          <t>MP-DC-001-BDR-02</t>
        </is>
      </c>
      <c r="E11" t="inlineStr">
        <is>
          <t>mgmt0</t>
        </is>
      </c>
      <c r="F11" t="inlineStr">
        <is>
          <t>Access</t>
        </is>
      </c>
      <c r="G11" t="inlineStr">
        <is>
          <t>LLDP</t>
        </is>
      </c>
      <c r="H11" t="n">
        <v>1000</v>
      </c>
    </row>
    <row r="12">
      <c r="A12" t="inlineStr">
        <is>
          <t>LNK-0011</t>
        </is>
      </c>
      <c r="B12" t="inlineStr">
        <is>
          <t>MP-DC-001-OOB-01</t>
        </is>
      </c>
      <c r="C12" t="inlineStr">
        <is>
          <t>GigabitEthernet1/0/3</t>
        </is>
      </c>
      <c r="D12" t="inlineStr">
        <is>
          <t>MP-DC-001-FW-01</t>
        </is>
      </c>
      <c r="E12" t="inlineStr">
        <is>
          <t>mgmt</t>
        </is>
      </c>
      <c r="F12" t="inlineStr">
        <is>
          <t>Access</t>
        </is>
      </c>
      <c r="G12" t="inlineStr">
        <is>
          <t>LLDP</t>
        </is>
      </c>
      <c r="H12" t="n">
        <v>1000</v>
      </c>
    </row>
    <row r="13">
      <c r="A13" t="inlineStr">
        <is>
          <t>LNK-0012</t>
        </is>
      </c>
      <c r="B13" t="inlineStr">
        <is>
          <t>MP-DC-001-OOB-01</t>
        </is>
      </c>
      <c r="C13" t="inlineStr">
        <is>
          <t>GigabitEthernet1/0/4</t>
        </is>
      </c>
      <c r="D13" t="inlineStr">
        <is>
          <t>MP-DC-001-FW-02</t>
        </is>
      </c>
      <c r="E13" t="inlineStr">
        <is>
          <t>mgmt</t>
        </is>
      </c>
      <c r="F13" t="inlineStr">
        <is>
          <t>Access</t>
        </is>
      </c>
      <c r="G13" t="inlineStr">
        <is>
          <t>LLDP</t>
        </is>
      </c>
      <c r="H13" t="n">
        <v>1000</v>
      </c>
    </row>
    <row r="14">
      <c r="A14" t="inlineStr">
        <is>
          <t>LNK-0013</t>
        </is>
      </c>
      <c r="B14" t="inlineStr">
        <is>
          <t>MP-DC-001-OOB-01</t>
        </is>
      </c>
      <c r="C14" t="inlineStr">
        <is>
          <t>GigabitEthernet1/0/5</t>
        </is>
      </c>
      <c r="D14" t="inlineStr">
        <is>
          <t>MP-DC-001-MMR-SW-01</t>
        </is>
      </c>
      <c r="E14" t="inlineStr">
        <is>
          <t>mgmt0</t>
        </is>
      </c>
      <c r="F14" t="inlineStr">
        <is>
          <t>Access</t>
        </is>
      </c>
      <c r="G14" t="inlineStr">
        <is>
          <t>LLDP</t>
        </is>
      </c>
      <c r="H14" t="n">
        <v>1000</v>
      </c>
    </row>
    <row r="15">
      <c r="A15" t="inlineStr">
        <is>
          <t>LNK-0014</t>
        </is>
      </c>
      <c r="B15" t="inlineStr">
        <is>
          <t>MP-DC-001-OOB-01</t>
        </is>
      </c>
      <c r="C15" t="inlineStr">
        <is>
          <t>GigabitEthernet1/0/6</t>
        </is>
      </c>
      <c r="D15" t="inlineStr">
        <is>
          <t>MP-DC-001-MMR-SW-02</t>
        </is>
      </c>
      <c r="E15" t="inlineStr">
        <is>
          <t>mgmt0</t>
        </is>
      </c>
      <c r="F15" t="inlineStr">
        <is>
          <t>Access</t>
        </is>
      </c>
      <c r="G15" t="inlineStr">
        <is>
          <t>LLDP</t>
        </is>
      </c>
      <c r="H15" t="n">
        <v>1000</v>
      </c>
    </row>
    <row r="16">
      <c r="A16" t="inlineStr">
        <is>
          <t>LNK-0015</t>
        </is>
      </c>
      <c r="B16" t="inlineStr">
        <is>
          <t>MP-DC-001-OOB-01</t>
        </is>
      </c>
      <c r="C16" t="inlineStr">
        <is>
          <t>GigabitEthernet1/0/7</t>
        </is>
      </c>
      <c r="D16" t="inlineStr">
        <is>
          <t>MP-DC-001-AGG-01</t>
        </is>
      </c>
      <c r="E16" t="inlineStr">
        <is>
          <t>mgmt0</t>
        </is>
      </c>
      <c r="F16" t="inlineStr">
        <is>
          <t>Access</t>
        </is>
      </c>
      <c r="G16" t="inlineStr">
        <is>
          <t>LLDP</t>
        </is>
      </c>
      <c r="H16" t="n">
        <v>1000</v>
      </c>
    </row>
    <row r="17">
      <c r="A17" t="inlineStr">
        <is>
          <t>LNK-0016</t>
        </is>
      </c>
      <c r="B17" t="inlineStr">
        <is>
          <t>MP-DC-001-OOB-01</t>
        </is>
      </c>
      <c r="C17" t="inlineStr">
        <is>
          <t>GigabitEthernet1/0/8</t>
        </is>
      </c>
      <c r="D17" t="inlineStr">
        <is>
          <t>MP-DC-001-AGG-02</t>
        </is>
      </c>
      <c r="E17" t="inlineStr">
        <is>
          <t>mgmt0</t>
        </is>
      </c>
      <c r="F17" t="inlineStr">
        <is>
          <t>Access</t>
        </is>
      </c>
      <c r="G17" t="inlineStr">
        <is>
          <t>LLDP</t>
        </is>
      </c>
      <c r="H17" t="n">
        <v>1000</v>
      </c>
    </row>
    <row r="18">
      <c r="A18" t="inlineStr">
        <is>
          <t>LNK-0017</t>
        </is>
      </c>
      <c r="B18" t="inlineStr">
        <is>
          <t>TN-DC-002-BDR-01</t>
        </is>
      </c>
      <c r="C18" t="inlineStr">
        <is>
          <t>et-0/0/0</t>
        </is>
      </c>
      <c r="D18" t="inlineStr">
        <is>
          <t>TN-DC-002-FW-01</t>
        </is>
      </c>
      <c r="E18" t="inlineStr">
        <is>
          <t>ethernet1/1</t>
        </is>
      </c>
      <c r="F18" t="inlineStr">
        <is>
          <t>Uplink</t>
        </is>
      </c>
      <c r="G18" t="inlineStr">
        <is>
          <t>LLDP</t>
        </is>
      </c>
      <c r="H18" t="n">
        <v>100000</v>
      </c>
      <c r="I18" t="inlineStr">
        <is>
          <t>TN-DC-002-MMR-PC-01</t>
        </is>
      </c>
    </row>
    <row r="19">
      <c r="A19" t="inlineStr">
        <is>
          <t>LNK-0018</t>
        </is>
      </c>
      <c r="B19" t="inlineStr">
        <is>
          <t>TN-DC-002-FW-01</t>
        </is>
      </c>
      <c r="C19" t="inlineStr">
        <is>
          <t>ethernet1/3</t>
        </is>
      </c>
      <c r="D19" t="inlineStr">
        <is>
          <t>TN-DC-002-ETH-SPINE-01</t>
        </is>
      </c>
      <c r="E19" t="inlineStr">
        <is>
          <t>swp1</t>
        </is>
      </c>
      <c r="F19" t="inlineStr">
        <is>
          <t>Uplink</t>
        </is>
      </c>
      <c r="G19" t="inlineStr">
        <is>
          <t>LLDP</t>
        </is>
      </c>
      <c r="H19" t="n">
        <v>100000</v>
      </c>
      <c r="I19" t="inlineStr">
        <is>
          <t>TN-DC-002-TRK-NET-01</t>
        </is>
      </c>
      <c r="J19" t="inlineStr">
        <is>
          <t>1-2</t>
        </is>
      </c>
      <c r="K19" t="inlineStr">
        <is>
          <t>MMR-ODF-01:1</t>
        </is>
      </c>
      <c r="L19" t="inlineStr">
        <is>
          <t>NET-ODF:1</t>
        </is>
      </c>
    </row>
    <row r="20">
      <c r="A20" t="inlineStr">
        <is>
          <t>LNK-0019</t>
        </is>
      </c>
      <c r="B20" t="inlineStr">
        <is>
          <t>TN-DC-002-FW-01</t>
        </is>
      </c>
      <c r="C20" t="inlineStr">
        <is>
          <t>ethernet1/4</t>
        </is>
      </c>
      <c r="D20" t="inlineStr">
        <is>
          <t>TN-DC-002-ETH-SPINE-02</t>
        </is>
      </c>
      <c r="E20" t="inlineStr">
        <is>
          <t>swp1</t>
        </is>
      </c>
      <c r="F20" t="inlineStr">
        <is>
          <t>Uplink</t>
        </is>
      </c>
      <c r="G20" t="inlineStr">
        <is>
          <t>LLDP</t>
        </is>
      </c>
      <c r="H20" t="n">
        <v>100000</v>
      </c>
      <c r="I20" t="inlineStr">
        <is>
          <t>TN-DC-002-TRK-NET-02</t>
        </is>
      </c>
      <c r="J20" t="inlineStr">
        <is>
          <t>3-4</t>
        </is>
      </c>
      <c r="K20" t="inlineStr">
        <is>
          <t>MMR-ODF-01:3</t>
        </is>
      </c>
      <c r="L20" t="inlineStr">
        <is>
          <t>NET-ODF:3</t>
        </is>
      </c>
    </row>
    <row r="21">
      <c r="A21" t="inlineStr">
        <is>
          <t>LNK-0020</t>
        </is>
      </c>
      <c r="B21" t="inlineStr">
        <is>
          <t>TN-DC-002-BDR-02</t>
        </is>
      </c>
      <c r="C21" t="inlineStr">
        <is>
          <t>et-0/0/0</t>
        </is>
      </c>
      <c r="D21" t="inlineStr">
        <is>
          <t>TN-DC-002-FW-02</t>
        </is>
      </c>
      <c r="E21" t="inlineStr">
        <is>
          <t>ethernet1/1</t>
        </is>
      </c>
      <c r="F21" t="inlineStr">
        <is>
          <t>Uplink</t>
        </is>
      </c>
      <c r="G21" t="inlineStr">
        <is>
          <t>LLDP</t>
        </is>
      </c>
      <c r="H21" t="n">
        <v>100000</v>
      </c>
      <c r="I21" t="inlineStr">
        <is>
          <t>TN-DC-002-MMR-PC-02</t>
        </is>
      </c>
    </row>
    <row r="22">
      <c r="A22" t="inlineStr">
        <is>
          <t>LNK-0021</t>
        </is>
      </c>
      <c r="B22" t="inlineStr">
        <is>
          <t>TN-DC-002-FW-02</t>
        </is>
      </c>
      <c r="C22" t="inlineStr">
        <is>
          <t>ethernet1/3</t>
        </is>
      </c>
      <c r="D22" t="inlineStr">
        <is>
          <t>TN-DC-002-ETH-SPINE-01</t>
        </is>
      </c>
      <c r="E22" t="inlineStr">
        <is>
          <t>swp2</t>
        </is>
      </c>
      <c r="F22" t="inlineStr">
        <is>
          <t>Uplink</t>
        </is>
      </c>
      <c r="G22" t="inlineStr">
        <is>
          <t>LLDP</t>
        </is>
      </c>
      <c r="H22" t="n">
        <v>100000</v>
      </c>
      <c r="I22" t="inlineStr">
        <is>
          <t>TN-DC-002-TRK-NET-03</t>
        </is>
      </c>
      <c r="J22" t="inlineStr">
        <is>
          <t>5-6</t>
        </is>
      </c>
      <c r="K22" t="inlineStr">
        <is>
          <t>MMR-ODF-01:5</t>
        </is>
      </c>
      <c r="L22" t="inlineStr">
        <is>
          <t>NET-ODF:5</t>
        </is>
      </c>
    </row>
    <row r="23">
      <c r="A23" t="inlineStr">
        <is>
          <t>LNK-0022</t>
        </is>
      </c>
      <c r="B23" t="inlineStr">
        <is>
          <t>TN-DC-002-FW-02</t>
        </is>
      </c>
      <c r="C23" t="inlineStr">
        <is>
          <t>ethernet1/4</t>
        </is>
      </c>
      <c r="D23" t="inlineStr">
        <is>
          <t>TN-DC-002-ETH-SPINE-02</t>
        </is>
      </c>
      <c r="E23" t="inlineStr">
        <is>
          <t>swp2</t>
        </is>
      </c>
      <c r="F23" t="inlineStr">
        <is>
          <t>Uplink</t>
        </is>
      </c>
      <c r="G23" t="inlineStr">
        <is>
          <t>LLDP</t>
        </is>
      </c>
      <c r="H23" t="n">
        <v>100000</v>
      </c>
      <c r="I23" t="inlineStr">
        <is>
          <t>TN-DC-002-TRK-NET-04</t>
        </is>
      </c>
      <c r="J23" t="inlineStr">
        <is>
          <t>7-8</t>
        </is>
      </c>
      <c r="K23" t="inlineStr">
        <is>
          <t>MMR-ODF-01:7</t>
        </is>
      </c>
      <c r="L23" t="inlineStr">
        <is>
          <t>NET-ODF:7</t>
        </is>
      </c>
    </row>
    <row r="24">
      <c r="A24" t="inlineStr">
        <is>
          <t>LNK-0023</t>
        </is>
      </c>
      <c r="B24" t="inlineStr">
        <is>
          <t>TN-DC-002-BDR-01</t>
        </is>
      </c>
      <c r="C24" t="inlineStr">
        <is>
          <t>et-0/0/1</t>
        </is>
      </c>
      <c r="D24" t="inlineStr">
        <is>
          <t>TN-DC-002-BDR-02</t>
        </is>
      </c>
      <c r="E24" t="inlineStr">
        <is>
          <t>et-0/0/1</t>
        </is>
      </c>
      <c r="F24" t="inlineStr">
        <is>
          <t>Fabric</t>
        </is>
      </c>
      <c r="G24" t="inlineStr">
        <is>
          <t>LLDP</t>
        </is>
      </c>
      <c r="H24" t="n">
        <v>100000</v>
      </c>
      <c r="I24" t="inlineStr">
        <is>
          <t>TN-DC-002-MMR-PC-05</t>
        </is>
      </c>
    </row>
    <row r="25">
      <c r="A25" t="inlineStr">
        <is>
          <t>LNK-0024</t>
        </is>
      </c>
      <c r="B25" t="inlineStr">
        <is>
          <t>TN-DC-002-ETH-SPINE-01</t>
        </is>
      </c>
      <c r="C25" t="inlineStr">
        <is>
          <t>swp10</t>
        </is>
      </c>
      <c r="D25" t="inlineStr">
        <is>
          <t>TN-DC-002-ETH-LEAF-01</t>
        </is>
      </c>
      <c r="E25" t="inlineStr">
        <is>
          <t>Ethernet57/1</t>
        </is>
      </c>
      <c r="F25" t="inlineStr">
        <is>
          <t>Fabric</t>
        </is>
      </c>
      <c r="G25" t="inlineStr">
        <is>
          <t>LLDP</t>
        </is>
      </c>
      <c r="H25" t="n">
        <v>400000</v>
      </c>
    </row>
    <row r="26">
      <c r="A26" t="inlineStr">
        <is>
          <t>LNK-0025</t>
        </is>
      </c>
      <c r="B26" t="inlineStr">
        <is>
          <t>TN-DC-002-IB-SPINE-01</t>
        </is>
      </c>
      <c r="C26" t="inlineStr">
        <is>
          <t>IB1/1</t>
        </is>
      </c>
      <c r="D26" t="inlineStr">
        <is>
          <t>TN-DC-002-IB-LEAF-01</t>
        </is>
      </c>
      <c r="E26" t="inlineStr">
        <is>
          <t>IB1/33</t>
        </is>
      </c>
      <c r="F26" t="inlineStr">
        <is>
          <t>Fabric</t>
        </is>
      </c>
      <c r="G26" t="inlineStr">
        <is>
          <t>LLDP</t>
        </is>
      </c>
      <c r="H26" t="n">
        <v>400000</v>
      </c>
    </row>
    <row r="27">
      <c r="A27" t="inlineStr">
        <is>
          <t>LNK-0026</t>
        </is>
      </c>
      <c r="B27" t="inlineStr">
        <is>
          <t>TN-DC-002-IB-SPINE-01</t>
        </is>
      </c>
      <c r="C27" t="inlineStr">
        <is>
          <t>IB1/2</t>
        </is>
      </c>
      <c r="D27" t="inlineStr">
        <is>
          <t>TN-DC-002-IB-LEAF-01</t>
        </is>
      </c>
      <c r="E27" t="inlineStr">
        <is>
          <t>IB1/34</t>
        </is>
      </c>
      <c r="F27" t="inlineStr">
        <is>
          <t>Fabric</t>
        </is>
      </c>
      <c r="G27" t="inlineStr">
        <is>
          <t>LLDP</t>
        </is>
      </c>
      <c r="H27" t="n">
        <v>400000</v>
      </c>
    </row>
    <row r="28">
      <c r="A28" t="inlineStr">
        <is>
          <t>LNK-0027</t>
        </is>
      </c>
      <c r="B28" t="inlineStr">
        <is>
          <t>TN-DC-002-ETH-SPINE-01</t>
        </is>
      </c>
      <c r="C28" t="inlineStr">
        <is>
          <t>swp11</t>
        </is>
      </c>
      <c r="D28" t="inlineStr">
        <is>
          <t>TN-DC-002-ETH-LEAF-02</t>
        </is>
      </c>
      <c r="E28" t="inlineStr">
        <is>
          <t>Ethernet57/1</t>
        </is>
      </c>
      <c r="F28" t="inlineStr">
        <is>
          <t>Fabric</t>
        </is>
      </c>
      <c r="G28" t="inlineStr">
        <is>
          <t>LLDP</t>
        </is>
      </c>
      <c r="H28" t="n">
        <v>400000</v>
      </c>
    </row>
    <row r="29">
      <c r="A29" t="inlineStr">
        <is>
          <t>LNK-0028</t>
        </is>
      </c>
      <c r="B29" t="inlineStr">
        <is>
          <t>TN-DC-002-IB-SPINE-01</t>
        </is>
      </c>
      <c r="C29" t="inlineStr">
        <is>
          <t>IB1/3</t>
        </is>
      </c>
      <c r="D29" t="inlineStr">
        <is>
          <t>TN-DC-002-IB-LEAF-02</t>
        </is>
      </c>
      <c r="E29" t="inlineStr">
        <is>
          <t>IB1/33</t>
        </is>
      </c>
      <c r="F29" t="inlineStr">
        <is>
          <t>Fabric</t>
        </is>
      </c>
      <c r="G29" t="inlineStr">
        <is>
          <t>LLDP</t>
        </is>
      </c>
      <c r="H29" t="n">
        <v>400000</v>
      </c>
    </row>
    <row r="30">
      <c r="A30" t="inlineStr">
        <is>
          <t>LNK-0029</t>
        </is>
      </c>
      <c r="B30" t="inlineStr">
        <is>
          <t>TN-DC-002-IB-SPINE-01</t>
        </is>
      </c>
      <c r="C30" t="inlineStr">
        <is>
          <t>IB1/4</t>
        </is>
      </c>
      <c r="D30" t="inlineStr">
        <is>
          <t>TN-DC-002-IB-LEAF-02</t>
        </is>
      </c>
      <c r="E30" t="inlineStr">
        <is>
          <t>IB1/34</t>
        </is>
      </c>
      <c r="F30" t="inlineStr">
        <is>
          <t>Fabric</t>
        </is>
      </c>
      <c r="G30" t="inlineStr">
        <is>
          <t>LLDP</t>
        </is>
      </c>
      <c r="H30" t="n">
        <v>400000</v>
      </c>
    </row>
    <row r="31">
      <c r="A31" t="inlineStr">
        <is>
          <t>LNK-0030</t>
        </is>
      </c>
      <c r="B31" t="inlineStr">
        <is>
          <t>TN-DC-002-ETH-SPINE-02</t>
        </is>
      </c>
      <c r="C31" t="inlineStr">
        <is>
          <t>swp10</t>
        </is>
      </c>
      <c r="D31" t="inlineStr">
        <is>
          <t>TN-DC-002-ETH-LEAF-01</t>
        </is>
      </c>
      <c r="E31" t="inlineStr">
        <is>
          <t>Ethernet58/1</t>
        </is>
      </c>
      <c r="F31" t="inlineStr">
        <is>
          <t>Fabric</t>
        </is>
      </c>
      <c r="G31" t="inlineStr">
        <is>
          <t>LLDP</t>
        </is>
      </c>
      <c r="H31" t="n">
        <v>400000</v>
      </c>
    </row>
    <row r="32">
      <c r="A32" t="inlineStr">
        <is>
          <t>LNK-0031</t>
        </is>
      </c>
      <c r="B32" t="inlineStr">
        <is>
          <t>TN-DC-002-IB-SPINE-02</t>
        </is>
      </c>
      <c r="C32" t="inlineStr">
        <is>
          <t>IB1/1</t>
        </is>
      </c>
      <c r="D32" t="inlineStr">
        <is>
          <t>TN-DC-002-IB-LEAF-01</t>
        </is>
      </c>
      <c r="E32" t="inlineStr">
        <is>
          <t>IB1/35</t>
        </is>
      </c>
      <c r="F32" t="inlineStr">
        <is>
          <t>Fabric</t>
        </is>
      </c>
      <c r="G32" t="inlineStr">
        <is>
          <t>LLDP</t>
        </is>
      </c>
      <c r="H32" t="n">
        <v>400000</v>
      </c>
    </row>
    <row r="33">
      <c r="A33" t="inlineStr">
        <is>
          <t>LNK-0032</t>
        </is>
      </c>
      <c r="B33" t="inlineStr">
        <is>
          <t>TN-DC-002-IB-SPINE-02</t>
        </is>
      </c>
      <c r="C33" t="inlineStr">
        <is>
          <t>IB1/2</t>
        </is>
      </c>
      <c r="D33" t="inlineStr">
        <is>
          <t>TN-DC-002-IB-LEAF-01</t>
        </is>
      </c>
      <c r="E33" t="inlineStr">
        <is>
          <t>IB1/36</t>
        </is>
      </c>
      <c r="F33" t="inlineStr">
        <is>
          <t>Fabric</t>
        </is>
      </c>
      <c r="G33" t="inlineStr">
        <is>
          <t>LLDP</t>
        </is>
      </c>
      <c r="H33" t="n">
        <v>400000</v>
      </c>
    </row>
    <row r="34">
      <c r="A34" t="inlineStr">
        <is>
          <t>LNK-0033</t>
        </is>
      </c>
      <c r="B34" t="inlineStr">
        <is>
          <t>TN-DC-002-ETH-SPINE-02</t>
        </is>
      </c>
      <c r="C34" t="inlineStr">
        <is>
          <t>swp11</t>
        </is>
      </c>
      <c r="D34" t="inlineStr">
        <is>
          <t>TN-DC-002-ETH-LEAF-02</t>
        </is>
      </c>
      <c r="E34" t="inlineStr">
        <is>
          <t>Ethernet58/1</t>
        </is>
      </c>
      <c r="F34" t="inlineStr">
        <is>
          <t>Fabric</t>
        </is>
      </c>
      <c r="G34" t="inlineStr">
        <is>
          <t>LLDP</t>
        </is>
      </c>
      <c r="H34" t="n">
        <v>400000</v>
      </c>
    </row>
    <row r="35">
      <c r="A35" t="inlineStr">
        <is>
          <t>LNK-0034</t>
        </is>
      </c>
      <c r="B35" t="inlineStr">
        <is>
          <t>TN-DC-002-IB-SPINE-02</t>
        </is>
      </c>
      <c r="C35" t="inlineStr">
        <is>
          <t>IB1/3</t>
        </is>
      </c>
      <c r="D35" t="inlineStr">
        <is>
          <t>TN-DC-002-IB-LEAF-02</t>
        </is>
      </c>
      <c r="E35" t="inlineStr">
        <is>
          <t>IB1/35</t>
        </is>
      </c>
      <c r="F35" t="inlineStr">
        <is>
          <t>Fabric</t>
        </is>
      </c>
      <c r="G35" t="inlineStr">
        <is>
          <t>LLDP</t>
        </is>
      </c>
      <c r="H35" t="n">
        <v>400000</v>
      </c>
    </row>
    <row r="36">
      <c r="A36" t="inlineStr">
        <is>
          <t>LNK-0035</t>
        </is>
      </c>
      <c r="B36" t="inlineStr">
        <is>
          <t>TN-DC-002-IB-SPINE-02</t>
        </is>
      </c>
      <c r="C36" t="inlineStr">
        <is>
          <t>IB1/4</t>
        </is>
      </c>
      <c r="D36" t="inlineStr">
        <is>
          <t>TN-DC-002-IB-LEAF-02</t>
        </is>
      </c>
      <c r="E36" t="inlineStr">
        <is>
          <t>IB1/36</t>
        </is>
      </c>
      <c r="F36" t="inlineStr">
        <is>
          <t>Fabric</t>
        </is>
      </c>
      <c r="G36" t="inlineStr">
        <is>
          <t>LLDP</t>
        </is>
      </c>
      <c r="H36" t="n">
        <v>400000</v>
      </c>
    </row>
    <row r="37">
      <c r="A37" t="inlineStr">
        <is>
          <t>LNK-0036</t>
        </is>
      </c>
      <c r="B37" t="inlineStr">
        <is>
          <t>TN-DC-002-GPU-001</t>
        </is>
      </c>
      <c r="C37" t="inlineStr">
        <is>
          <t>ib0</t>
        </is>
      </c>
      <c r="D37" t="inlineStr">
        <is>
          <t>TN-DC-002-IB-LEAF-01</t>
        </is>
      </c>
      <c r="E37" t="inlineStr">
        <is>
          <t>IB1/1</t>
        </is>
      </c>
      <c r="F37" t="inlineStr">
        <is>
          <t>Access</t>
        </is>
      </c>
      <c r="G37" t="inlineStr">
        <is>
          <t>LLDP</t>
        </is>
      </c>
      <c r="H37" t="n">
        <v>400000</v>
      </c>
      <c r="I37" t="inlineStr">
        <is>
          <t>TN-DC-002-GPU-IB-01-0</t>
        </is>
      </c>
    </row>
    <row r="38">
      <c r="A38" t="inlineStr">
        <is>
          <t>LNK-0037</t>
        </is>
      </c>
      <c r="B38" t="inlineStr">
        <is>
          <t>TN-DC-002-GPU-001</t>
        </is>
      </c>
      <c r="C38" t="inlineStr">
        <is>
          <t>ib1</t>
        </is>
      </c>
      <c r="D38" t="inlineStr">
        <is>
          <t>TN-DC-002-IB-LEAF-02</t>
        </is>
      </c>
      <c r="E38" t="inlineStr">
        <is>
          <t>IB1/1</t>
        </is>
      </c>
      <c r="F38" t="inlineStr">
        <is>
          <t>Access</t>
        </is>
      </c>
      <c r="G38" t="inlineStr">
        <is>
          <t>LLDP</t>
        </is>
      </c>
      <c r="H38" t="n">
        <v>400000</v>
      </c>
      <c r="I38" t="inlineStr">
        <is>
          <t>TN-DC-002-GPU-IB-01-1</t>
        </is>
      </c>
    </row>
    <row r="39">
      <c r="A39" t="inlineStr">
        <is>
          <t>LNK-0038</t>
        </is>
      </c>
      <c r="B39" t="inlineStr">
        <is>
          <t>TN-DC-002-GPU-001</t>
        </is>
      </c>
      <c r="C39" t="inlineStr">
        <is>
          <t>ib2</t>
        </is>
      </c>
      <c r="D39" t="inlineStr">
        <is>
          <t>TN-DC-002-IB-LEAF-01</t>
        </is>
      </c>
      <c r="E39" t="inlineStr">
        <is>
          <t>IB1/2</t>
        </is>
      </c>
      <c r="F39" t="inlineStr">
        <is>
          <t>Access</t>
        </is>
      </c>
      <c r="G39" t="inlineStr">
        <is>
          <t>LLDP</t>
        </is>
      </c>
      <c r="H39" t="n">
        <v>400000</v>
      </c>
      <c r="I39" t="inlineStr">
        <is>
          <t>TN-DC-002-GPU-IB-01-2</t>
        </is>
      </c>
    </row>
    <row r="40">
      <c r="A40" t="inlineStr">
        <is>
          <t>LNK-0039</t>
        </is>
      </c>
      <c r="B40" t="inlineStr">
        <is>
          <t>TN-DC-002-GPU-001</t>
        </is>
      </c>
      <c r="C40" t="inlineStr">
        <is>
          <t>ib3</t>
        </is>
      </c>
      <c r="D40" t="inlineStr">
        <is>
          <t>TN-DC-002-IB-LEAF-02</t>
        </is>
      </c>
      <c r="E40" t="inlineStr">
        <is>
          <t>IB1/2</t>
        </is>
      </c>
      <c r="F40" t="inlineStr">
        <is>
          <t>Access</t>
        </is>
      </c>
      <c r="G40" t="inlineStr">
        <is>
          <t>LLDP</t>
        </is>
      </c>
      <c r="H40" t="n">
        <v>400000</v>
      </c>
      <c r="I40" t="inlineStr">
        <is>
          <t>TN-DC-002-GPU-IB-01-3</t>
        </is>
      </c>
    </row>
    <row r="41">
      <c r="A41" t="inlineStr">
        <is>
          <t>LNK-0040</t>
        </is>
      </c>
      <c r="B41" t="inlineStr">
        <is>
          <t>TN-DC-002-GPU-001</t>
        </is>
      </c>
      <c r="C41" t="inlineStr">
        <is>
          <t>ib4</t>
        </is>
      </c>
      <c r="D41" t="inlineStr">
        <is>
          <t>TN-DC-002-IB-LEAF-01</t>
        </is>
      </c>
      <c r="E41" t="inlineStr">
        <is>
          <t>IB1/3</t>
        </is>
      </c>
      <c r="F41" t="inlineStr">
        <is>
          <t>Access</t>
        </is>
      </c>
      <c r="G41" t="inlineStr">
        <is>
          <t>LLDP</t>
        </is>
      </c>
      <c r="H41" t="n">
        <v>400000</v>
      </c>
      <c r="I41" t="inlineStr">
        <is>
          <t>TN-DC-002-GPU-IB-01-4</t>
        </is>
      </c>
    </row>
    <row r="42">
      <c r="A42" t="inlineStr">
        <is>
          <t>LNK-0041</t>
        </is>
      </c>
      <c r="B42" t="inlineStr">
        <is>
          <t>TN-DC-002-GPU-001</t>
        </is>
      </c>
      <c r="C42" t="inlineStr">
        <is>
          <t>ib5</t>
        </is>
      </c>
      <c r="D42" t="inlineStr">
        <is>
          <t>TN-DC-002-IB-LEAF-02</t>
        </is>
      </c>
      <c r="E42" t="inlineStr">
        <is>
          <t>IB1/3</t>
        </is>
      </c>
      <c r="F42" t="inlineStr">
        <is>
          <t>Access</t>
        </is>
      </c>
      <c r="G42" t="inlineStr">
        <is>
          <t>LLDP</t>
        </is>
      </c>
      <c r="H42" t="n">
        <v>400000</v>
      </c>
      <c r="I42" t="inlineStr">
        <is>
          <t>TN-DC-002-GPU-IB-01-5</t>
        </is>
      </c>
    </row>
    <row r="43">
      <c r="A43" t="inlineStr">
        <is>
          <t>LNK-0042</t>
        </is>
      </c>
      <c r="B43" t="inlineStr">
        <is>
          <t>TN-DC-002-GPU-001</t>
        </is>
      </c>
      <c r="C43" t="inlineStr">
        <is>
          <t>ib6</t>
        </is>
      </c>
      <c r="D43" t="inlineStr">
        <is>
          <t>TN-DC-002-IB-LEAF-01</t>
        </is>
      </c>
      <c r="E43" t="inlineStr">
        <is>
          <t>IB1/4</t>
        </is>
      </c>
      <c r="F43" t="inlineStr">
        <is>
          <t>Access</t>
        </is>
      </c>
      <c r="G43" t="inlineStr">
        <is>
          <t>LLDP</t>
        </is>
      </c>
      <c r="H43" t="n">
        <v>400000</v>
      </c>
      <c r="I43" t="inlineStr">
        <is>
          <t>TN-DC-002-GPU-IB-01-6</t>
        </is>
      </c>
    </row>
    <row r="44">
      <c r="A44" t="inlineStr">
        <is>
          <t>LNK-0043</t>
        </is>
      </c>
      <c r="B44" t="inlineStr">
        <is>
          <t>TN-DC-002-GPU-001</t>
        </is>
      </c>
      <c r="C44" t="inlineStr">
        <is>
          <t>ib7</t>
        </is>
      </c>
      <c r="D44" t="inlineStr">
        <is>
          <t>TN-DC-002-IB-LEAF-02</t>
        </is>
      </c>
      <c r="E44" t="inlineStr">
        <is>
          <t>IB1/4</t>
        </is>
      </c>
      <c r="F44" t="inlineStr">
        <is>
          <t>Access</t>
        </is>
      </c>
      <c r="G44" t="inlineStr">
        <is>
          <t>LLDP</t>
        </is>
      </c>
      <c r="H44" t="n">
        <v>400000</v>
      </c>
      <c r="I44" t="inlineStr">
        <is>
          <t>TN-DC-002-GPU-IB-01-7</t>
        </is>
      </c>
    </row>
    <row r="45">
      <c r="A45" t="inlineStr">
        <is>
          <t>LNK-0044</t>
        </is>
      </c>
      <c r="B45" t="inlineStr">
        <is>
          <t>TN-DC-002-GPU-001</t>
        </is>
      </c>
      <c r="C45" t="inlineStr">
        <is>
          <t>eth0</t>
        </is>
      </c>
      <c r="D45" t="inlineStr">
        <is>
          <t>TN-DC-002-ETH-LEAF-01</t>
        </is>
      </c>
      <c r="E45" t="inlineStr">
        <is>
          <t>Ethernet1/1</t>
        </is>
      </c>
      <c r="F45" t="inlineStr">
        <is>
          <t>Access</t>
        </is>
      </c>
      <c r="G45" t="inlineStr">
        <is>
          <t>LLDP</t>
        </is>
      </c>
      <c r="H45" t="n">
        <v>100000</v>
      </c>
    </row>
    <row r="46">
      <c r="A46" t="inlineStr">
        <is>
          <t>LNK-0045</t>
        </is>
      </c>
      <c r="B46" t="inlineStr">
        <is>
          <t>TN-DC-002-GPU-001</t>
        </is>
      </c>
      <c r="C46" t="inlineStr">
        <is>
          <t>eth1</t>
        </is>
      </c>
      <c r="D46" t="inlineStr">
        <is>
          <t>TN-DC-002-ETH-LEAF-02</t>
        </is>
      </c>
      <c r="E46" t="inlineStr">
        <is>
          <t>Ethernet1/1</t>
        </is>
      </c>
      <c r="F46" t="inlineStr">
        <is>
          <t>Access</t>
        </is>
      </c>
      <c r="G46" t="inlineStr">
        <is>
          <t>LLDP</t>
        </is>
      </c>
      <c r="H46" t="n">
        <v>100000</v>
      </c>
    </row>
    <row r="47">
      <c r="A47" t="inlineStr">
        <is>
          <t>LNK-0046</t>
        </is>
      </c>
      <c r="B47" t="inlineStr">
        <is>
          <t>TN-DC-002-GPU-002</t>
        </is>
      </c>
      <c r="C47" t="inlineStr">
        <is>
          <t>ib0</t>
        </is>
      </c>
      <c r="D47" t="inlineStr">
        <is>
          <t>TN-DC-002-IB-LEAF-01</t>
        </is>
      </c>
      <c r="E47" t="inlineStr">
        <is>
          <t>IB1/5</t>
        </is>
      </c>
      <c r="F47" t="inlineStr">
        <is>
          <t>Access</t>
        </is>
      </c>
      <c r="G47" t="inlineStr">
        <is>
          <t>LLDP</t>
        </is>
      </c>
      <c r="H47" t="n">
        <v>400000</v>
      </c>
      <c r="I47" t="inlineStr">
        <is>
          <t>TN-DC-002-GPU-IB-02-0</t>
        </is>
      </c>
    </row>
    <row r="48">
      <c r="A48" t="inlineStr">
        <is>
          <t>LNK-0047</t>
        </is>
      </c>
      <c r="B48" t="inlineStr">
        <is>
          <t>TN-DC-002-GPU-002</t>
        </is>
      </c>
      <c r="C48" t="inlineStr">
        <is>
          <t>ib1</t>
        </is>
      </c>
      <c r="D48" t="inlineStr">
        <is>
          <t>TN-DC-002-IB-LEAF-02</t>
        </is>
      </c>
      <c r="E48" t="inlineStr">
        <is>
          <t>IB1/5</t>
        </is>
      </c>
      <c r="F48" t="inlineStr">
        <is>
          <t>Access</t>
        </is>
      </c>
      <c r="G48" t="inlineStr">
        <is>
          <t>LLDP</t>
        </is>
      </c>
      <c r="H48" t="n">
        <v>400000</v>
      </c>
      <c r="I48" t="inlineStr">
        <is>
          <t>TN-DC-002-GPU-IB-02-1</t>
        </is>
      </c>
    </row>
    <row r="49">
      <c r="A49" t="inlineStr">
        <is>
          <t>LNK-0048</t>
        </is>
      </c>
      <c r="B49" t="inlineStr">
        <is>
          <t>TN-DC-002-GPU-002</t>
        </is>
      </c>
      <c r="C49" t="inlineStr">
        <is>
          <t>ib2</t>
        </is>
      </c>
      <c r="D49" t="inlineStr">
        <is>
          <t>TN-DC-002-IB-LEAF-01</t>
        </is>
      </c>
      <c r="E49" t="inlineStr">
        <is>
          <t>IB1/6</t>
        </is>
      </c>
      <c r="F49" t="inlineStr">
        <is>
          <t>Access</t>
        </is>
      </c>
      <c r="G49" t="inlineStr">
        <is>
          <t>LLDP</t>
        </is>
      </c>
      <c r="H49" t="n">
        <v>400000</v>
      </c>
      <c r="I49" t="inlineStr">
        <is>
          <t>TN-DC-002-GPU-IB-02-2</t>
        </is>
      </c>
    </row>
    <row r="50">
      <c r="A50" t="inlineStr">
        <is>
          <t>LNK-0049</t>
        </is>
      </c>
      <c r="B50" t="inlineStr">
        <is>
          <t>TN-DC-002-GPU-002</t>
        </is>
      </c>
      <c r="C50" t="inlineStr">
        <is>
          <t>ib3</t>
        </is>
      </c>
      <c r="D50" t="inlineStr">
        <is>
          <t>TN-DC-002-IB-LEAF-02</t>
        </is>
      </c>
      <c r="E50" t="inlineStr">
        <is>
          <t>IB1/6</t>
        </is>
      </c>
      <c r="F50" t="inlineStr">
        <is>
          <t>Access</t>
        </is>
      </c>
      <c r="G50" t="inlineStr">
        <is>
          <t>LLDP</t>
        </is>
      </c>
      <c r="H50" t="n">
        <v>400000</v>
      </c>
      <c r="I50" t="inlineStr">
        <is>
          <t>TN-DC-002-GPU-IB-02-3</t>
        </is>
      </c>
    </row>
    <row r="51">
      <c r="A51" t="inlineStr">
        <is>
          <t>LNK-0050</t>
        </is>
      </c>
      <c r="B51" t="inlineStr">
        <is>
          <t>TN-DC-002-GPU-002</t>
        </is>
      </c>
      <c r="C51" t="inlineStr">
        <is>
          <t>ib4</t>
        </is>
      </c>
      <c r="D51" t="inlineStr">
        <is>
          <t>TN-DC-002-IB-LEAF-01</t>
        </is>
      </c>
      <c r="E51" t="inlineStr">
        <is>
          <t>IB1/7</t>
        </is>
      </c>
      <c r="F51" t="inlineStr">
        <is>
          <t>Access</t>
        </is>
      </c>
      <c r="G51" t="inlineStr">
        <is>
          <t>LLDP</t>
        </is>
      </c>
      <c r="H51" t="n">
        <v>400000</v>
      </c>
      <c r="I51" t="inlineStr">
        <is>
          <t>TN-DC-002-GPU-IB-02-4</t>
        </is>
      </c>
    </row>
    <row r="52">
      <c r="A52" t="inlineStr">
        <is>
          <t>LNK-0051</t>
        </is>
      </c>
      <c r="B52" t="inlineStr">
        <is>
          <t>TN-DC-002-GPU-002</t>
        </is>
      </c>
      <c r="C52" t="inlineStr">
        <is>
          <t>ib5</t>
        </is>
      </c>
      <c r="D52" t="inlineStr">
        <is>
          <t>TN-DC-002-IB-LEAF-02</t>
        </is>
      </c>
      <c r="E52" t="inlineStr">
        <is>
          <t>IB1/7</t>
        </is>
      </c>
      <c r="F52" t="inlineStr">
        <is>
          <t>Access</t>
        </is>
      </c>
      <c r="G52" t="inlineStr">
        <is>
          <t>LLDP</t>
        </is>
      </c>
      <c r="H52" t="n">
        <v>400000</v>
      </c>
      <c r="I52" t="inlineStr">
        <is>
          <t>TN-DC-002-GPU-IB-02-5</t>
        </is>
      </c>
    </row>
    <row r="53">
      <c r="A53" t="inlineStr">
        <is>
          <t>LNK-0052</t>
        </is>
      </c>
      <c r="B53" t="inlineStr">
        <is>
          <t>TN-DC-002-GPU-002</t>
        </is>
      </c>
      <c r="C53" t="inlineStr">
        <is>
          <t>ib6</t>
        </is>
      </c>
      <c r="D53" t="inlineStr">
        <is>
          <t>TN-DC-002-IB-LEAF-01</t>
        </is>
      </c>
      <c r="E53" t="inlineStr">
        <is>
          <t>IB1/8</t>
        </is>
      </c>
      <c r="F53" t="inlineStr">
        <is>
          <t>Access</t>
        </is>
      </c>
      <c r="G53" t="inlineStr">
        <is>
          <t>LLDP</t>
        </is>
      </c>
      <c r="H53" t="n">
        <v>400000</v>
      </c>
      <c r="I53" t="inlineStr">
        <is>
          <t>TN-DC-002-GPU-IB-02-6</t>
        </is>
      </c>
    </row>
    <row r="54">
      <c r="A54" t="inlineStr">
        <is>
          <t>LNK-0053</t>
        </is>
      </c>
      <c r="B54" t="inlineStr">
        <is>
          <t>TN-DC-002-GPU-002</t>
        </is>
      </c>
      <c r="C54" t="inlineStr">
        <is>
          <t>ib7</t>
        </is>
      </c>
      <c r="D54" t="inlineStr">
        <is>
          <t>TN-DC-002-IB-LEAF-02</t>
        </is>
      </c>
      <c r="E54" t="inlineStr">
        <is>
          <t>IB1/8</t>
        </is>
      </c>
      <c r="F54" t="inlineStr">
        <is>
          <t>Access</t>
        </is>
      </c>
      <c r="G54" t="inlineStr">
        <is>
          <t>LLDP</t>
        </is>
      </c>
      <c r="H54" t="n">
        <v>400000</v>
      </c>
      <c r="I54" t="inlineStr">
        <is>
          <t>TN-DC-002-GPU-IB-02-7</t>
        </is>
      </c>
    </row>
    <row r="55">
      <c r="A55" t="inlineStr">
        <is>
          <t>LNK-0054</t>
        </is>
      </c>
      <c r="B55" t="inlineStr">
        <is>
          <t>TN-DC-002-GPU-002</t>
        </is>
      </c>
      <c r="C55" t="inlineStr">
        <is>
          <t>eth0</t>
        </is>
      </c>
      <c r="D55" t="inlineStr">
        <is>
          <t>TN-DC-002-ETH-LEAF-01</t>
        </is>
      </c>
      <c r="E55" t="inlineStr">
        <is>
          <t>Ethernet2/1</t>
        </is>
      </c>
      <c r="F55" t="inlineStr">
        <is>
          <t>Access</t>
        </is>
      </c>
      <c r="G55" t="inlineStr">
        <is>
          <t>LLDP</t>
        </is>
      </c>
      <c r="H55" t="n">
        <v>100000</v>
      </c>
    </row>
    <row r="56">
      <c r="A56" t="inlineStr">
        <is>
          <t>LNK-0055</t>
        </is>
      </c>
      <c r="B56" t="inlineStr">
        <is>
          <t>TN-DC-002-GPU-002</t>
        </is>
      </c>
      <c r="C56" t="inlineStr">
        <is>
          <t>eth1</t>
        </is>
      </c>
      <c r="D56" t="inlineStr">
        <is>
          <t>TN-DC-002-ETH-LEAF-02</t>
        </is>
      </c>
      <c r="E56" t="inlineStr">
        <is>
          <t>Ethernet2/1</t>
        </is>
      </c>
      <c r="F56" t="inlineStr">
        <is>
          <t>Access</t>
        </is>
      </c>
      <c r="G56" t="inlineStr">
        <is>
          <t>LLDP</t>
        </is>
      </c>
      <c r="H56" t="n">
        <v>100000</v>
      </c>
    </row>
    <row r="57">
      <c r="A57" t="inlineStr">
        <is>
          <t>LNK-0056</t>
        </is>
      </c>
      <c r="B57" t="inlineStr">
        <is>
          <t>TN-DC-002-GPU-003</t>
        </is>
      </c>
      <c r="C57" t="inlineStr">
        <is>
          <t>ib0</t>
        </is>
      </c>
      <c r="D57" t="inlineStr">
        <is>
          <t>TN-DC-002-IB-LEAF-01</t>
        </is>
      </c>
      <c r="E57" t="inlineStr">
        <is>
          <t>IB1/9</t>
        </is>
      </c>
      <c r="F57" t="inlineStr">
        <is>
          <t>Access</t>
        </is>
      </c>
      <c r="G57" t="inlineStr">
        <is>
          <t>LLDP</t>
        </is>
      </c>
      <c r="H57" t="n">
        <v>400000</v>
      </c>
      <c r="I57" t="inlineStr">
        <is>
          <t>TN-DC-002-GPU-IB-03-0</t>
        </is>
      </c>
    </row>
    <row r="58">
      <c r="A58" t="inlineStr">
        <is>
          <t>LNK-0057</t>
        </is>
      </c>
      <c r="B58" t="inlineStr">
        <is>
          <t>TN-DC-002-GPU-003</t>
        </is>
      </c>
      <c r="C58" t="inlineStr">
        <is>
          <t>ib1</t>
        </is>
      </c>
      <c r="D58" t="inlineStr">
        <is>
          <t>TN-DC-002-IB-LEAF-02</t>
        </is>
      </c>
      <c r="E58" t="inlineStr">
        <is>
          <t>IB1/9</t>
        </is>
      </c>
      <c r="F58" t="inlineStr">
        <is>
          <t>Access</t>
        </is>
      </c>
      <c r="G58" t="inlineStr">
        <is>
          <t>LLDP</t>
        </is>
      </c>
      <c r="H58" t="n">
        <v>400000</v>
      </c>
      <c r="I58" t="inlineStr">
        <is>
          <t>TN-DC-002-GPU-IB-03-1</t>
        </is>
      </c>
    </row>
    <row r="59">
      <c r="A59" t="inlineStr">
        <is>
          <t>LNK-0058</t>
        </is>
      </c>
      <c r="B59" t="inlineStr">
        <is>
          <t>TN-DC-002-GPU-003</t>
        </is>
      </c>
      <c r="C59" t="inlineStr">
        <is>
          <t>ib2</t>
        </is>
      </c>
      <c r="D59" t="inlineStr">
        <is>
          <t>TN-DC-002-IB-LEAF-01</t>
        </is>
      </c>
      <c r="E59" t="inlineStr">
        <is>
          <t>IB1/10</t>
        </is>
      </c>
      <c r="F59" t="inlineStr">
        <is>
          <t>Access</t>
        </is>
      </c>
      <c r="G59" t="inlineStr">
        <is>
          <t>LLDP</t>
        </is>
      </c>
      <c r="H59" t="n">
        <v>400000</v>
      </c>
      <c r="I59" t="inlineStr">
        <is>
          <t>TN-DC-002-GPU-IB-03-2</t>
        </is>
      </c>
    </row>
    <row r="60">
      <c r="A60" t="inlineStr">
        <is>
          <t>LNK-0059</t>
        </is>
      </c>
      <c r="B60" t="inlineStr">
        <is>
          <t>TN-DC-002-GPU-003</t>
        </is>
      </c>
      <c r="C60" t="inlineStr">
        <is>
          <t>ib3</t>
        </is>
      </c>
      <c r="D60" t="inlineStr">
        <is>
          <t>TN-DC-002-IB-LEAF-02</t>
        </is>
      </c>
      <c r="E60" t="inlineStr">
        <is>
          <t>IB1/10</t>
        </is>
      </c>
      <c r="F60" t="inlineStr">
        <is>
          <t>Access</t>
        </is>
      </c>
      <c r="G60" t="inlineStr">
        <is>
          <t>LLDP</t>
        </is>
      </c>
      <c r="H60" t="n">
        <v>400000</v>
      </c>
      <c r="I60" t="inlineStr">
        <is>
          <t>TN-DC-002-GPU-IB-03-3</t>
        </is>
      </c>
    </row>
    <row r="61">
      <c r="A61" t="inlineStr">
        <is>
          <t>LNK-0060</t>
        </is>
      </c>
      <c r="B61" t="inlineStr">
        <is>
          <t>TN-DC-002-GPU-003</t>
        </is>
      </c>
      <c r="C61" t="inlineStr">
        <is>
          <t>ib4</t>
        </is>
      </c>
      <c r="D61" t="inlineStr">
        <is>
          <t>TN-DC-002-IB-LEAF-01</t>
        </is>
      </c>
      <c r="E61" t="inlineStr">
        <is>
          <t>IB1/11</t>
        </is>
      </c>
      <c r="F61" t="inlineStr">
        <is>
          <t>Access</t>
        </is>
      </c>
      <c r="G61" t="inlineStr">
        <is>
          <t>LLDP</t>
        </is>
      </c>
      <c r="H61" t="n">
        <v>400000</v>
      </c>
      <c r="I61" t="inlineStr">
        <is>
          <t>TN-DC-002-GPU-IB-03-4</t>
        </is>
      </c>
    </row>
    <row r="62">
      <c r="A62" t="inlineStr">
        <is>
          <t>LNK-0061</t>
        </is>
      </c>
      <c r="B62" t="inlineStr">
        <is>
          <t>TN-DC-002-GPU-003</t>
        </is>
      </c>
      <c r="C62" t="inlineStr">
        <is>
          <t>ib5</t>
        </is>
      </c>
      <c r="D62" t="inlineStr">
        <is>
          <t>TN-DC-002-IB-LEAF-02</t>
        </is>
      </c>
      <c r="E62" t="inlineStr">
        <is>
          <t>IB1/11</t>
        </is>
      </c>
      <c r="F62" t="inlineStr">
        <is>
          <t>Access</t>
        </is>
      </c>
      <c r="G62" t="inlineStr">
        <is>
          <t>LLDP</t>
        </is>
      </c>
      <c r="H62" t="n">
        <v>400000</v>
      </c>
      <c r="I62" t="inlineStr">
        <is>
          <t>TN-DC-002-GPU-IB-03-5</t>
        </is>
      </c>
    </row>
    <row r="63">
      <c r="A63" t="inlineStr">
        <is>
          <t>LNK-0062</t>
        </is>
      </c>
      <c r="B63" t="inlineStr">
        <is>
          <t>TN-DC-002-GPU-003</t>
        </is>
      </c>
      <c r="C63" t="inlineStr">
        <is>
          <t>ib6</t>
        </is>
      </c>
      <c r="D63" t="inlineStr">
        <is>
          <t>TN-DC-002-IB-LEAF-01</t>
        </is>
      </c>
      <c r="E63" t="inlineStr">
        <is>
          <t>IB1/12</t>
        </is>
      </c>
      <c r="F63" t="inlineStr">
        <is>
          <t>Access</t>
        </is>
      </c>
      <c r="G63" t="inlineStr">
        <is>
          <t>LLDP</t>
        </is>
      </c>
      <c r="H63" t="n">
        <v>400000</v>
      </c>
      <c r="I63" t="inlineStr">
        <is>
          <t>TN-DC-002-GPU-IB-03-6</t>
        </is>
      </c>
    </row>
    <row r="64">
      <c r="A64" t="inlineStr">
        <is>
          <t>LNK-0063</t>
        </is>
      </c>
      <c r="B64" t="inlineStr">
        <is>
          <t>TN-DC-002-GPU-003</t>
        </is>
      </c>
      <c r="C64" t="inlineStr">
        <is>
          <t>ib7</t>
        </is>
      </c>
      <c r="D64" t="inlineStr">
        <is>
          <t>TN-DC-002-IB-LEAF-02</t>
        </is>
      </c>
      <c r="E64" t="inlineStr">
        <is>
          <t>IB1/12</t>
        </is>
      </c>
      <c r="F64" t="inlineStr">
        <is>
          <t>Access</t>
        </is>
      </c>
      <c r="G64" t="inlineStr">
        <is>
          <t>LLDP</t>
        </is>
      </c>
      <c r="H64" t="n">
        <v>400000</v>
      </c>
      <c r="I64" t="inlineStr">
        <is>
          <t>TN-DC-002-GPU-IB-03-7</t>
        </is>
      </c>
    </row>
    <row r="65">
      <c r="A65" t="inlineStr">
        <is>
          <t>LNK-0064</t>
        </is>
      </c>
      <c r="B65" t="inlineStr">
        <is>
          <t>TN-DC-002-GPU-003</t>
        </is>
      </c>
      <c r="C65" t="inlineStr">
        <is>
          <t>eth0</t>
        </is>
      </c>
      <c r="D65" t="inlineStr">
        <is>
          <t>TN-DC-002-ETH-LEAF-01</t>
        </is>
      </c>
      <c r="E65" t="inlineStr">
        <is>
          <t>Ethernet3/1</t>
        </is>
      </c>
      <c r="F65" t="inlineStr">
        <is>
          <t>Access</t>
        </is>
      </c>
      <c r="G65" t="inlineStr">
        <is>
          <t>LLDP</t>
        </is>
      </c>
      <c r="H65" t="n">
        <v>100000</v>
      </c>
    </row>
    <row r="66">
      <c r="A66" t="inlineStr">
        <is>
          <t>LNK-0065</t>
        </is>
      </c>
      <c r="B66" t="inlineStr">
        <is>
          <t>TN-DC-002-GPU-003</t>
        </is>
      </c>
      <c r="C66" t="inlineStr">
        <is>
          <t>eth1</t>
        </is>
      </c>
      <c r="D66" t="inlineStr">
        <is>
          <t>TN-DC-002-ETH-LEAF-02</t>
        </is>
      </c>
      <c r="E66" t="inlineStr">
        <is>
          <t>Ethernet3/1</t>
        </is>
      </c>
      <c r="F66" t="inlineStr">
        <is>
          <t>Access</t>
        </is>
      </c>
      <c r="G66" t="inlineStr">
        <is>
          <t>LLDP</t>
        </is>
      </c>
      <c r="H66" t="n">
        <v>100000</v>
      </c>
    </row>
    <row r="67">
      <c r="A67" t="inlineStr">
        <is>
          <t>LNK-0066</t>
        </is>
      </c>
      <c r="B67" t="inlineStr">
        <is>
          <t>TN-DC-002-GPU-004</t>
        </is>
      </c>
      <c r="C67" t="inlineStr">
        <is>
          <t>ib0</t>
        </is>
      </c>
      <c r="D67" t="inlineStr">
        <is>
          <t>TN-DC-002-IB-LEAF-01</t>
        </is>
      </c>
      <c r="E67" t="inlineStr">
        <is>
          <t>IB1/13</t>
        </is>
      </c>
      <c r="F67" t="inlineStr">
        <is>
          <t>Access</t>
        </is>
      </c>
      <c r="G67" t="inlineStr">
        <is>
          <t>LLDP</t>
        </is>
      </c>
      <c r="H67" t="n">
        <v>400000</v>
      </c>
      <c r="I67" t="inlineStr">
        <is>
          <t>TN-DC-002-GPU-IB-04-0</t>
        </is>
      </c>
    </row>
    <row r="68">
      <c r="A68" t="inlineStr">
        <is>
          <t>LNK-0067</t>
        </is>
      </c>
      <c r="B68" t="inlineStr">
        <is>
          <t>TN-DC-002-GPU-004</t>
        </is>
      </c>
      <c r="C68" t="inlineStr">
        <is>
          <t>ib1</t>
        </is>
      </c>
      <c r="D68" t="inlineStr">
        <is>
          <t>TN-DC-002-IB-LEAF-02</t>
        </is>
      </c>
      <c r="E68" t="inlineStr">
        <is>
          <t>IB1/13</t>
        </is>
      </c>
      <c r="F68" t="inlineStr">
        <is>
          <t>Access</t>
        </is>
      </c>
      <c r="G68" t="inlineStr">
        <is>
          <t>LLDP</t>
        </is>
      </c>
      <c r="H68" t="n">
        <v>400000</v>
      </c>
      <c r="I68" t="inlineStr">
        <is>
          <t>TN-DC-002-GPU-IB-04-1</t>
        </is>
      </c>
    </row>
    <row r="69">
      <c r="A69" t="inlineStr">
        <is>
          <t>LNK-0068</t>
        </is>
      </c>
      <c r="B69" t="inlineStr">
        <is>
          <t>TN-DC-002-GPU-004</t>
        </is>
      </c>
      <c r="C69" t="inlineStr">
        <is>
          <t>ib2</t>
        </is>
      </c>
      <c r="D69" t="inlineStr">
        <is>
          <t>TN-DC-002-IB-LEAF-01</t>
        </is>
      </c>
      <c r="E69" t="inlineStr">
        <is>
          <t>IB1/14</t>
        </is>
      </c>
      <c r="F69" t="inlineStr">
        <is>
          <t>Access</t>
        </is>
      </c>
      <c r="G69" t="inlineStr">
        <is>
          <t>LLDP</t>
        </is>
      </c>
      <c r="H69" t="n">
        <v>400000</v>
      </c>
      <c r="I69" t="inlineStr">
        <is>
          <t>TN-DC-002-GPU-IB-04-2</t>
        </is>
      </c>
    </row>
    <row r="70">
      <c r="A70" t="inlineStr">
        <is>
          <t>LNK-0069</t>
        </is>
      </c>
      <c r="B70" t="inlineStr">
        <is>
          <t>TN-DC-002-GPU-004</t>
        </is>
      </c>
      <c r="C70" t="inlineStr">
        <is>
          <t>ib3</t>
        </is>
      </c>
      <c r="D70" t="inlineStr">
        <is>
          <t>TN-DC-002-IB-LEAF-02</t>
        </is>
      </c>
      <c r="E70" t="inlineStr">
        <is>
          <t>IB1/14</t>
        </is>
      </c>
      <c r="F70" t="inlineStr">
        <is>
          <t>Access</t>
        </is>
      </c>
      <c r="G70" t="inlineStr">
        <is>
          <t>LLDP</t>
        </is>
      </c>
      <c r="H70" t="n">
        <v>400000</v>
      </c>
      <c r="I70" t="inlineStr">
        <is>
          <t>TN-DC-002-GPU-IB-04-3</t>
        </is>
      </c>
    </row>
    <row r="71">
      <c r="A71" t="inlineStr">
        <is>
          <t>LNK-0070</t>
        </is>
      </c>
      <c r="B71" t="inlineStr">
        <is>
          <t>TN-DC-002-GPU-004</t>
        </is>
      </c>
      <c r="C71" t="inlineStr">
        <is>
          <t>ib4</t>
        </is>
      </c>
      <c r="D71" t="inlineStr">
        <is>
          <t>TN-DC-002-IB-LEAF-01</t>
        </is>
      </c>
      <c r="E71" t="inlineStr">
        <is>
          <t>IB1/15</t>
        </is>
      </c>
      <c r="F71" t="inlineStr">
        <is>
          <t>Access</t>
        </is>
      </c>
      <c r="G71" t="inlineStr">
        <is>
          <t>LLDP</t>
        </is>
      </c>
      <c r="H71" t="n">
        <v>400000</v>
      </c>
      <c r="I71" t="inlineStr">
        <is>
          <t>TN-DC-002-GPU-IB-04-4</t>
        </is>
      </c>
    </row>
    <row r="72">
      <c r="A72" t="inlineStr">
        <is>
          <t>LNK-0071</t>
        </is>
      </c>
      <c r="B72" t="inlineStr">
        <is>
          <t>TN-DC-002-GPU-004</t>
        </is>
      </c>
      <c r="C72" t="inlineStr">
        <is>
          <t>ib5</t>
        </is>
      </c>
      <c r="D72" t="inlineStr">
        <is>
          <t>TN-DC-002-IB-LEAF-02</t>
        </is>
      </c>
      <c r="E72" t="inlineStr">
        <is>
          <t>IB1/15</t>
        </is>
      </c>
      <c r="F72" t="inlineStr">
        <is>
          <t>Access</t>
        </is>
      </c>
      <c r="G72" t="inlineStr">
        <is>
          <t>LLDP</t>
        </is>
      </c>
      <c r="H72" t="n">
        <v>400000</v>
      </c>
      <c r="I72" t="inlineStr">
        <is>
          <t>TN-DC-002-GPU-IB-04-5</t>
        </is>
      </c>
    </row>
    <row r="73">
      <c r="A73" t="inlineStr">
        <is>
          <t>LNK-0072</t>
        </is>
      </c>
      <c r="B73" t="inlineStr">
        <is>
          <t>TN-DC-002-GPU-004</t>
        </is>
      </c>
      <c r="C73" t="inlineStr">
        <is>
          <t>ib6</t>
        </is>
      </c>
      <c r="D73" t="inlineStr">
        <is>
          <t>TN-DC-002-IB-LEAF-01</t>
        </is>
      </c>
      <c r="E73" t="inlineStr">
        <is>
          <t>IB1/16</t>
        </is>
      </c>
      <c r="F73" t="inlineStr">
        <is>
          <t>Access</t>
        </is>
      </c>
      <c r="G73" t="inlineStr">
        <is>
          <t>LLDP</t>
        </is>
      </c>
      <c r="H73" t="n">
        <v>400000</v>
      </c>
      <c r="I73" t="inlineStr">
        <is>
          <t>TN-DC-002-GPU-IB-04-6</t>
        </is>
      </c>
    </row>
    <row r="74">
      <c r="A74" t="inlineStr">
        <is>
          <t>LNK-0073</t>
        </is>
      </c>
      <c r="B74" t="inlineStr">
        <is>
          <t>TN-DC-002-GPU-004</t>
        </is>
      </c>
      <c r="C74" t="inlineStr">
        <is>
          <t>ib7</t>
        </is>
      </c>
      <c r="D74" t="inlineStr">
        <is>
          <t>TN-DC-002-IB-LEAF-02</t>
        </is>
      </c>
      <c r="E74" t="inlineStr">
        <is>
          <t>IB1/16</t>
        </is>
      </c>
      <c r="F74" t="inlineStr">
        <is>
          <t>Access</t>
        </is>
      </c>
      <c r="G74" t="inlineStr">
        <is>
          <t>LLDP</t>
        </is>
      </c>
      <c r="H74" t="n">
        <v>400000</v>
      </c>
      <c r="I74" t="inlineStr">
        <is>
          <t>TN-DC-002-GPU-IB-04-7</t>
        </is>
      </c>
    </row>
    <row r="75">
      <c r="A75" t="inlineStr">
        <is>
          <t>LNK-0074</t>
        </is>
      </c>
      <c r="B75" t="inlineStr">
        <is>
          <t>TN-DC-002-GPU-004</t>
        </is>
      </c>
      <c r="C75" t="inlineStr">
        <is>
          <t>eth0</t>
        </is>
      </c>
      <c r="D75" t="inlineStr">
        <is>
          <t>TN-DC-002-ETH-LEAF-01</t>
        </is>
      </c>
      <c r="E75" t="inlineStr">
        <is>
          <t>Ethernet4/1</t>
        </is>
      </c>
      <c r="F75" t="inlineStr">
        <is>
          <t>Access</t>
        </is>
      </c>
      <c r="G75" t="inlineStr">
        <is>
          <t>LLDP</t>
        </is>
      </c>
      <c r="H75" t="n">
        <v>100000</v>
      </c>
    </row>
    <row r="76">
      <c r="A76" t="inlineStr">
        <is>
          <t>LNK-0075</t>
        </is>
      </c>
      <c r="B76" t="inlineStr">
        <is>
          <t>TN-DC-002-GPU-004</t>
        </is>
      </c>
      <c r="C76" t="inlineStr">
        <is>
          <t>eth1</t>
        </is>
      </c>
      <c r="D76" t="inlineStr">
        <is>
          <t>TN-DC-002-ETH-LEAF-02</t>
        </is>
      </c>
      <c r="E76" t="inlineStr">
        <is>
          <t>Ethernet4/1</t>
        </is>
      </c>
      <c r="F76" t="inlineStr">
        <is>
          <t>Access</t>
        </is>
      </c>
      <c r="G76" t="inlineStr">
        <is>
          <t>LLDP</t>
        </is>
      </c>
      <c r="H76" t="n">
        <v>100000</v>
      </c>
    </row>
    <row r="77">
      <c r="A77" t="inlineStr">
        <is>
          <t>LNK-0076</t>
        </is>
      </c>
      <c r="B77" t="inlineStr">
        <is>
          <t>TN-DC-002-GPU-005</t>
        </is>
      </c>
      <c r="C77" t="inlineStr">
        <is>
          <t>ib0</t>
        </is>
      </c>
      <c r="D77" t="inlineStr">
        <is>
          <t>TN-DC-002-IB-LEAF-01</t>
        </is>
      </c>
      <c r="E77" t="inlineStr">
        <is>
          <t>IB1/17</t>
        </is>
      </c>
      <c r="F77" t="inlineStr">
        <is>
          <t>Access</t>
        </is>
      </c>
      <c r="G77" t="inlineStr">
        <is>
          <t>LLDP</t>
        </is>
      </c>
      <c r="H77" t="n">
        <v>400000</v>
      </c>
      <c r="I77" t="inlineStr">
        <is>
          <t>TN-DC-002-GPU-IB-05-0</t>
        </is>
      </c>
    </row>
    <row r="78">
      <c r="A78" t="inlineStr">
        <is>
          <t>LNK-0077</t>
        </is>
      </c>
      <c r="B78" t="inlineStr">
        <is>
          <t>TN-DC-002-GPU-005</t>
        </is>
      </c>
      <c r="C78" t="inlineStr">
        <is>
          <t>ib1</t>
        </is>
      </c>
      <c r="D78" t="inlineStr">
        <is>
          <t>TN-DC-002-IB-LEAF-02</t>
        </is>
      </c>
      <c r="E78" t="inlineStr">
        <is>
          <t>IB1/17</t>
        </is>
      </c>
      <c r="F78" t="inlineStr">
        <is>
          <t>Access</t>
        </is>
      </c>
      <c r="G78" t="inlineStr">
        <is>
          <t>LLDP</t>
        </is>
      </c>
      <c r="H78" t="n">
        <v>400000</v>
      </c>
      <c r="I78" t="inlineStr">
        <is>
          <t>TN-DC-002-GPU-IB-05-1</t>
        </is>
      </c>
    </row>
    <row r="79">
      <c r="A79" t="inlineStr">
        <is>
          <t>LNK-0078</t>
        </is>
      </c>
      <c r="B79" t="inlineStr">
        <is>
          <t>TN-DC-002-GPU-005</t>
        </is>
      </c>
      <c r="C79" t="inlineStr">
        <is>
          <t>ib2</t>
        </is>
      </c>
      <c r="D79" t="inlineStr">
        <is>
          <t>TN-DC-002-IB-LEAF-01</t>
        </is>
      </c>
      <c r="E79" t="inlineStr">
        <is>
          <t>IB1/18</t>
        </is>
      </c>
      <c r="F79" t="inlineStr">
        <is>
          <t>Access</t>
        </is>
      </c>
      <c r="G79" t="inlineStr">
        <is>
          <t>LLDP</t>
        </is>
      </c>
      <c r="H79" t="n">
        <v>400000</v>
      </c>
      <c r="I79" t="inlineStr">
        <is>
          <t>TN-DC-002-GPU-IB-05-2</t>
        </is>
      </c>
    </row>
    <row r="80">
      <c r="A80" t="inlineStr">
        <is>
          <t>LNK-0079</t>
        </is>
      </c>
      <c r="B80" t="inlineStr">
        <is>
          <t>TN-DC-002-GPU-005</t>
        </is>
      </c>
      <c r="C80" t="inlineStr">
        <is>
          <t>ib3</t>
        </is>
      </c>
      <c r="D80" t="inlineStr">
        <is>
          <t>TN-DC-002-IB-LEAF-02</t>
        </is>
      </c>
      <c r="E80" t="inlineStr">
        <is>
          <t>IB1/18</t>
        </is>
      </c>
      <c r="F80" t="inlineStr">
        <is>
          <t>Access</t>
        </is>
      </c>
      <c r="G80" t="inlineStr">
        <is>
          <t>LLDP</t>
        </is>
      </c>
      <c r="H80" t="n">
        <v>400000</v>
      </c>
      <c r="I80" t="inlineStr">
        <is>
          <t>TN-DC-002-GPU-IB-05-3</t>
        </is>
      </c>
    </row>
    <row r="81">
      <c r="A81" t="inlineStr">
        <is>
          <t>LNK-0080</t>
        </is>
      </c>
      <c r="B81" t="inlineStr">
        <is>
          <t>TN-DC-002-GPU-005</t>
        </is>
      </c>
      <c r="C81" t="inlineStr">
        <is>
          <t>ib4</t>
        </is>
      </c>
      <c r="D81" t="inlineStr">
        <is>
          <t>TN-DC-002-IB-LEAF-01</t>
        </is>
      </c>
      <c r="E81" t="inlineStr">
        <is>
          <t>IB1/19</t>
        </is>
      </c>
      <c r="F81" t="inlineStr">
        <is>
          <t>Access</t>
        </is>
      </c>
      <c r="G81" t="inlineStr">
        <is>
          <t>LLDP</t>
        </is>
      </c>
      <c r="H81" t="n">
        <v>400000</v>
      </c>
      <c r="I81" t="inlineStr">
        <is>
          <t>TN-DC-002-GPU-IB-05-4</t>
        </is>
      </c>
    </row>
    <row r="82">
      <c r="A82" t="inlineStr">
        <is>
          <t>LNK-0081</t>
        </is>
      </c>
      <c r="B82" t="inlineStr">
        <is>
          <t>TN-DC-002-GPU-005</t>
        </is>
      </c>
      <c r="C82" t="inlineStr">
        <is>
          <t>ib5</t>
        </is>
      </c>
      <c r="D82" t="inlineStr">
        <is>
          <t>TN-DC-002-IB-LEAF-02</t>
        </is>
      </c>
      <c r="E82" t="inlineStr">
        <is>
          <t>IB1/19</t>
        </is>
      </c>
      <c r="F82" t="inlineStr">
        <is>
          <t>Access</t>
        </is>
      </c>
      <c r="G82" t="inlineStr">
        <is>
          <t>LLDP</t>
        </is>
      </c>
      <c r="H82" t="n">
        <v>400000</v>
      </c>
      <c r="I82" t="inlineStr">
        <is>
          <t>TN-DC-002-GPU-IB-05-5</t>
        </is>
      </c>
    </row>
    <row r="83">
      <c r="A83" t="inlineStr">
        <is>
          <t>LNK-0082</t>
        </is>
      </c>
      <c r="B83" t="inlineStr">
        <is>
          <t>TN-DC-002-GPU-005</t>
        </is>
      </c>
      <c r="C83" t="inlineStr">
        <is>
          <t>ib6</t>
        </is>
      </c>
      <c r="D83" t="inlineStr">
        <is>
          <t>TN-DC-002-IB-LEAF-01</t>
        </is>
      </c>
      <c r="E83" t="inlineStr">
        <is>
          <t>IB1/20</t>
        </is>
      </c>
      <c r="F83" t="inlineStr">
        <is>
          <t>Access</t>
        </is>
      </c>
      <c r="G83" t="inlineStr">
        <is>
          <t>LLDP</t>
        </is>
      </c>
      <c r="H83" t="n">
        <v>400000</v>
      </c>
      <c r="I83" t="inlineStr">
        <is>
          <t>TN-DC-002-GPU-IB-05-6</t>
        </is>
      </c>
    </row>
    <row r="84">
      <c r="A84" t="inlineStr">
        <is>
          <t>LNK-0083</t>
        </is>
      </c>
      <c r="B84" t="inlineStr">
        <is>
          <t>TN-DC-002-GPU-005</t>
        </is>
      </c>
      <c r="C84" t="inlineStr">
        <is>
          <t>ib7</t>
        </is>
      </c>
      <c r="D84" t="inlineStr">
        <is>
          <t>TN-DC-002-IB-LEAF-02</t>
        </is>
      </c>
      <c r="E84" t="inlineStr">
        <is>
          <t>IB1/20</t>
        </is>
      </c>
      <c r="F84" t="inlineStr">
        <is>
          <t>Access</t>
        </is>
      </c>
      <c r="G84" t="inlineStr">
        <is>
          <t>LLDP</t>
        </is>
      </c>
      <c r="H84" t="n">
        <v>400000</v>
      </c>
      <c r="I84" t="inlineStr">
        <is>
          <t>TN-DC-002-GPU-IB-05-7</t>
        </is>
      </c>
    </row>
    <row r="85">
      <c r="A85" t="inlineStr">
        <is>
          <t>LNK-0084</t>
        </is>
      </c>
      <c r="B85" t="inlineStr">
        <is>
          <t>TN-DC-002-GPU-005</t>
        </is>
      </c>
      <c r="C85" t="inlineStr">
        <is>
          <t>eth0</t>
        </is>
      </c>
      <c r="D85" t="inlineStr">
        <is>
          <t>TN-DC-002-ETH-LEAF-01</t>
        </is>
      </c>
      <c r="E85" t="inlineStr">
        <is>
          <t>Ethernet5/1</t>
        </is>
      </c>
      <c r="F85" t="inlineStr">
        <is>
          <t>Access</t>
        </is>
      </c>
      <c r="G85" t="inlineStr">
        <is>
          <t>LLDP</t>
        </is>
      </c>
      <c r="H85" t="n">
        <v>100000</v>
      </c>
    </row>
    <row r="86">
      <c r="A86" t="inlineStr">
        <is>
          <t>LNK-0085</t>
        </is>
      </c>
      <c r="B86" t="inlineStr">
        <is>
          <t>TN-DC-002-GPU-005</t>
        </is>
      </c>
      <c r="C86" t="inlineStr">
        <is>
          <t>eth1</t>
        </is>
      </c>
      <c r="D86" t="inlineStr">
        <is>
          <t>TN-DC-002-ETH-LEAF-02</t>
        </is>
      </c>
      <c r="E86" t="inlineStr">
        <is>
          <t>Ethernet5/1</t>
        </is>
      </c>
      <c r="F86" t="inlineStr">
        <is>
          <t>Access</t>
        </is>
      </c>
      <c r="G86" t="inlineStr">
        <is>
          <t>LLDP</t>
        </is>
      </c>
      <c r="H86" t="n">
        <v>100000</v>
      </c>
    </row>
    <row r="87">
      <c r="A87" t="inlineStr">
        <is>
          <t>LNK-0086</t>
        </is>
      </c>
      <c r="B87" t="inlineStr">
        <is>
          <t>TN-DC-002-GPU-006</t>
        </is>
      </c>
      <c r="C87" t="inlineStr">
        <is>
          <t>ib0</t>
        </is>
      </c>
      <c r="D87" t="inlineStr">
        <is>
          <t>TN-DC-002-IB-LEAF-01</t>
        </is>
      </c>
      <c r="E87" t="inlineStr">
        <is>
          <t>IB1/21</t>
        </is>
      </c>
      <c r="F87" t="inlineStr">
        <is>
          <t>Access</t>
        </is>
      </c>
      <c r="G87" t="inlineStr">
        <is>
          <t>LLDP</t>
        </is>
      </c>
      <c r="H87" t="n">
        <v>400000</v>
      </c>
      <c r="I87" t="inlineStr">
        <is>
          <t>TN-DC-002-GPU-IB-06-0</t>
        </is>
      </c>
    </row>
    <row r="88">
      <c r="A88" t="inlineStr">
        <is>
          <t>LNK-0087</t>
        </is>
      </c>
      <c r="B88" t="inlineStr">
        <is>
          <t>TN-DC-002-GPU-006</t>
        </is>
      </c>
      <c r="C88" t="inlineStr">
        <is>
          <t>ib1</t>
        </is>
      </c>
      <c r="D88" t="inlineStr">
        <is>
          <t>TN-DC-002-IB-LEAF-02</t>
        </is>
      </c>
      <c r="E88" t="inlineStr">
        <is>
          <t>IB1/21</t>
        </is>
      </c>
      <c r="F88" t="inlineStr">
        <is>
          <t>Access</t>
        </is>
      </c>
      <c r="G88" t="inlineStr">
        <is>
          <t>LLDP</t>
        </is>
      </c>
      <c r="H88" t="n">
        <v>400000</v>
      </c>
      <c r="I88" t="inlineStr">
        <is>
          <t>TN-DC-002-GPU-IB-06-1</t>
        </is>
      </c>
    </row>
    <row r="89">
      <c r="A89" t="inlineStr">
        <is>
          <t>LNK-0088</t>
        </is>
      </c>
      <c r="B89" t="inlineStr">
        <is>
          <t>TN-DC-002-GPU-006</t>
        </is>
      </c>
      <c r="C89" t="inlineStr">
        <is>
          <t>ib2</t>
        </is>
      </c>
      <c r="D89" t="inlineStr">
        <is>
          <t>TN-DC-002-IB-LEAF-01</t>
        </is>
      </c>
      <c r="E89" t="inlineStr">
        <is>
          <t>IB1/22</t>
        </is>
      </c>
      <c r="F89" t="inlineStr">
        <is>
          <t>Access</t>
        </is>
      </c>
      <c r="G89" t="inlineStr">
        <is>
          <t>LLDP</t>
        </is>
      </c>
      <c r="H89" t="n">
        <v>400000</v>
      </c>
      <c r="I89" t="inlineStr">
        <is>
          <t>TN-DC-002-GPU-IB-06-2</t>
        </is>
      </c>
    </row>
    <row r="90">
      <c r="A90" t="inlineStr">
        <is>
          <t>LNK-0089</t>
        </is>
      </c>
      <c r="B90" t="inlineStr">
        <is>
          <t>TN-DC-002-GPU-006</t>
        </is>
      </c>
      <c r="C90" t="inlineStr">
        <is>
          <t>ib3</t>
        </is>
      </c>
      <c r="D90" t="inlineStr">
        <is>
          <t>TN-DC-002-IB-LEAF-02</t>
        </is>
      </c>
      <c r="E90" t="inlineStr">
        <is>
          <t>IB1/22</t>
        </is>
      </c>
      <c r="F90" t="inlineStr">
        <is>
          <t>Access</t>
        </is>
      </c>
      <c r="G90" t="inlineStr">
        <is>
          <t>LLDP</t>
        </is>
      </c>
      <c r="H90" t="n">
        <v>400000</v>
      </c>
      <c r="I90" t="inlineStr">
        <is>
          <t>TN-DC-002-GPU-IB-06-3</t>
        </is>
      </c>
    </row>
    <row r="91">
      <c r="A91" t="inlineStr">
        <is>
          <t>LNK-0090</t>
        </is>
      </c>
      <c r="B91" t="inlineStr">
        <is>
          <t>TN-DC-002-GPU-006</t>
        </is>
      </c>
      <c r="C91" t="inlineStr">
        <is>
          <t>ib4</t>
        </is>
      </c>
      <c r="D91" t="inlineStr">
        <is>
          <t>TN-DC-002-IB-LEAF-01</t>
        </is>
      </c>
      <c r="E91" t="inlineStr">
        <is>
          <t>IB1/23</t>
        </is>
      </c>
      <c r="F91" t="inlineStr">
        <is>
          <t>Access</t>
        </is>
      </c>
      <c r="G91" t="inlineStr">
        <is>
          <t>LLDP</t>
        </is>
      </c>
      <c r="H91" t="n">
        <v>400000</v>
      </c>
      <c r="I91" t="inlineStr">
        <is>
          <t>TN-DC-002-GPU-IB-06-4</t>
        </is>
      </c>
    </row>
    <row r="92">
      <c r="A92" t="inlineStr">
        <is>
          <t>LNK-0091</t>
        </is>
      </c>
      <c r="B92" t="inlineStr">
        <is>
          <t>TN-DC-002-GPU-006</t>
        </is>
      </c>
      <c r="C92" t="inlineStr">
        <is>
          <t>ib5</t>
        </is>
      </c>
      <c r="D92" t="inlineStr">
        <is>
          <t>TN-DC-002-IB-LEAF-02</t>
        </is>
      </c>
      <c r="E92" t="inlineStr">
        <is>
          <t>IB1/23</t>
        </is>
      </c>
      <c r="F92" t="inlineStr">
        <is>
          <t>Access</t>
        </is>
      </c>
      <c r="G92" t="inlineStr">
        <is>
          <t>LLDP</t>
        </is>
      </c>
      <c r="H92" t="n">
        <v>400000</v>
      </c>
      <c r="I92" t="inlineStr">
        <is>
          <t>TN-DC-002-GPU-IB-06-5</t>
        </is>
      </c>
    </row>
    <row r="93">
      <c r="A93" t="inlineStr">
        <is>
          <t>LNK-0092</t>
        </is>
      </c>
      <c r="B93" t="inlineStr">
        <is>
          <t>TN-DC-002-GPU-006</t>
        </is>
      </c>
      <c r="C93" t="inlineStr">
        <is>
          <t>ib6</t>
        </is>
      </c>
      <c r="D93" t="inlineStr">
        <is>
          <t>TN-DC-002-IB-LEAF-01</t>
        </is>
      </c>
      <c r="E93" t="inlineStr">
        <is>
          <t>IB1/24</t>
        </is>
      </c>
      <c r="F93" t="inlineStr">
        <is>
          <t>Access</t>
        </is>
      </c>
      <c r="G93" t="inlineStr">
        <is>
          <t>LLDP</t>
        </is>
      </c>
      <c r="H93" t="n">
        <v>400000</v>
      </c>
      <c r="I93" t="inlineStr">
        <is>
          <t>TN-DC-002-GPU-IB-06-6</t>
        </is>
      </c>
    </row>
    <row r="94">
      <c r="A94" t="inlineStr">
        <is>
          <t>LNK-0093</t>
        </is>
      </c>
      <c r="B94" t="inlineStr">
        <is>
          <t>TN-DC-002-GPU-006</t>
        </is>
      </c>
      <c r="C94" t="inlineStr">
        <is>
          <t>ib7</t>
        </is>
      </c>
      <c r="D94" t="inlineStr">
        <is>
          <t>TN-DC-002-IB-LEAF-02</t>
        </is>
      </c>
      <c r="E94" t="inlineStr">
        <is>
          <t>IB1/24</t>
        </is>
      </c>
      <c r="F94" t="inlineStr">
        <is>
          <t>Access</t>
        </is>
      </c>
      <c r="G94" t="inlineStr">
        <is>
          <t>LLDP</t>
        </is>
      </c>
      <c r="H94" t="n">
        <v>400000</v>
      </c>
      <c r="I94" t="inlineStr">
        <is>
          <t>TN-DC-002-GPU-IB-06-7</t>
        </is>
      </c>
    </row>
    <row r="95">
      <c r="A95" t="inlineStr">
        <is>
          <t>LNK-0094</t>
        </is>
      </c>
      <c r="B95" t="inlineStr">
        <is>
          <t>TN-DC-002-GPU-006</t>
        </is>
      </c>
      <c r="C95" t="inlineStr">
        <is>
          <t>eth0</t>
        </is>
      </c>
      <c r="D95" t="inlineStr">
        <is>
          <t>TN-DC-002-ETH-LEAF-01</t>
        </is>
      </c>
      <c r="E95" t="inlineStr">
        <is>
          <t>Ethernet6/1</t>
        </is>
      </c>
      <c r="F95" t="inlineStr">
        <is>
          <t>Access</t>
        </is>
      </c>
      <c r="G95" t="inlineStr">
        <is>
          <t>LLDP</t>
        </is>
      </c>
      <c r="H95" t="n">
        <v>100000</v>
      </c>
    </row>
    <row r="96">
      <c r="A96" t="inlineStr">
        <is>
          <t>LNK-0095</t>
        </is>
      </c>
      <c r="B96" t="inlineStr">
        <is>
          <t>TN-DC-002-GPU-006</t>
        </is>
      </c>
      <c r="C96" t="inlineStr">
        <is>
          <t>eth1</t>
        </is>
      </c>
      <c r="D96" t="inlineStr">
        <is>
          <t>TN-DC-002-ETH-LEAF-02</t>
        </is>
      </c>
      <c r="E96" t="inlineStr">
        <is>
          <t>Ethernet6/1</t>
        </is>
      </c>
      <c r="F96" t="inlineStr">
        <is>
          <t>Access</t>
        </is>
      </c>
      <c r="G96" t="inlineStr">
        <is>
          <t>LLDP</t>
        </is>
      </c>
      <c r="H96" t="n">
        <v>100000</v>
      </c>
    </row>
    <row r="97">
      <c r="A97" t="inlineStr">
        <is>
          <t>LNK-0096</t>
        </is>
      </c>
      <c r="B97" t="inlineStr">
        <is>
          <t>TN-DC-002-GPU-007</t>
        </is>
      </c>
      <c r="C97" t="inlineStr">
        <is>
          <t>ib0</t>
        </is>
      </c>
      <c r="D97" t="inlineStr">
        <is>
          <t>TN-DC-002-IB-LEAF-01</t>
        </is>
      </c>
      <c r="E97" t="inlineStr">
        <is>
          <t>IB1/25</t>
        </is>
      </c>
      <c r="F97" t="inlineStr">
        <is>
          <t>Access</t>
        </is>
      </c>
      <c r="G97" t="inlineStr">
        <is>
          <t>LLDP</t>
        </is>
      </c>
      <c r="H97" t="n">
        <v>400000</v>
      </c>
      <c r="I97" t="inlineStr">
        <is>
          <t>TN-DC-002-GPU-IB-07-0</t>
        </is>
      </c>
    </row>
    <row r="98">
      <c r="A98" t="inlineStr">
        <is>
          <t>LNK-0097</t>
        </is>
      </c>
      <c r="B98" t="inlineStr">
        <is>
          <t>TN-DC-002-GPU-007</t>
        </is>
      </c>
      <c r="C98" t="inlineStr">
        <is>
          <t>ib1</t>
        </is>
      </c>
      <c r="D98" t="inlineStr">
        <is>
          <t>TN-DC-002-IB-LEAF-02</t>
        </is>
      </c>
      <c r="E98" t="inlineStr">
        <is>
          <t>IB1/25</t>
        </is>
      </c>
      <c r="F98" t="inlineStr">
        <is>
          <t>Access</t>
        </is>
      </c>
      <c r="G98" t="inlineStr">
        <is>
          <t>LLDP</t>
        </is>
      </c>
      <c r="H98" t="n">
        <v>400000</v>
      </c>
      <c r="I98" t="inlineStr">
        <is>
          <t>TN-DC-002-GPU-IB-07-1</t>
        </is>
      </c>
    </row>
    <row r="99">
      <c r="A99" t="inlineStr">
        <is>
          <t>LNK-0098</t>
        </is>
      </c>
      <c r="B99" t="inlineStr">
        <is>
          <t>TN-DC-002-GPU-007</t>
        </is>
      </c>
      <c r="C99" t="inlineStr">
        <is>
          <t>ib2</t>
        </is>
      </c>
      <c r="D99" t="inlineStr">
        <is>
          <t>TN-DC-002-IB-LEAF-01</t>
        </is>
      </c>
      <c r="E99" t="inlineStr">
        <is>
          <t>IB1/26</t>
        </is>
      </c>
      <c r="F99" t="inlineStr">
        <is>
          <t>Access</t>
        </is>
      </c>
      <c r="G99" t="inlineStr">
        <is>
          <t>LLDP</t>
        </is>
      </c>
      <c r="H99" t="n">
        <v>400000</v>
      </c>
      <c r="I99" t="inlineStr">
        <is>
          <t>TN-DC-002-GPU-IB-07-2</t>
        </is>
      </c>
    </row>
    <row r="100">
      <c r="A100" t="inlineStr">
        <is>
          <t>LNK-0099</t>
        </is>
      </c>
      <c r="B100" t="inlineStr">
        <is>
          <t>TN-DC-002-GPU-007</t>
        </is>
      </c>
      <c r="C100" t="inlineStr">
        <is>
          <t>ib3</t>
        </is>
      </c>
      <c r="D100" t="inlineStr">
        <is>
          <t>TN-DC-002-IB-LEAF-02</t>
        </is>
      </c>
      <c r="E100" t="inlineStr">
        <is>
          <t>IB1/26</t>
        </is>
      </c>
      <c r="F100" t="inlineStr">
        <is>
          <t>Access</t>
        </is>
      </c>
      <c r="G100" t="inlineStr">
        <is>
          <t>LLDP</t>
        </is>
      </c>
      <c r="H100" t="n">
        <v>400000</v>
      </c>
      <c r="I100" t="inlineStr">
        <is>
          <t>TN-DC-002-GPU-IB-07-3</t>
        </is>
      </c>
    </row>
    <row r="101">
      <c r="A101" t="inlineStr">
        <is>
          <t>LNK-0100</t>
        </is>
      </c>
      <c r="B101" t="inlineStr">
        <is>
          <t>TN-DC-002-GPU-007</t>
        </is>
      </c>
      <c r="C101" t="inlineStr">
        <is>
          <t>ib4</t>
        </is>
      </c>
      <c r="D101" t="inlineStr">
        <is>
          <t>TN-DC-002-IB-LEAF-01</t>
        </is>
      </c>
      <c r="E101" t="inlineStr">
        <is>
          <t>IB1/27</t>
        </is>
      </c>
      <c r="F101" t="inlineStr">
        <is>
          <t>Access</t>
        </is>
      </c>
      <c r="G101" t="inlineStr">
        <is>
          <t>LLDP</t>
        </is>
      </c>
      <c r="H101" t="n">
        <v>400000</v>
      </c>
      <c r="I101" t="inlineStr">
        <is>
          <t>TN-DC-002-GPU-IB-07-4</t>
        </is>
      </c>
    </row>
    <row r="102">
      <c r="A102" t="inlineStr">
        <is>
          <t>LNK-0101</t>
        </is>
      </c>
      <c r="B102" t="inlineStr">
        <is>
          <t>TN-DC-002-GPU-007</t>
        </is>
      </c>
      <c r="C102" t="inlineStr">
        <is>
          <t>ib5</t>
        </is>
      </c>
      <c r="D102" t="inlineStr">
        <is>
          <t>TN-DC-002-IB-LEAF-02</t>
        </is>
      </c>
      <c r="E102" t="inlineStr">
        <is>
          <t>IB1/27</t>
        </is>
      </c>
      <c r="F102" t="inlineStr">
        <is>
          <t>Access</t>
        </is>
      </c>
      <c r="G102" t="inlineStr">
        <is>
          <t>LLDP</t>
        </is>
      </c>
      <c r="H102" t="n">
        <v>400000</v>
      </c>
      <c r="I102" t="inlineStr">
        <is>
          <t>TN-DC-002-GPU-IB-07-5</t>
        </is>
      </c>
    </row>
    <row r="103">
      <c r="A103" t="inlineStr">
        <is>
          <t>LNK-0102</t>
        </is>
      </c>
      <c r="B103" t="inlineStr">
        <is>
          <t>TN-DC-002-GPU-007</t>
        </is>
      </c>
      <c r="C103" t="inlineStr">
        <is>
          <t>ib6</t>
        </is>
      </c>
      <c r="D103" t="inlineStr">
        <is>
          <t>TN-DC-002-IB-LEAF-01</t>
        </is>
      </c>
      <c r="E103" t="inlineStr">
        <is>
          <t>IB1/28</t>
        </is>
      </c>
      <c r="F103" t="inlineStr">
        <is>
          <t>Access</t>
        </is>
      </c>
      <c r="G103" t="inlineStr">
        <is>
          <t>LLDP</t>
        </is>
      </c>
      <c r="H103" t="n">
        <v>400000</v>
      </c>
      <c r="I103" t="inlineStr">
        <is>
          <t>TN-DC-002-GPU-IB-07-6</t>
        </is>
      </c>
    </row>
    <row r="104">
      <c r="A104" t="inlineStr">
        <is>
          <t>LNK-0103</t>
        </is>
      </c>
      <c r="B104" t="inlineStr">
        <is>
          <t>TN-DC-002-GPU-007</t>
        </is>
      </c>
      <c r="C104" t="inlineStr">
        <is>
          <t>ib7</t>
        </is>
      </c>
      <c r="D104" t="inlineStr">
        <is>
          <t>TN-DC-002-IB-LEAF-02</t>
        </is>
      </c>
      <c r="E104" t="inlineStr">
        <is>
          <t>IB1/28</t>
        </is>
      </c>
      <c r="F104" t="inlineStr">
        <is>
          <t>Access</t>
        </is>
      </c>
      <c r="G104" t="inlineStr">
        <is>
          <t>LLDP</t>
        </is>
      </c>
      <c r="H104" t="n">
        <v>400000</v>
      </c>
      <c r="I104" t="inlineStr">
        <is>
          <t>TN-DC-002-GPU-IB-07-7</t>
        </is>
      </c>
    </row>
    <row r="105">
      <c r="A105" t="inlineStr">
        <is>
          <t>LNK-0104</t>
        </is>
      </c>
      <c r="B105" t="inlineStr">
        <is>
          <t>TN-DC-002-GPU-007</t>
        </is>
      </c>
      <c r="C105" t="inlineStr">
        <is>
          <t>eth0</t>
        </is>
      </c>
      <c r="D105" t="inlineStr">
        <is>
          <t>TN-DC-002-ETH-LEAF-01</t>
        </is>
      </c>
      <c r="E105" t="inlineStr">
        <is>
          <t>Ethernet7/1</t>
        </is>
      </c>
      <c r="F105" t="inlineStr">
        <is>
          <t>Access</t>
        </is>
      </c>
      <c r="G105" t="inlineStr">
        <is>
          <t>LLDP</t>
        </is>
      </c>
      <c r="H105" t="n">
        <v>100000</v>
      </c>
    </row>
    <row r="106">
      <c r="A106" t="inlineStr">
        <is>
          <t>LNK-0105</t>
        </is>
      </c>
      <c r="B106" t="inlineStr">
        <is>
          <t>TN-DC-002-GPU-007</t>
        </is>
      </c>
      <c r="C106" t="inlineStr">
        <is>
          <t>eth1</t>
        </is>
      </c>
      <c r="D106" t="inlineStr">
        <is>
          <t>TN-DC-002-ETH-LEAF-02</t>
        </is>
      </c>
      <c r="E106" t="inlineStr">
        <is>
          <t>Ethernet7/1</t>
        </is>
      </c>
      <c r="F106" t="inlineStr">
        <is>
          <t>Access</t>
        </is>
      </c>
      <c r="G106" t="inlineStr">
        <is>
          <t>LLDP</t>
        </is>
      </c>
      <c r="H106" t="n">
        <v>100000</v>
      </c>
    </row>
    <row r="107">
      <c r="A107" t="inlineStr">
        <is>
          <t>LNK-0106</t>
        </is>
      </c>
      <c r="B107" t="inlineStr">
        <is>
          <t>TN-DC-002-GPU-008</t>
        </is>
      </c>
      <c r="C107" t="inlineStr">
        <is>
          <t>ib0</t>
        </is>
      </c>
      <c r="D107" t="inlineStr">
        <is>
          <t>TN-DC-002-IB-LEAF-01</t>
        </is>
      </c>
      <c r="E107" t="inlineStr">
        <is>
          <t>IB1/29</t>
        </is>
      </c>
      <c r="F107" t="inlineStr">
        <is>
          <t>Access</t>
        </is>
      </c>
      <c r="G107" t="inlineStr">
        <is>
          <t>LLDP</t>
        </is>
      </c>
      <c r="H107" t="n">
        <v>400000</v>
      </c>
      <c r="I107" t="inlineStr">
        <is>
          <t>TN-DC-002-GPU-IB-08-0</t>
        </is>
      </c>
    </row>
    <row r="108">
      <c r="A108" t="inlineStr">
        <is>
          <t>LNK-0107</t>
        </is>
      </c>
      <c r="B108" t="inlineStr">
        <is>
          <t>TN-DC-002-GPU-008</t>
        </is>
      </c>
      <c r="C108" t="inlineStr">
        <is>
          <t>ib1</t>
        </is>
      </c>
      <c r="D108" t="inlineStr">
        <is>
          <t>TN-DC-002-IB-LEAF-02</t>
        </is>
      </c>
      <c r="E108" t="inlineStr">
        <is>
          <t>IB1/29</t>
        </is>
      </c>
      <c r="F108" t="inlineStr">
        <is>
          <t>Access</t>
        </is>
      </c>
      <c r="G108" t="inlineStr">
        <is>
          <t>LLDP</t>
        </is>
      </c>
      <c r="H108" t="n">
        <v>400000</v>
      </c>
      <c r="I108" t="inlineStr">
        <is>
          <t>TN-DC-002-GPU-IB-08-1</t>
        </is>
      </c>
    </row>
    <row r="109">
      <c r="A109" t="inlineStr">
        <is>
          <t>LNK-0108</t>
        </is>
      </c>
      <c r="B109" t="inlineStr">
        <is>
          <t>TN-DC-002-GPU-008</t>
        </is>
      </c>
      <c r="C109" t="inlineStr">
        <is>
          <t>ib2</t>
        </is>
      </c>
      <c r="D109" t="inlineStr">
        <is>
          <t>TN-DC-002-IB-LEAF-01</t>
        </is>
      </c>
      <c r="E109" t="inlineStr">
        <is>
          <t>IB1/30</t>
        </is>
      </c>
      <c r="F109" t="inlineStr">
        <is>
          <t>Access</t>
        </is>
      </c>
      <c r="G109" t="inlineStr">
        <is>
          <t>LLDP</t>
        </is>
      </c>
      <c r="H109" t="n">
        <v>400000</v>
      </c>
      <c r="I109" t="inlineStr">
        <is>
          <t>TN-DC-002-GPU-IB-08-2</t>
        </is>
      </c>
    </row>
    <row r="110">
      <c r="A110" t="inlineStr">
        <is>
          <t>LNK-0109</t>
        </is>
      </c>
      <c r="B110" t="inlineStr">
        <is>
          <t>TN-DC-002-GPU-008</t>
        </is>
      </c>
      <c r="C110" t="inlineStr">
        <is>
          <t>ib3</t>
        </is>
      </c>
      <c r="D110" t="inlineStr">
        <is>
          <t>TN-DC-002-IB-LEAF-02</t>
        </is>
      </c>
      <c r="E110" t="inlineStr">
        <is>
          <t>IB1/30</t>
        </is>
      </c>
      <c r="F110" t="inlineStr">
        <is>
          <t>Access</t>
        </is>
      </c>
      <c r="G110" t="inlineStr">
        <is>
          <t>LLDP</t>
        </is>
      </c>
      <c r="H110" t="n">
        <v>400000</v>
      </c>
      <c r="I110" t="inlineStr">
        <is>
          <t>TN-DC-002-GPU-IB-08-3</t>
        </is>
      </c>
    </row>
    <row r="111">
      <c r="A111" t="inlineStr">
        <is>
          <t>LNK-0110</t>
        </is>
      </c>
      <c r="B111" t="inlineStr">
        <is>
          <t>TN-DC-002-GPU-008</t>
        </is>
      </c>
      <c r="C111" t="inlineStr">
        <is>
          <t>ib4</t>
        </is>
      </c>
      <c r="D111" t="inlineStr">
        <is>
          <t>TN-DC-002-IB-LEAF-01</t>
        </is>
      </c>
      <c r="E111" t="inlineStr">
        <is>
          <t>IB1/31</t>
        </is>
      </c>
      <c r="F111" t="inlineStr">
        <is>
          <t>Access</t>
        </is>
      </c>
      <c r="G111" t="inlineStr">
        <is>
          <t>LLDP</t>
        </is>
      </c>
      <c r="H111" t="n">
        <v>400000</v>
      </c>
      <c r="I111" t="inlineStr">
        <is>
          <t>TN-DC-002-GPU-IB-08-4</t>
        </is>
      </c>
    </row>
    <row r="112">
      <c r="A112" t="inlineStr">
        <is>
          <t>LNK-0111</t>
        </is>
      </c>
      <c r="B112" t="inlineStr">
        <is>
          <t>TN-DC-002-GPU-008</t>
        </is>
      </c>
      <c r="C112" t="inlineStr">
        <is>
          <t>ib5</t>
        </is>
      </c>
      <c r="D112" t="inlineStr">
        <is>
          <t>TN-DC-002-IB-LEAF-02</t>
        </is>
      </c>
      <c r="E112" t="inlineStr">
        <is>
          <t>IB1/31</t>
        </is>
      </c>
      <c r="F112" t="inlineStr">
        <is>
          <t>Access</t>
        </is>
      </c>
      <c r="G112" t="inlineStr">
        <is>
          <t>LLDP</t>
        </is>
      </c>
      <c r="H112" t="n">
        <v>400000</v>
      </c>
      <c r="I112" t="inlineStr">
        <is>
          <t>TN-DC-002-GPU-IB-08-5</t>
        </is>
      </c>
    </row>
    <row r="113">
      <c r="A113" t="inlineStr">
        <is>
          <t>LNK-0112</t>
        </is>
      </c>
      <c r="B113" t="inlineStr">
        <is>
          <t>TN-DC-002-GPU-008</t>
        </is>
      </c>
      <c r="C113" t="inlineStr">
        <is>
          <t>ib6</t>
        </is>
      </c>
      <c r="D113" t="inlineStr">
        <is>
          <t>TN-DC-002-IB-LEAF-01</t>
        </is>
      </c>
      <c r="E113" t="inlineStr">
        <is>
          <t>IB1/32</t>
        </is>
      </c>
      <c r="F113" t="inlineStr">
        <is>
          <t>Access</t>
        </is>
      </c>
      <c r="G113" t="inlineStr">
        <is>
          <t>LLDP</t>
        </is>
      </c>
      <c r="H113" t="n">
        <v>400000</v>
      </c>
      <c r="I113" t="inlineStr">
        <is>
          <t>TN-DC-002-GPU-IB-08-6</t>
        </is>
      </c>
    </row>
    <row r="114">
      <c r="A114" t="inlineStr">
        <is>
          <t>LNK-0113</t>
        </is>
      </c>
      <c r="B114" t="inlineStr">
        <is>
          <t>TN-DC-002-GPU-008</t>
        </is>
      </c>
      <c r="C114" t="inlineStr">
        <is>
          <t>ib7</t>
        </is>
      </c>
      <c r="D114" t="inlineStr">
        <is>
          <t>TN-DC-002-IB-LEAF-02</t>
        </is>
      </c>
      <c r="E114" t="inlineStr">
        <is>
          <t>IB1/32</t>
        </is>
      </c>
      <c r="F114" t="inlineStr">
        <is>
          <t>Access</t>
        </is>
      </c>
      <c r="G114" t="inlineStr">
        <is>
          <t>LLDP</t>
        </is>
      </c>
      <c r="H114" t="n">
        <v>400000</v>
      </c>
      <c r="I114" t="inlineStr">
        <is>
          <t>TN-DC-002-GPU-IB-08-7</t>
        </is>
      </c>
    </row>
    <row r="115">
      <c r="A115" t="inlineStr">
        <is>
          <t>LNK-0114</t>
        </is>
      </c>
      <c r="B115" t="inlineStr">
        <is>
          <t>TN-DC-002-GPU-008</t>
        </is>
      </c>
      <c r="C115" t="inlineStr">
        <is>
          <t>eth0</t>
        </is>
      </c>
      <c r="D115" t="inlineStr">
        <is>
          <t>TN-DC-002-ETH-LEAF-01</t>
        </is>
      </c>
      <c r="E115" t="inlineStr">
        <is>
          <t>Ethernet8/1</t>
        </is>
      </c>
      <c r="F115" t="inlineStr">
        <is>
          <t>Access</t>
        </is>
      </c>
      <c r="G115" t="inlineStr">
        <is>
          <t>LLDP</t>
        </is>
      </c>
      <c r="H115" t="n">
        <v>100000</v>
      </c>
    </row>
    <row r="116">
      <c r="A116" t="inlineStr">
        <is>
          <t>LNK-0115</t>
        </is>
      </c>
      <c r="B116" t="inlineStr">
        <is>
          <t>TN-DC-002-GPU-008</t>
        </is>
      </c>
      <c r="C116" t="inlineStr">
        <is>
          <t>eth1</t>
        </is>
      </c>
      <c r="D116" t="inlineStr">
        <is>
          <t>TN-DC-002-ETH-LEAF-02</t>
        </is>
      </c>
      <c r="E116" t="inlineStr">
        <is>
          <t>Ethernet8/1</t>
        </is>
      </c>
      <c r="F116" t="inlineStr">
        <is>
          <t>Access</t>
        </is>
      </c>
      <c r="G116" t="inlineStr">
        <is>
          <t>LLDP</t>
        </is>
      </c>
      <c r="H116" t="n">
        <v>100000</v>
      </c>
    </row>
    <row r="117">
      <c r="A117" t="inlineStr">
        <is>
          <t>LNK-0116</t>
        </is>
      </c>
      <c r="B117" t="inlineStr">
        <is>
          <t>TN-DC-002-STG-001</t>
        </is>
      </c>
      <c r="C117" t="inlineStr">
        <is>
          <t>eth0</t>
        </is>
      </c>
      <c r="D117" t="inlineStr">
        <is>
          <t>TN-DC-002-ETH-LEAF-01</t>
        </is>
      </c>
      <c r="E117" t="inlineStr">
        <is>
          <t>Ethernet20/1</t>
        </is>
      </c>
      <c r="F117" t="inlineStr">
        <is>
          <t>Access</t>
        </is>
      </c>
      <c r="G117" t="inlineStr">
        <is>
          <t>LLDP</t>
        </is>
      </c>
      <c r="H117" t="n">
        <v>100000</v>
      </c>
    </row>
    <row r="118">
      <c r="A118" t="inlineStr">
        <is>
          <t>LNK-0117</t>
        </is>
      </c>
      <c r="B118" t="inlineStr">
        <is>
          <t>TN-DC-002-STG-001</t>
        </is>
      </c>
      <c r="C118" t="inlineStr">
        <is>
          <t>eth1</t>
        </is>
      </c>
      <c r="D118" t="inlineStr">
        <is>
          <t>TN-DC-002-ETH-LEAF-02</t>
        </is>
      </c>
      <c r="E118" t="inlineStr">
        <is>
          <t>Ethernet20/1</t>
        </is>
      </c>
      <c r="F118" t="inlineStr">
        <is>
          <t>Access</t>
        </is>
      </c>
      <c r="G118" t="inlineStr">
        <is>
          <t>LLDP</t>
        </is>
      </c>
      <c r="H118" t="n">
        <v>100000</v>
      </c>
    </row>
    <row r="119">
      <c r="A119" t="inlineStr">
        <is>
          <t>LNK-0118</t>
        </is>
      </c>
      <c r="B119" t="inlineStr">
        <is>
          <t>TN-DC-002-STG-002</t>
        </is>
      </c>
      <c r="C119" t="inlineStr">
        <is>
          <t>eth0</t>
        </is>
      </c>
      <c r="D119" t="inlineStr">
        <is>
          <t>TN-DC-002-ETH-LEAF-01</t>
        </is>
      </c>
      <c r="E119" t="inlineStr">
        <is>
          <t>Ethernet21/1</t>
        </is>
      </c>
      <c r="F119" t="inlineStr">
        <is>
          <t>Access</t>
        </is>
      </c>
      <c r="G119" t="inlineStr">
        <is>
          <t>LLDP</t>
        </is>
      </c>
      <c r="H119" t="n">
        <v>100000</v>
      </c>
    </row>
    <row r="120">
      <c r="A120" t="inlineStr">
        <is>
          <t>LNK-0119</t>
        </is>
      </c>
      <c r="B120" t="inlineStr">
        <is>
          <t>TN-DC-002-STG-002</t>
        </is>
      </c>
      <c r="C120" t="inlineStr">
        <is>
          <t>eth1</t>
        </is>
      </c>
      <c r="D120" t="inlineStr">
        <is>
          <t>TN-DC-002-ETH-LEAF-02</t>
        </is>
      </c>
      <c r="E120" t="inlineStr">
        <is>
          <t>Ethernet21/1</t>
        </is>
      </c>
      <c r="F120" t="inlineStr">
        <is>
          <t>Access</t>
        </is>
      </c>
      <c r="G120" t="inlineStr">
        <is>
          <t>LLDP</t>
        </is>
      </c>
      <c r="H120" t="n">
        <v>100000</v>
      </c>
    </row>
    <row r="121">
      <c r="A121" t="inlineStr">
        <is>
          <t>LNK-0120</t>
        </is>
      </c>
      <c r="B121" t="inlineStr">
        <is>
          <t>TN-DC-002-CPU-0001</t>
        </is>
      </c>
      <c r="C121" t="inlineStr">
        <is>
          <t>eth0</t>
        </is>
      </c>
      <c r="D121" t="inlineStr">
        <is>
          <t>TN-DC-002-ETH-LEAF-01</t>
        </is>
      </c>
      <c r="E121" t="inlineStr">
        <is>
          <t>Ethernet22/1</t>
        </is>
      </c>
      <c r="F121" t="inlineStr">
        <is>
          <t>Access</t>
        </is>
      </c>
      <c r="G121" t="inlineStr">
        <is>
          <t>LLDP</t>
        </is>
      </c>
      <c r="H121" t="n">
        <v>100000</v>
      </c>
    </row>
    <row r="122">
      <c r="A122" t="inlineStr">
        <is>
          <t>LNK-0121</t>
        </is>
      </c>
      <c r="B122" t="inlineStr">
        <is>
          <t>TN-DC-002-CPU-0001</t>
        </is>
      </c>
      <c r="C122" t="inlineStr">
        <is>
          <t>eth1</t>
        </is>
      </c>
      <c r="D122" t="inlineStr">
        <is>
          <t>TN-DC-002-ETH-LEAF-02</t>
        </is>
      </c>
      <c r="E122" t="inlineStr">
        <is>
          <t>Ethernet22/1</t>
        </is>
      </c>
      <c r="F122" t="inlineStr">
        <is>
          <t>Access</t>
        </is>
      </c>
      <c r="G122" t="inlineStr">
        <is>
          <t>LLDP</t>
        </is>
      </c>
      <c r="H122" t="n">
        <v>100000</v>
      </c>
    </row>
    <row r="123">
      <c r="A123" t="inlineStr">
        <is>
          <t>LNK-0122</t>
        </is>
      </c>
      <c r="B123" t="inlineStr">
        <is>
          <t>TN-DC-002-CPU-0002</t>
        </is>
      </c>
      <c r="C123" t="inlineStr">
        <is>
          <t>eth0</t>
        </is>
      </c>
      <c r="D123" t="inlineStr">
        <is>
          <t>TN-DC-002-ETH-LEAF-01</t>
        </is>
      </c>
      <c r="E123" t="inlineStr">
        <is>
          <t>Ethernet23/1</t>
        </is>
      </c>
      <c r="F123" t="inlineStr">
        <is>
          <t>Access</t>
        </is>
      </c>
      <c r="G123" t="inlineStr">
        <is>
          <t>LLDP</t>
        </is>
      </c>
      <c r="H123" t="n">
        <v>100000</v>
      </c>
    </row>
    <row r="124">
      <c r="A124" t="inlineStr">
        <is>
          <t>LNK-0123</t>
        </is>
      </c>
      <c r="B124" t="inlineStr">
        <is>
          <t>TN-DC-002-CPU-0002</t>
        </is>
      </c>
      <c r="C124" t="inlineStr">
        <is>
          <t>eth1</t>
        </is>
      </c>
      <c r="D124" t="inlineStr">
        <is>
          <t>TN-DC-002-ETH-LEAF-02</t>
        </is>
      </c>
      <c r="E124" t="inlineStr">
        <is>
          <t>Ethernet23/1</t>
        </is>
      </c>
      <c r="F124" t="inlineStr">
        <is>
          <t>Access</t>
        </is>
      </c>
      <c r="G124" t="inlineStr">
        <is>
          <t>LLDP</t>
        </is>
      </c>
      <c r="H124" t="n">
        <v>100000</v>
      </c>
    </row>
    <row r="125">
      <c r="A125" t="inlineStr">
        <is>
          <t>LNK-0124</t>
        </is>
      </c>
      <c r="B125" t="inlineStr">
        <is>
          <t>TN-DC-002-OOB-01</t>
        </is>
      </c>
      <c r="C125" t="inlineStr">
        <is>
          <t>swp1</t>
        </is>
      </c>
      <c r="D125" t="inlineStr">
        <is>
          <t>TN-DC-002-BDR-01</t>
        </is>
      </c>
      <c r="E125" t="inlineStr">
        <is>
          <t>mgmt0</t>
        </is>
      </c>
      <c r="F125" t="inlineStr">
        <is>
          <t>Access</t>
        </is>
      </c>
      <c r="G125" t="inlineStr">
        <is>
          <t>LLDP</t>
        </is>
      </c>
      <c r="H125" t="n">
        <v>1000</v>
      </c>
    </row>
    <row r="126">
      <c r="A126" t="inlineStr">
        <is>
          <t>LNK-0125</t>
        </is>
      </c>
      <c r="B126" t="inlineStr">
        <is>
          <t>TN-DC-002-OOB-01</t>
        </is>
      </c>
      <c r="C126" t="inlineStr">
        <is>
          <t>swp2</t>
        </is>
      </c>
      <c r="D126" t="inlineStr">
        <is>
          <t>TN-DC-002-BDR-02</t>
        </is>
      </c>
      <c r="E126" t="inlineStr">
        <is>
          <t>mgmt0</t>
        </is>
      </c>
      <c r="F126" t="inlineStr">
        <is>
          <t>Access</t>
        </is>
      </c>
      <c r="G126" t="inlineStr">
        <is>
          <t>LLDP</t>
        </is>
      </c>
      <c r="H126" t="n">
        <v>1000</v>
      </c>
    </row>
    <row r="127">
      <c r="A127" t="inlineStr">
        <is>
          <t>LNK-0126</t>
        </is>
      </c>
      <c r="B127" t="inlineStr">
        <is>
          <t>TN-DC-002-OOB-01</t>
        </is>
      </c>
      <c r="C127" t="inlineStr">
        <is>
          <t>swp3</t>
        </is>
      </c>
      <c r="D127" t="inlineStr">
        <is>
          <t>TN-DC-002-FW-01</t>
        </is>
      </c>
      <c r="E127" t="inlineStr">
        <is>
          <t>mgmt0</t>
        </is>
      </c>
      <c r="F127" t="inlineStr">
        <is>
          <t>Access</t>
        </is>
      </c>
      <c r="G127" t="inlineStr">
        <is>
          <t>LLDP</t>
        </is>
      </c>
      <c r="H127" t="n">
        <v>1000</v>
      </c>
    </row>
    <row r="128">
      <c r="A128" t="inlineStr">
        <is>
          <t>LNK-0127</t>
        </is>
      </c>
      <c r="B128" t="inlineStr">
        <is>
          <t>TN-DC-002-OOB-01</t>
        </is>
      </c>
      <c r="C128" t="inlineStr">
        <is>
          <t>swp4</t>
        </is>
      </c>
      <c r="D128" t="inlineStr">
        <is>
          <t>TN-DC-002-FW-02</t>
        </is>
      </c>
      <c r="E128" t="inlineStr">
        <is>
          <t>mgmt0</t>
        </is>
      </c>
      <c r="F128" t="inlineStr">
        <is>
          <t>Access</t>
        </is>
      </c>
      <c r="G128" t="inlineStr">
        <is>
          <t>LLDP</t>
        </is>
      </c>
      <c r="H128" t="n">
        <v>1000</v>
      </c>
    </row>
    <row r="129">
      <c r="A129" t="inlineStr">
        <is>
          <t>LNK-0128</t>
        </is>
      </c>
      <c r="B129" t="inlineStr">
        <is>
          <t>TN-DC-002-OOB-01</t>
        </is>
      </c>
      <c r="C129" t="inlineStr">
        <is>
          <t>swp5</t>
        </is>
      </c>
      <c r="D129" t="inlineStr">
        <is>
          <t>TN-DC-002-IB-SPINE-01</t>
        </is>
      </c>
      <c r="E129" t="inlineStr">
        <is>
          <t>mgmt0</t>
        </is>
      </c>
      <c r="F129" t="inlineStr">
        <is>
          <t>Access</t>
        </is>
      </c>
      <c r="G129" t="inlineStr">
        <is>
          <t>LLDP</t>
        </is>
      </c>
      <c r="H129" t="n">
        <v>1000</v>
      </c>
    </row>
    <row r="130">
      <c r="A130" t="inlineStr">
        <is>
          <t>LNK-0129</t>
        </is>
      </c>
      <c r="B130" t="inlineStr">
        <is>
          <t>TN-DC-002-OOB-01</t>
        </is>
      </c>
      <c r="C130" t="inlineStr">
        <is>
          <t>swp6</t>
        </is>
      </c>
      <c r="D130" t="inlineStr">
        <is>
          <t>TN-DC-002-IB-SPINE-02</t>
        </is>
      </c>
      <c r="E130" t="inlineStr">
        <is>
          <t>mgmt0</t>
        </is>
      </c>
      <c r="F130" t="inlineStr">
        <is>
          <t>Access</t>
        </is>
      </c>
      <c r="G130" t="inlineStr">
        <is>
          <t>LLDP</t>
        </is>
      </c>
      <c r="H130" t="n">
        <v>1000</v>
      </c>
    </row>
    <row r="131">
      <c r="A131" t="inlineStr">
        <is>
          <t>LNK-0130</t>
        </is>
      </c>
      <c r="B131" t="inlineStr">
        <is>
          <t>TN-DC-002-OOB-01</t>
        </is>
      </c>
      <c r="C131" t="inlineStr">
        <is>
          <t>swp7</t>
        </is>
      </c>
      <c r="D131" t="inlineStr">
        <is>
          <t>TN-DC-002-ETH-SPINE-01</t>
        </is>
      </c>
      <c r="E131" t="inlineStr">
        <is>
          <t>mgmt0</t>
        </is>
      </c>
      <c r="F131" t="inlineStr">
        <is>
          <t>Access</t>
        </is>
      </c>
      <c r="G131" t="inlineStr">
        <is>
          <t>LLDP</t>
        </is>
      </c>
      <c r="H131" t="n">
        <v>1000</v>
      </c>
    </row>
    <row r="132">
      <c r="A132" t="inlineStr">
        <is>
          <t>LNK-0131</t>
        </is>
      </c>
      <c r="B132" t="inlineStr">
        <is>
          <t>TN-DC-002-OOB-01</t>
        </is>
      </c>
      <c r="C132" t="inlineStr">
        <is>
          <t>swp8</t>
        </is>
      </c>
      <c r="D132" t="inlineStr">
        <is>
          <t>TN-DC-002-ETH-SPINE-02</t>
        </is>
      </c>
      <c r="E132" t="inlineStr">
        <is>
          <t>mgmt0</t>
        </is>
      </c>
      <c r="F132" t="inlineStr">
        <is>
          <t>Access</t>
        </is>
      </c>
      <c r="G132" t="inlineStr">
        <is>
          <t>LLDP</t>
        </is>
      </c>
      <c r="H132" t="n">
        <v>1000</v>
      </c>
    </row>
    <row r="133">
      <c r="A133" t="inlineStr">
        <is>
          <t>LNK-0132</t>
        </is>
      </c>
      <c r="B133" t="inlineStr">
        <is>
          <t>TN-DC-002-OOB-01</t>
        </is>
      </c>
      <c r="C133" t="inlineStr">
        <is>
          <t>swp9</t>
        </is>
      </c>
      <c r="D133" t="inlineStr">
        <is>
          <t>TN-DC-002-IB-LEAF-01</t>
        </is>
      </c>
      <c r="E133" t="inlineStr">
        <is>
          <t>mgmt0</t>
        </is>
      </c>
      <c r="F133" t="inlineStr">
        <is>
          <t>Access</t>
        </is>
      </c>
      <c r="G133" t="inlineStr">
        <is>
          <t>LLDP</t>
        </is>
      </c>
      <c r="H133" t="n">
        <v>1000</v>
      </c>
    </row>
    <row r="134">
      <c r="A134" t="inlineStr">
        <is>
          <t>LNK-0133</t>
        </is>
      </c>
      <c r="B134" t="inlineStr">
        <is>
          <t>TN-DC-002-OOB-01</t>
        </is>
      </c>
      <c r="C134" t="inlineStr">
        <is>
          <t>swp10</t>
        </is>
      </c>
      <c r="D134" t="inlineStr">
        <is>
          <t>TN-DC-002-IB-LEAF-02</t>
        </is>
      </c>
      <c r="E134" t="inlineStr">
        <is>
          <t>mgmt0</t>
        </is>
      </c>
      <c r="F134" t="inlineStr">
        <is>
          <t>Access</t>
        </is>
      </c>
      <c r="G134" t="inlineStr">
        <is>
          <t>LLDP</t>
        </is>
      </c>
      <c r="H134" t="n">
        <v>1000</v>
      </c>
    </row>
    <row r="135">
      <c r="A135" t="inlineStr">
        <is>
          <t>LNK-0134</t>
        </is>
      </c>
      <c r="B135" t="inlineStr">
        <is>
          <t>TN-DC-002-OOB-01</t>
        </is>
      </c>
      <c r="C135" t="inlineStr">
        <is>
          <t>swp11</t>
        </is>
      </c>
      <c r="D135" t="inlineStr">
        <is>
          <t>TN-DC-002-ETH-LEAF-01</t>
        </is>
      </c>
      <c r="E135" t="inlineStr">
        <is>
          <t>mgmt0</t>
        </is>
      </c>
      <c r="F135" t="inlineStr">
        <is>
          <t>Access</t>
        </is>
      </c>
      <c r="G135" t="inlineStr">
        <is>
          <t>LLDP</t>
        </is>
      </c>
      <c r="H135" t="n">
        <v>1000</v>
      </c>
    </row>
    <row r="136">
      <c r="A136" t="inlineStr">
        <is>
          <t>LNK-0135</t>
        </is>
      </c>
      <c r="B136" t="inlineStr">
        <is>
          <t>TN-DC-002-OOB-01</t>
        </is>
      </c>
      <c r="C136" t="inlineStr">
        <is>
          <t>swp12</t>
        </is>
      </c>
      <c r="D136" t="inlineStr">
        <is>
          <t>TN-DC-002-ETH-LEAF-02</t>
        </is>
      </c>
      <c r="E136" t="inlineStr">
        <is>
          <t>mgmt0</t>
        </is>
      </c>
      <c r="F136" t="inlineStr">
        <is>
          <t>Access</t>
        </is>
      </c>
      <c r="G136" t="inlineStr">
        <is>
          <t>LLDP</t>
        </is>
      </c>
      <c r="H136" t="n">
        <v>1000</v>
      </c>
    </row>
    <row r="137">
      <c r="A137" t="inlineStr">
        <is>
          <t>LNK-0136</t>
        </is>
      </c>
      <c r="B137" t="inlineStr">
        <is>
          <t>TN-DC-002-OOB-01</t>
        </is>
      </c>
      <c r="C137" t="inlineStr">
        <is>
          <t>swp13</t>
        </is>
      </c>
      <c r="D137" t="inlineStr">
        <is>
          <t>TN-DC-002-STG-001</t>
        </is>
      </c>
      <c r="E137" t="inlineStr">
        <is>
          <t>mgmt0</t>
        </is>
      </c>
      <c r="F137" t="inlineStr">
        <is>
          <t>Access</t>
        </is>
      </c>
      <c r="G137" t="inlineStr">
        <is>
          <t>LLDP</t>
        </is>
      </c>
      <c r="H137" t="n">
        <v>1000</v>
      </c>
    </row>
    <row r="138">
      <c r="A138" t="inlineStr">
        <is>
          <t>LNK-0137</t>
        </is>
      </c>
      <c r="B138" t="inlineStr">
        <is>
          <t>TN-DC-002-OOB-01</t>
        </is>
      </c>
      <c r="C138" t="inlineStr">
        <is>
          <t>swp14</t>
        </is>
      </c>
      <c r="D138" t="inlineStr">
        <is>
          <t>TN-DC-002-STG-002</t>
        </is>
      </c>
      <c r="E138" t="inlineStr">
        <is>
          <t>mgmt0</t>
        </is>
      </c>
      <c r="F138" t="inlineStr">
        <is>
          <t>Access</t>
        </is>
      </c>
      <c r="G138" t="inlineStr">
        <is>
          <t>LLDP</t>
        </is>
      </c>
      <c r="H138" t="n">
        <v>1000</v>
      </c>
    </row>
    <row r="139">
      <c r="A139" t="inlineStr">
        <is>
          <t>LNK-0138</t>
        </is>
      </c>
      <c r="B139" t="inlineStr">
        <is>
          <t>TN-DC-002-OOB-01</t>
        </is>
      </c>
      <c r="C139" t="inlineStr">
        <is>
          <t>swp15</t>
        </is>
      </c>
      <c r="D139" t="inlineStr">
        <is>
          <t>TN-DC-002-CPU-0001</t>
        </is>
      </c>
      <c r="E139" t="inlineStr">
        <is>
          <t>mgmt0</t>
        </is>
      </c>
      <c r="F139" t="inlineStr">
        <is>
          <t>Access</t>
        </is>
      </c>
      <c r="G139" t="inlineStr">
        <is>
          <t>LLDP</t>
        </is>
      </c>
      <c r="H139" t="n">
        <v>1000</v>
      </c>
    </row>
    <row r="140">
      <c r="A140" t="inlineStr">
        <is>
          <t>LNK-0139</t>
        </is>
      </c>
      <c r="B140" t="inlineStr">
        <is>
          <t>TN-DC-002-OOB-01</t>
        </is>
      </c>
      <c r="C140" t="inlineStr">
        <is>
          <t>swp16</t>
        </is>
      </c>
      <c r="D140" t="inlineStr">
        <is>
          <t>TN-DC-002-CPU-0002</t>
        </is>
      </c>
      <c r="E140" t="inlineStr">
        <is>
          <t>mgmt0</t>
        </is>
      </c>
      <c r="F140" t="inlineStr">
        <is>
          <t>Access</t>
        </is>
      </c>
      <c r="G140" t="inlineStr">
        <is>
          <t>LLDP</t>
        </is>
      </c>
      <c r="H140" t="n">
        <v>1000</v>
      </c>
    </row>
    <row r="141">
      <c r="A141" t="inlineStr">
        <is>
          <t>LNK-0140</t>
        </is>
      </c>
      <c r="B141" t="inlineStr">
        <is>
          <t>TN-DC-002-OOB-01</t>
        </is>
      </c>
      <c r="C141" t="inlineStr">
        <is>
          <t>swp17</t>
        </is>
      </c>
      <c r="D141" t="inlineStr">
        <is>
          <t>TN-DC-002-GPU-001</t>
        </is>
      </c>
      <c r="E141" t="inlineStr">
        <is>
          <t>mgmt0</t>
        </is>
      </c>
      <c r="F141" t="inlineStr">
        <is>
          <t>Access</t>
        </is>
      </c>
      <c r="G141" t="inlineStr">
        <is>
          <t>LLDP</t>
        </is>
      </c>
      <c r="H141" t="n">
        <v>1000</v>
      </c>
    </row>
    <row r="142">
      <c r="A142" t="inlineStr">
        <is>
          <t>LNK-0141</t>
        </is>
      </c>
      <c r="B142" t="inlineStr">
        <is>
          <t>TN-DC-002-OOB-01</t>
        </is>
      </c>
      <c r="C142" t="inlineStr">
        <is>
          <t>swp18</t>
        </is>
      </c>
      <c r="D142" t="inlineStr">
        <is>
          <t>TN-DC-002-GPU-002</t>
        </is>
      </c>
      <c r="E142" t="inlineStr">
        <is>
          <t>mgmt0</t>
        </is>
      </c>
      <c r="F142" t="inlineStr">
        <is>
          <t>Access</t>
        </is>
      </c>
      <c r="G142" t="inlineStr">
        <is>
          <t>LLDP</t>
        </is>
      </c>
      <c r="H142" t="n">
        <v>1000</v>
      </c>
    </row>
    <row r="143">
      <c r="A143" t="inlineStr">
        <is>
          <t>LNK-0142</t>
        </is>
      </c>
      <c r="B143" t="inlineStr">
        <is>
          <t>TN-DC-002-OOB-01</t>
        </is>
      </c>
      <c r="C143" t="inlineStr">
        <is>
          <t>swp19</t>
        </is>
      </c>
      <c r="D143" t="inlineStr">
        <is>
          <t>TN-DC-002-GPU-003</t>
        </is>
      </c>
      <c r="E143" t="inlineStr">
        <is>
          <t>mgmt0</t>
        </is>
      </c>
      <c r="F143" t="inlineStr">
        <is>
          <t>Access</t>
        </is>
      </c>
      <c r="G143" t="inlineStr">
        <is>
          <t>LLDP</t>
        </is>
      </c>
      <c r="H143" t="n">
        <v>1000</v>
      </c>
    </row>
    <row r="144">
      <c r="A144" t="inlineStr">
        <is>
          <t>LNK-0143</t>
        </is>
      </c>
      <c r="B144" t="inlineStr">
        <is>
          <t>TN-DC-002-OOB-01</t>
        </is>
      </c>
      <c r="C144" t="inlineStr">
        <is>
          <t>swp20</t>
        </is>
      </c>
      <c r="D144" t="inlineStr">
        <is>
          <t>TN-DC-002-GPU-004</t>
        </is>
      </c>
      <c r="E144" t="inlineStr">
        <is>
          <t>mgmt0</t>
        </is>
      </c>
      <c r="F144" t="inlineStr">
        <is>
          <t>Access</t>
        </is>
      </c>
      <c r="G144" t="inlineStr">
        <is>
          <t>LLDP</t>
        </is>
      </c>
      <c r="H144" t="n">
        <v>1000</v>
      </c>
    </row>
    <row r="145">
      <c r="A145" t="inlineStr">
        <is>
          <t>LNK-0144</t>
        </is>
      </c>
      <c r="B145" t="inlineStr">
        <is>
          <t>TN-DC-002-OOB-01</t>
        </is>
      </c>
      <c r="C145" t="inlineStr">
        <is>
          <t>swp21</t>
        </is>
      </c>
      <c r="D145" t="inlineStr">
        <is>
          <t>TN-DC-002-GPU-005</t>
        </is>
      </c>
      <c r="E145" t="inlineStr">
        <is>
          <t>mgmt0</t>
        </is>
      </c>
      <c r="F145" t="inlineStr">
        <is>
          <t>Access</t>
        </is>
      </c>
      <c r="G145" t="inlineStr">
        <is>
          <t>LLDP</t>
        </is>
      </c>
      <c r="H145" t="n">
        <v>1000</v>
      </c>
    </row>
    <row r="146">
      <c r="A146" t="inlineStr">
        <is>
          <t>LNK-0145</t>
        </is>
      </c>
      <c r="B146" t="inlineStr">
        <is>
          <t>TN-DC-002-OOB-01</t>
        </is>
      </c>
      <c r="C146" t="inlineStr">
        <is>
          <t>swp22</t>
        </is>
      </c>
      <c r="D146" t="inlineStr">
        <is>
          <t>TN-DC-002-GPU-006</t>
        </is>
      </c>
      <c r="E146" t="inlineStr">
        <is>
          <t>mgmt0</t>
        </is>
      </c>
      <c r="F146" t="inlineStr">
        <is>
          <t>Access</t>
        </is>
      </c>
      <c r="G146" t="inlineStr">
        <is>
          <t>LLDP</t>
        </is>
      </c>
      <c r="H146" t="n">
        <v>1000</v>
      </c>
    </row>
    <row r="147">
      <c r="A147" t="inlineStr">
        <is>
          <t>LNK-0146</t>
        </is>
      </c>
      <c r="B147" t="inlineStr">
        <is>
          <t>TN-DC-002-OOB-01</t>
        </is>
      </c>
      <c r="C147" t="inlineStr">
        <is>
          <t>swp23</t>
        </is>
      </c>
      <c r="D147" t="inlineStr">
        <is>
          <t>TN-DC-002-GPU-007</t>
        </is>
      </c>
      <c r="E147" t="inlineStr">
        <is>
          <t>mgmt0</t>
        </is>
      </c>
      <c r="F147" t="inlineStr">
        <is>
          <t>Access</t>
        </is>
      </c>
      <c r="G147" t="inlineStr">
        <is>
          <t>LLDP</t>
        </is>
      </c>
      <c r="H147" t="n">
        <v>1000</v>
      </c>
    </row>
    <row r="148">
      <c r="A148" t="inlineStr">
        <is>
          <t>LNK-0147</t>
        </is>
      </c>
      <c r="B148" t="inlineStr">
        <is>
          <t>TN-DC-002-OOB-01</t>
        </is>
      </c>
      <c r="C148" t="inlineStr">
        <is>
          <t>swp24</t>
        </is>
      </c>
      <c r="D148" t="inlineStr">
        <is>
          <t>TN-DC-002-GPU-008</t>
        </is>
      </c>
      <c r="E148" t="inlineStr">
        <is>
          <t>mgmt0</t>
        </is>
      </c>
      <c r="F148" t="inlineStr">
        <is>
          <t>Access</t>
        </is>
      </c>
      <c r="G148" t="inlineStr">
        <is>
          <t>LLDP</t>
        </is>
      </c>
      <c r="H148" t="n">
        <v>1000</v>
      </c>
    </row>
    <row r="149">
      <c r="A149" t="inlineStr">
        <is>
          <t>LNK-0148</t>
        </is>
      </c>
      <c r="B149" t="inlineStr">
        <is>
          <t>MP-DC-001-BDR-01</t>
        </is>
      </c>
      <c r="C149" t="inlineStr">
        <is>
          <t>et-0/0/2</t>
        </is>
      </c>
      <c r="D149" t="inlineStr">
        <is>
          <t>TN-DC-002-BDR-01</t>
        </is>
      </c>
      <c r="E149" t="inlineStr">
        <is>
          <t>et-0/0/2</t>
        </is>
      </c>
      <c r="F149" t="inlineStr">
        <is>
          <t>Backhaul</t>
        </is>
      </c>
      <c r="G149" t="inlineStr">
        <is>
          <t>LLDP</t>
        </is>
      </c>
      <c r="H149" t="n">
        <v>100000</v>
      </c>
      <c r="I149" t="inlineStr">
        <is>
          <t>CARRIER-IDR-MAA-01</t>
        </is>
      </c>
      <c r="K149" t="inlineStr">
        <is>
          <t>MMR-ODF-01:23</t>
        </is>
      </c>
      <c r="L149" t="inlineStr">
        <is>
          <t>MMR-ODF-01:23</t>
        </is>
      </c>
      <c r="M149" t="inlineStr">
        <is>
          <t>AIRTEL-NLD-100G-55821 (sample)</t>
        </is>
      </c>
    </row>
    <row r="150">
      <c r="A150" t="inlineStr">
        <is>
          <t>LNK-0149</t>
        </is>
      </c>
      <c r="B150" t="inlineStr">
        <is>
          <t>MP-DC-001-BDR-02</t>
        </is>
      </c>
      <c r="C150" t="inlineStr">
        <is>
          <t>et-0/0/2</t>
        </is>
      </c>
      <c r="D150" t="inlineStr">
        <is>
          <t>TN-DC-002-BDR-02</t>
        </is>
      </c>
      <c r="E150" t="inlineStr">
        <is>
          <t>et-0/0/2</t>
        </is>
      </c>
      <c r="F150" t="inlineStr">
        <is>
          <t>Backhaul</t>
        </is>
      </c>
      <c r="G150" t="inlineStr">
        <is>
          <t>LLDP</t>
        </is>
      </c>
      <c r="H150" t="n">
        <v>100000</v>
      </c>
      <c r="I150" t="inlineStr">
        <is>
          <t>CARRIER-IDR-MAA-02</t>
        </is>
      </c>
      <c r="K150" t="inlineStr">
        <is>
          <t>MMR-ODF-01:24</t>
        </is>
      </c>
      <c r="L150" t="inlineStr">
        <is>
          <t>MMR-ODF-01:24</t>
        </is>
      </c>
      <c r="M150" t="inlineStr">
        <is>
          <t>TATA-NLD-100G-90114 (sample)</t>
        </is>
      </c>
    </row>
  </sheetData>
  <autoFilter ref="A1:M150"/>
  <dataValidations count="2">
    <dataValidation sqref="F2:F2000" showDropDown="0" showInputMessage="0" showErrorMessage="1" allowBlank="1" errorTitle="Not an allowed value" error="Pick a value from the list (Lookups → link_role)." type="list">
      <formula1>=L_link_role</formula1>
    </dataValidation>
    <dataValidation sqref="G2:G2000" showDropDown="0" showInputMessage="0" showErrorMessage="1" allowBlank="1" errorTitle="Not an allowed value" error="Pick a value from the list (Lookups → protocol)." type="list">
      <formula1>=L_protocol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2E6BD9"/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20" customWidth="1" min="4" max="4"/>
    <col width="14" customWidth="1" min="5" max="5"/>
    <col width="37" customWidth="1" min="6" max="6"/>
    <col width="17" customWidth="1" min="7" max="7"/>
    <col width="12" customWidth="1" min="8" max="8"/>
    <col width="22" customWidth="1" min="9" max="9"/>
  </cols>
  <sheetData>
    <row r="1" ht="30" customHeight="1">
      <c r="A1" s="16" t="inlineStr">
        <is>
          <t>cluster_id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scheduler *</t>
        </is>
      </c>
      <c r="F1" s="16" t="inlineStr">
        <is>
          <t>fabric *</t>
        </is>
      </c>
      <c r="G1" s="16" t="inlineStr">
        <is>
          <t>gpu_model *</t>
        </is>
      </c>
      <c r="H1" s="16" t="inlineStr">
        <is>
          <t>cooling *</t>
        </is>
      </c>
      <c r="I1" s="20" t="inlineStr">
        <is>
          <t>node_count (calc)</t>
        </is>
      </c>
    </row>
    <row r="2">
      <c r="A2" t="inlineStr">
        <is>
          <t>TN-DC-002-CL-01</t>
        </is>
      </c>
      <c r="B2" t="inlineStr">
        <is>
          <t>TN-DC-002</t>
        </is>
      </c>
      <c r="C2" t="inlineStr">
        <is>
          <t>TN-DC-002-GPU1</t>
        </is>
      </c>
      <c r="D2" t="inlineStr">
        <is>
          <t>Chennai H200 pod 1</t>
        </is>
      </c>
      <c r="E2" t="inlineStr">
        <is>
          <t>Slurm</t>
        </is>
      </c>
      <c r="F2" t="inlineStr">
        <is>
          <t>InfiniBand NDR 400G, rail-optimised</t>
        </is>
      </c>
      <c r="G2" t="inlineStr">
        <is>
          <t>H200 SXM 141 GB</t>
        </is>
      </c>
      <c r="H2" t="inlineStr">
        <is>
          <t>liquid</t>
        </is>
      </c>
      <c r="I2" s="21">
        <f>COUNTIF('GPU_Nodes'!$B$2:$B$2000,A2)</f>
        <v/>
      </c>
    </row>
  </sheetData>
  <autoFilter ref="A1:I2"/>
  <dataValidations count="3">
    <dataValidation sqref="E2:E2000" showDropDown="0" showInputMessage="0" showErrorMessage="1" allowBlank="1" errorTitle="Not an allowed value" error="Pick a value from the list (Lookups → scheduler)." type="list">
      <formula1>=L_scheduler</formula1>
    </dataValidation>
    <dataValidation sqref="G2:G2000" showDropDown="0" showInputMessage="0" showErrorMessage="1" allowBlank="1" errorTitle="Not an allowed value" error="Pick a value from the list (Lookups → gpu_model)." type="list">
      <formula1>=L_gpu_model</formula1>
    </dataValidation>
    <dataValidation sqref="H2:H2000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2E6BD9"/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5" customWidth="1" min="4" max="4"/>
    <col width="14" customWidth="1" min="5" max="5"/>
    <col width="27" customWidth="1" min="6" max="6"/>
    <col width="12" customWidth="1" min="7" max="7"/>
    <col width="11" customWidth="1" min="8" max="8"/>
    <col width="14" customWidth="1" min="9" max="9"/>
  </cols>
  <sheetData>
    <row r="1" ht="30" customHeight="1">
      <c r="A1" s="16" t="inlineStr">
        <is>
          <t>device_id *</t>
        </is>
      </c>
      <c r="B1" s="16" t="inlineStr">
        <is>
          <t>cluster_id *</t>
        </is>
      </c>
      <c r="C1" s="16" t="inlineStr">
        <is>
          <t>gpu_model *</t>
        </is>
      </c>
      <c r="D1" s="16" t="inlineStr">
        <is>
          <t>gpu_vendor *</t>
        </is>
      </c>
      <c r="E1" s="16" t="inlineStr">
        <is>
          <t>gpu_count *</t>
        </is>
      </c>
      <c r="F1" s="16" t="inlineStr">
        <is>
          <t>server_model *</t>
        </is>
      </c>
      <c r="G1" s="16" t="inlineStr">
        <is>
          <t>cooling *</t>
        </is>
      </c>
      <c r="H1" s="17" t="inlineStr">
        <is>
          <t>driver</t>
        </is>
      </c>
      <c r="I1" s="17" t="inlineStr">
        <is>
          <t>firmware</t>
        </is>
      </c>
    </row>
    <row r="2">
      <c r="A2" t="inlineStr">
        <is>
          <t>TN-DC-002-GPU-001</t>
        </is>
      </c>
      <c r="B2" t="inlineStr">
        <is>
          <t>TN-DC-002-CL-01</t>
        </is>
      </c>
      <c r="C2" t="inlineStr">
        <is>
          <t>H200 SXM 141 GB</t>
        </is>
      </c>
      <c r="D2" t="inlineStr">
        <is>
          <t>NVIDIA</t>
        </is>
      </c>
      <c r="E2" t="n">
        <v>8</v>
      </c>
      <c r="F2" t="inlineStr">
        <is>
          <t>Supermicro SYS-821GE-TNHR</t>
        </is>
      </c>
      <c r="G2" t="inlineStr">
        <is>
          <t>liquid</t>
        </is>
      </c>
      <c r="H2" t="inlineStr">
        <is>
          <t>550.90.07</t>
        </is>
      </c>
      <c r="I2" t="inlineStr">
        <is>
          <t>BMC 01.03.12</t>
        </is>
      </c>
    </row>
    <row r="3">
      <c r="A3" t="inlineStr">
        <is>
          <t>TN-DC-002-GPU-002</t>
        </is>
      </c>
      <c r="B3" t="inlineStr">
        <is>
          <t>TN-DC-002-CL-01</t>
        </is>
      </c>
      <c r="C3" t="inlineStr">
        <is>
          <t>H200 SXM 141 GB</t>
        </is>
      </c>
      <c r="D3" t="inlineStr">
        <is>
          <t>NVIDIA</t>
        </is>
      </c>
      <c r="E3" t="n">
        <v>8</v>
      </c>
      <c r="F3" t="inlineStr">
        <is>
          <t>Supermicro SYS-821GE-TNHR</t>
        </is>
      </c>
      <c r="G3" t="inlineStr">
        <is>
          <t>liquid</t>
        </is>
      </c>
      <c r="H3" t="inlineStr">
        <is>
          <t>550.90.07</t>
        </is>
      </c>
      <c r="I3" t="inlineStr">
        <is>
          <t>BMC 01.03.12</t>
        </is>
      </c>
    </row>
    <row r="4">
      <c r="A4" t="inlineStr">
        <is>
          <t>TN-DC-002-GPU-003</t>
        </is>
      </c>
      <c r="B4" t="inlineStr">
        <is>
          <t>TN-DC-002-CL-01</t>
        </is>
      </c>
      <c r="C4" t="inlineStr">
        <is>
          <t>H200 SXM 141 GB</t>
        </is>
      </c>
      <c r="D4" t="inlineStr">
        <is>
          <t>NVIDIA</t>
        </is>
      </c>
      <c r="E4" t="n">
        <v>8</v>
      </c>
      <c r="F4" t="inlineStr">
        <is>
          <t>Supermicro SYS-821GE-TNHR</t>
        </is>
      </c>
      <c r="G4" t="inlineStr">
        <is>
          <t>liquid</t>
        </is>
      </c>
      <c r="H4" t="inlineStr">
        <is>
          <t>550.90.07</t>
        </is>
      </c>
      <c r="I4" t="inlineStr">
        <is>
          <t>BMC 01.03.12</t>
        </is>
      </c>
    </row>
    <row r="5">
      <c r="A5" t="inlineStr">
        <is>
          <t>TN-DC-002-GPU-004</t>
        </is>
      </c>
      <c r="B5" t="inlineStr">
        <is>
          <t>TN-DC-002-CL-01</t>
        </is>
      </c>
      <c r="C5" t="inlineStr">
        <is>
          <t>H200 SXM 141 GB</t>
        </is>
      </c>
      <c r="D5" t="inlineStr">
        <is>
          <t>NVIDIA</t>
        </is>
      </c>
      <c r="E5" t="n">
        <v>8</v>
      </c>
      <c r="F5" t="inlineStr">
        <is>
          <t>Supermicro SYS-821GE-TNHR</t>
        </is>
      </c>
      <c r="G5" t="inlineStr">
        <is>
          <t>liquid</t>
        </is>
      </c>
      <c r="H5" t="inlineStr">
        <is>
          <t>550.90.07</t>
        </is>
      </c>
      <c r="I5" t="inlineStr">
        <is>
          <t>BMC 01.03.12</t>
        </is>
      </c>
    </row>
    <row r="6">
      <c r="A6" t="inlineStr">
        <is>
          <t>TN-DC-002-GPU-005</t>
        </is>
      </c>
      <c r="B6" t="inlineStr">
        <is>
          <t>TN-DC-002-CL-01</t>
        </is>
      </c>
      <c r="C6" t="inlineStr">
        <is>
          <t>H200 SXM 141 GB</t>
        </is>
      </c>
      <c r="D6" t="inlineStr">
        <is>
          <t>NVIDIA</t>
        </is>
      </c>
      <c r="E6" t="n">
        <v>8</v>
      </c>
      <c r="F6" t="inlineStr">
        <is>
          <t>Supermicro SYS-821GE-TNHR</t>
        </is>
      </c>
      <c r="G6" t="inlineStr">
        <is>
          <t>liquid</t>
        </is>
      </c>
      <c r="H6" t="inlineStr">
        <is>
          <t>550.90.07</t>
        </is>
      </c>
      <c r="I6" t="inlineStr">
        <is>
          <t>BMC 01.03.12</t>
        </is>
      </c>
    </row>
    <row r="7">
      <c r="A7" t="inlineStr">
        <is>
          <t>TN-DC-002-GPU-006</t>
        </is>
      </c>
      <c r="B7" t="inlineStr">
        <is>
          <t>TN-DC-002-CL-01</t>
        </is>
      </c>
      <c r="C7" t="inlineStr">
        <is>
          <t>H200 SXM 141 GB</t>
        </is>
      </c>
      <c r="D7" t="inlineStr">
        <is>
          <t>NVIDIA</t>
        </is>
      </c>
      <c r="E7" t="n">
        <v>8</v>
      </c>
      <c r="F7" t="inlineStr">
        <is>
          <t>Supermicro SYS-821GE-TNHR</t>
        </is>
      </c>
      <c r="G7" t="inlineStr">
        <is>
          <t>liquid</t>
        </is>
      </c>
      <c r="H7" t="inlineStr">
        <is>
          <t>550.90.07</t>
        </is>
      </c>
      <c r="I7" t="inlineStr">
        <is>
          <t>BMC 01.03.12</t>
        </is>
      </c>
    </row>
    <row r="8">
      <c r="A8" t="inlineStr">
        <is>
          <t>TN-DC-002-GPU-007</t>
        </is>
      </c>
      <c r="B8" t="inlineStr">
        <is>
          <t>TN-DC-002-CL-01</t>
        </is>
      </c>
      <c r="C8" t="inlineStr">
        <is>
          <t>H200 SXM 141 GB</t>
        </is>
      </c>
      <c r="D8" t="inlineStr">
        <is>
          <t>NVIDIA</t>
        </is>
      </c>
      <c r="E8" t="n">
        <v>8</v>
      </c>
      <c r="F8" t="inlineStr">
        <is>
          <t>Supermicro SYS-821GE-TNHR</t>
        </is>
      </c>
      <c r="G8" t="inlineStr">
        <is>
          <t>liquid</t>
        </is>
      </c>
      <c r="H8" t="inlineStr">
        <is>
          <t>550.90.07</t>
        </is>
      </c>
      <c r="I8" t="inlineStr">
        <is>
          <t>BMC 01.03.12</t>
        </is>
      </c>
    </row>
    <row r="9">
      <c r="A9" t="inlineStr">
        <is>
          <t>TN-DC-002-GPU-008</t>
        </is>
      </c>
      <c r="B9" t="inlineStr">
        <is>
          <t>TN-DC-002-CL-01</t>
        </is>
      </c>
      <c r="C9" t="inlineStr">
        <is>
          <t>H200 SXM 141 GB</t>
        </is>
      </c>
      <c r="D9" t="inlineStr">
        <is>
          <t>NVIDIA</t>
        </is>
      </c>
      <c r="E9" t="n">
        <v>8</v>
      </c>
      <c r="F9" t="inlineStr">
        <is>
          <t>Supermicro SYS-821GE-TNHR</t>
        </is>
      </c>
      <c r="G9" t="inlineStr">
        <is>
          <t>liquid</t>
        </is>
      </c>
      <c r="H9" t="inlineStr">
        <is>
          <t>550.90.07</t>
        </is>
      </c>
      <c r="I9" t="inlineStr">
        <is>
          <t>BMC 01.03.12</t>
        </is>
      </c>
    </row>
  </sheetData>
  <autoFilter ref="A1:I9"/>
  <dataValidations count="3">
    <dataValidation sqref="C2:C2000" showDropDown="0" showInputMessage="0" showErrorMessage="1" allowBlank="1" errorTitle="Not an allowed value" error="Pick a value from the list (Lookups → gpu_model)." type="list">
      <formula1>=L_gpu_model</formula1>
    </dataValidation>
    <dataValidation sqref="D2:D2000" showDropDown="0" showInputMessage="0" showErrorMessage="1" allowBlank="1" errorTitle="Not an allowed value" error="Pick a value from the list (Lookups → gpu_vendor)." type="list">
      <formula1>=L_gpu_vendor</formula1>
    </dataValidation>
    <dataValidation sqref="G2:G2000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E6BD9"/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11" customWidth="1" min="4" max="4"/>
    <col width="16" customWidth="1" min="5" max="5"/>
    <col width="28" customWidth="1" min="6" max="6"/>
    <col width="12" customWidth="1" min="7" max="7"/>
    <col width="20" customWidth="1" min="8" max="8"/>
    <col width="27" customWidth="1" min="9" max="9"/>
  </cols>
  <sheetData>
    <row r="1" ht="30" customHeight="1">
      <c r="A1" s="16" t="inlineStr">
        <is>
          <t>customer_id *</t>
        </is>
      </c>
      <c r="B1" s="16" t="inlineStr">
        <is>
          <t>name *</t>
        </is>
      </c>
      <c r="C1" s="16" t="inlineStr">
        <is>
          <t>segment *</t>
        </is>
      </c>
      <c r="D1" s="16" t="inlineStr">
        <is>
          <t>city *</t>
        </is>
      </c>
      <c r="E1" s="16" t="inlineStr">
        <is>
          <t>state *</t>
        </is>
      </c>
      <c r="F1" s="16" t="inlineStr">
        <is>
          <t>plan *</t>
        </is>
      </c>
      <c r="G1" s="16" t="inlineStr">
        <is>
          <t>premium *</t>
        </is>
      </c>
      <c r="H1" s="17" t="inlineStr">
        <is>
          <t>account_manager</t>
        </is>
      </c>
      <c r="I1" s="20" t="inlineStr">
        <is>
          <t>monthly_revenue (calc)</t>
        </is>
      </c>
    </row>
    <row r="2">
      <c r="A2" t="inlineStr">
        <is>
          <t>CUST-001</t>
        </is>
      </c>
      <c r="B2" t="inlineStr">
        <is>
          <t>Nimbus Analytics Pvt Ltd (sample)</t>
        </is>
      </c>
      <c r="C2" t="inlineStr">
        <is>
          <t>Technology</t>
        </is>
      </c>
      <c r="D2" t="inlineStr">
        <is>
          <t>Indore</t>
        </is>
      </c>
      <c r="E2" t="inlineStr">
        <is>
          <t>Madhya Pradesh</t>
        </is>
      </c>
      <c r="F2" t="inlineStr">
        <is>
          <t>Colo Standard 3 yr</t>
        </is>
      </c>
      <c r="G2" t="inlineStr">
        <is>
          <t>N</t>
        </is>
      </c>
      <c r="H2" t="inlineStr">
        <is>
          <t>Ritu Sharma</t>
        </is>
      </c>
      <c r="I2" s="22">
        <f>SUMIF('Services'!$B$2:$B$2000,A2,'Services'!$M$2:$M$2000)</f>
        <v/>
      </c>
    </row>
    <row r="3">
      <c r="A3" t="inlineStr">
        <is>
          <t>CUST-002</t>
        </is>
      </c>
      <c r="B3" t="inlineStr">
        <is>
          <t>Kaveri FinServ Ltd (sample)</t>
        </is>
      </c>
      <c r="C3" t="inlineStr">
        <is>
          <t>BFSI</t>
        </is>
      </c>
      <c r="D3" t="inlineStr">
        <is>
          <t>Mumbai</t>
        </is>
      </c>
      <c r="E3" t="inlineStr">
        <is>
          <t>Maharashtra</t>
        </is>
      </c>
      <c r="F3" t="inlineStr">
        <is>
          <t>Colo Premium 5 yr</t>
        </is>
      </c>
      <c r="G3" t="inlineStr">
        <is>
          <t>Y</t>
        </is>
      </c>
      <c r="H3" t="inlineStr">
        <is>
          <t>Ritu Sharma</t>
        </is>
      </c>
      <c r="I3" s="22">
        <f>SUMIF('Services'!$B$2:$B$2000,A3,'Services'!$M$2:$M$2000)</f>
        <v/>
      </c>
    </row>
    <row r="4">
      <c r="A4" t="inlineStr">
        <is>
          <t>CUST-003</t>
        </is>
      </c>
      <c r="B4" t="inlineStr">
        <is>
          <t>Shakti Games Studio (sample)</t>
        </is>
      </c>
      <c r="C4" t="inlineStr">
        <is>
          <t>Gaming</t>
        </is>
      </c>
      <c r="D4" t="inlineStr">
        <is>
          <t>Bengaluru</t>
        </is>
      </c>
      <c r="E4" t="inlineStr">
        <is>
          <t>Karnataka</t>
        </is>
      </c>
      <c r="F4" t="inlineStr">
        <is>
          <t>Colo Standard 2 yr</t>
        </is>
      </c>
      <c r="G4" t="inlineStr">
        <is>
          <t>N</t>
        </is>
      </c>
      <c r="H4" t="inlineStr">
        <is>
          <t>Arjun Mehta</t>
        </is>
      </c>
      <c r="I4" s="22">
        <f>SUMIF('Services'!$B$2:$B$2000,A4,'Services'!$M$2:$M$2000)</f>
        <v/>
      </c>
    </row>
    <row r="5">
      <c r="A5" t="inlineStr">
        <is>
          <t>CUST-004</t>
        </is>
      </c>
      <c r="B5" t="inlineStr">
        <is>
          <t>Indus AI Labs (sample)</t>
        </is>
      </c>
      <c r="C5" t="inlineStr">
        <is>
          <t>AI / ML</t>
        </is>
      </c>
      <c r="D5" t="inlineStr">
        <is>
          <t>Bengaluru</t>
        </is>
      </c>
      <c r="E5" t="inlineStr">
        <is>
          <t>Karnataka</t>
        </is>
      </c>
      <c r="F5" t="inlineStr">
        <is>
          <t>AI cage + reserved cluster</t>
        </is>
      </c>
      <c r="G5" t="inlineStr">
        <is>
          <t>Y</t>
        </is>
      </c>
      <c r="H5" t="inlineStr">
        <is>
          <t>Arjun Mehta</t>
        </is>
      </c>
      <c r="I5" s="22">
        <f>SUMIF('Services'!$B$2:$B$2000,A5,'Services'!$M$2:$M$2000)</f>
        <v/>
      </c>
    </row>
    <row r="6">
      <c r="A6" t="inlineStr">
        <is>
          <t>CUST-005</t>
        </is>
      </c>
      <c r="B6" t="inlineStr">
        <is>
          <t>Medisphere Health (sample)</t>
        </is>
      </c>
      <c r="C6" t="inlineStr">
        <is>
          <t>Healthcare</t>
        </is>
      </c>
      <c r="D6" t="inlineStr">
        <is>
          <t>Chennai</t>
        </is>
      </c>
      <c r="E6" t="inlineStr">
        <is>
          <t>Tamil Nadu</t>
        </is>
      </c>
      <c r="F6" t="inlineStr">
        <is>
          <t>On-demand GPU</t>
        </is>
      </c>
      <c r="G6" t="inlineStr">
        <is>
          <t>N</t>
        </is>
      </c>
      <c r="H6" t="inlineStr">
        <is>
          <t>Karthik Iyer</t>
        </is>
      </c>
      <c r="I6" s="22">
        <f>SUMIF('Services'!$B$2:$B$2000,A6,'Services'!$M$2:$M$2000)</f>
        <v/>
      </c>
    </row>
    <row r="7">
      <c r="A7" t="inlineStr">
        <is>
          <t>CUST-006</t>
        </is>
      </c>
      <c r="B7" t="inlineStr">
        <is>
          <t>BharatStream Media (sample)</t>
        </is>
      </c>
      <c r="C7" t="inlineStr">
        <is>
          <t>Media</t>
        </is>
      </c>
      <c r="D7" t="inlineStr">
        <is>
          <t>Chennai</t>
        </is>
      </c>
      <c r="E7" t="inlineStr">
        <is>
          <t>Tamil Nadu</t>
        </is>
      </c>
      <c r="F7" t="inlineStr">
        <is>
          <t>CPU + storage</t>
        </is>
      </c>
      <c r="G7" t="inlineStr">
        <is>
          <t>N</t>
        </is>
      </c>
      <c r="H7" t="inlineStr">
        <is>
          <t>Karthik Iyer</t>
        </is>
      </c>
      <c r="I7" s="22">
        <f>SUMIF('Services'!$B$2:$B$2000,A7,'Services'!$M$2:$M$2000)</f>
        <v/>
      </c>
    </row>
  </sheetData>
  <autoFilter ref="A1:I7"/>
  <dataValidations count="1">
    <dataValidation sqref="G2:G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2E6BD9"/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2" customWidth="1" min="4" max="4"/>
    <col width="21" customWidth="1" min="5" max="5"/>
    <col width="12" customWidth="1" min="6" max="6"/>
    <col width="48" customWidth="1" min="7" max="7"/>
    <col width="48" customWidth="1" min="8" max="8"/>
    <col width="10" customWidth="1" min="9" max="9"/>
    <col width="10" customWidth="1" min="10" max="10"/>
    <col width="19" customWidth="1" min="11" max="11"/>
    <col width="19" customWidth="1" min="12" max="12"/>
    <col width="20" customWidth="1" min="13" max="13"/>
    <col width="13" customWidth="1" min="14" max="14"/>
    <col width="15" customWidth="1" min="15" max="15"/>
  </cols>
  <sheetData>
    <row r="1" ht="30" customHeight="1">
      <c r="A1" s="16" t="inlineStr">
        <is>
          <t>service_id *</t>
        </is>
      </c>
      <c r="B1" s="16" t="inlineStr">
        <is>
          <t>customer_id *</t>
        </is>
      </c>
      <c r="C1" s="16" t="inlineStr">
        <is>
          <t>type *</t>
        </is>
      </c>
      <c r="D1" s="16" t="inlineStr">
        <is>
          <t>site_id *</t>
        </is>
      </c>
      <c r="E1" s="19" t="inlineStr">
        <is>
          <t>device_id</t>
        </is>
      </c>
      <c r="F1" s="17" t="inlineStr">
        <is>
          <t>if_name</t>
        </is>
      </c>
      <c r="G1" s="19" t="inlineStr">
        <is>
          <t>rack_ids</t>
        </is>
      </c>
      <c r="H1" s="19" t="inlineStr">
        <is>
          <t>gpu_node_ids</t>
        </is>
      </c>
      <c r="I1" s="16" t="inlineStr">
        <is>
          <t>qty *</t>
        </is>
      </c>
      <c r="J1" s="16" t="inlineStr">
        <is>
          <t>unit *</t>
        </is>
      </c>
      <c r="K1" s="17" t="inlineStr">
        <is>
          <t>bandwidth_mbps</t>
        </is>
      </c>
      <c r="L1" s="16" t="inlineStr">
        <is>
          <t>sla_target_pct *</t>
        </is>
      </c>
      <c r="M1" s="23" t="inlineStr">
        <is>
          <t>monthly_revenue *</t>
        </is>
      </c>
      <c r="N1" s="16" t="inlineStr">
        <is>
          <t>critical *</t>
        </is>
      </c>
      <c r="O1" s="17" t="inlineStr">
        <is>
          <t>start_date</t>
        </is>
      </c>
    </row>
    <row r="2">
      <c r="A2" t="inlineStr">
        <is>
          <t>SVC-0001</t>
        </is>
      </c>
      <c r="B2" t="inlineStr">
        <is>
          <t>CUST-001</t>
        </is>
      </c>
      <c r="C2" t="inlineStr">
        <is>
          <t>Cabinet lease</t>
        </is>
      </c>
      <c r="D2" t="inlineStr">
        <is>
          <t>MP-DC-001</t>
        </is>
      </c>
      <c r="G2" t="inlineStr">
        <is>
          <t>MP-DC-001-A02;MP-DC-001-A03</t>
        </is>
      </c>
      <c r="I2" t="n">
        <v>2</v>
      </c>
      <c r="J2" t="inlineStr">
        <is>
          <t>cabinets</t>
        </is>
      </c>
      <c r="L2" t="n">
        <v>99.95</v>
      </c>
      <c r="M2" s="24" t="n">
        <v>170000</v>
      </c>
      <c r="N2" t="inlineStr">
        <is>
          <t>N</t>
        </is>
      </c>
      <c r="O2" s="18" t="n">
        <v>45748</v>
      </c>
    </row>
    <row r="3">
      <c r="A3" t="inlineStr">
        <is>
          <t>SVC-0002</t>
        </is>
      </c>
      <c r="B3" t="inlineStr">
        <is>
          <t>CUST-001</t>
        </is>
      </c>
      <c r="C3" t="inlineStr">
        <is>
          <t>Power circuit</t>
        </is>
      </c>
      <c r="D3" t="inlineStr">
        <is>
          <t>MP-DC-001</t>
        </is>
      </c>
      <c r="G3" t="inlineStr">
        <is>
          <t>MP-DC-001-A02;MP-DC-001-A03</t>
        </is>
      </c>
      <c r="I3" t="n">
        <v>12</v>
      </c>
      <c r="J3" t="inlineStr">
        <is>
          <t>kW</t>
        </is>
      </c>
      <c r="L3" t="n">
        <v>99.95</v>
      </c>
      <c r="M3" s="24" t="n">
        <v>108000</v>
      </c>
      <c r="N3" t="inlineStr">
        <is>
          <t>N</t>
        </is>
      </c>
      <c r="O3" s="18" t="n">
        <v>45748</v>
      </c>
    </row>
    <row r="4">
      <c r="A4" t="inlineStr">
        <is>
          <t>SVC-0003</t>
        </is>
      </c>
      <c r="B4" t="inlineStr">
        <is>
          <t>CUST-001</t>
        </is>
      </c>
      <c r="C4" t="inlineStr">
        <is>
          <t>Cross-connect</t>
        </is>
      </c>
      <c r="D4" t="inlineStr">
        <is>
          <t>MP-DC-001</t>
        </is>
      </c>
      <c r="E4" t="inlineStr">
        <is>
          <t>MP-DC-001-MMR-SW-01</t>
        </is>
      </c>
      <c r="F4" t="inlineStr">
        <is>
          <t>Ethernet1</t>
        </is>
      </c>
      <c r="I4" t="n">
        <v>1</v>
      </c>
      <c r="J4" t="inlineStr">
        <is>
          <t>Mbps</t>
        </is>
      </c>
      <c r="K4" t="n">
        <v>10000</v>
      </c>
      <c r="L4" t="n">
        <v>99.95</v>
      </c>
      <c r="M4" s="24" t="n">
        <v>6000</v>
      </c>
      <c r="N4" t="inlineStr">
        <is>
          <t>N</t>
        </is>
      </c>
      <c r="O4" s="18" t="n">
        <v>45748</v>
      </c>
    </row>
    <row r="5">
      <c r="A5" t="inlineStr">
        <is>
          <t>SVC-0004</t>
        </is>
      </c>
      <c r="B5" t="inlineStr">
        <is>
          <t>CUST-002</t>
        </is>
      </c>
      <c r="C5" t="inlineStr">
        <is>
          <t>Cabinet lease</t>
        </is>
      </c>
      <c r="D5" t="inlineStr">
        <is>
          <t>MP-DC-001</t>
        </is>
      </c>
      <c r="G5" t="inlineStr">
        <is>
          <t>MP-DC-001-A04</t>
        </is>
      </c>
      <c r="I5" t="n">
        <v>1</v>
      </c>
      <c r="J5" t="inlineStr">
        <is>
          <t>cabinets</t>
        </is>
      </c>
      <c r="L5" t="n">
        <v>99.98999999999999</v>
      </c>
      <c r="M5" s="24" t="n">
        <v>95000</v>
      </c>
      <c r="N5" t="inlineStr">
        <is>
          <t>Y</t>
        </is>
      </c>
      <c r="O5" s="18" t="n">
        <v>45748</v>
      </c>
    </row>
    <row r="6">
      <c r="A6" t="inlineStr">
        <is>
          <t>SVC-0005</t>
        </is>
      </c>
      <c r="B6" t="inlineStr">
        <is>
          <t>CUST-002</t>
        </is>
      </c>
      <c r="C6" t="inlineStr">
        <is>
          <t>Power circuit</t>
        </is>
      </c>
      <c r="D6" t="inlineStr">
        <is>
          <t>MP-DC-001</t>
        </is>
      </c>
      <c r="G6" t="inlineStr">
        <is>
          <t>MP-DC-001-A04</t>
        </is>
      </c>
      <c r="I6" t="n">
        <v>8</v>
      </c>
      <c r="J6" t="inlineStr">
        <is>
          <t>kW</t>
        </is>
      </c>
      <c r="L6" t="n">
        <v>99.98999999999999</v>
      </c>
      <c r="M6" s="24" t="n">
        <v>72000</v>
      </c>
      <c r="N6" t="inlineStr">
        <is>
          <t>Y</t>
        </is>
      </c>
      <c r="O6" s="18" t="n">
        <v>45748</v>
      </c>
    </row>
    <row r="7">
      <c r="A7" t="inlineStr">
        <is>
          <t>SVC-0006</t>
        </is>
      </c>
      <c r="B7" t="inlineStr">
        <is>
          <t>CUST-002</t>
        </is>
      </c>
      <c r="C7" t="inlineStr">
        <is>
          <t>Cross-connect</t>
        </is>
      </c>
      <c r="D7" t="inlineStr">
        <is>
          <t>MP-DC-001</t>
        </is>
      </c>
      <c r="E7" t="inlineStr">
        <is>
          <t>MP-DC-001-MMR-SW-02</t>
        </is>
      </c>
      <c r="F7" t="inlineStr">
        <is>
          <t>Ethernet2</t>
        </is>
      </c>
      <c r="I7" t="n">
        <v>1</v>
      </c>
      <c r="J7" t="inlineStr">
        <is>
          <t>Mbps</t>
        </is>
      </c>
      <c r="K7" t="n">
        <v>10000</v>
      </c>
      <c r="L7" t="n">
        <v>99.98999999999999</v>
      </c>
      <c r="M7" s="24" t="n">
        <v>6000</v>
      </c>
      <c r="N7" t="inlineStr">
        <is>
          <t>Y</t>
        </is>
      </c>
      <c r="O7" s="18" t="n">
        <v>45748</v>
      </c>
    </row>
    <row r="8">
      <c r="A8" t="inlineStr">
        <is>
          <t>SVC-0007</t>
        </is>
      </c>
      <c r="B8" t="inlineStr">
        <is>
          <t>CUST-002</t>
        </is>
      </c>
      <c r="C8" t="inlineStr">
        <is>
          <t>Remote hands</t>
        </is>
      </c>
      <c r="D8" t="inlineStr">
        <is>
          <t>MP-DC-001</t>
        </is>
      </c>
      <c r="I8" t="n">
        <v>10</v>
      </c>
      <c r="J8" t="inlineStr">
        <is>
          <t>hours</t>
        </is>
      </c>
      <c r="L8" t="n">
        <v>99.90000000000001</v>
      </c>
      <c r="M8" s="24" t="n">
        <v>25000</v>
      </c>
      <c r="N8" t="inlineStr">
        <is>
          <t>N</t>
        </is>
      </c>
      <c r="O8" s="18" t="n">
        <v>45748</v>
      </c>
    </row>
    <row r="9">
      <c r="A9" t="inlineStr">
        <is>
          <t>SVC-0008</t>
        </is>
      </c>
      <c r="B9" t="inlineStr">
        <is>
          <t>CUST-003</t>
        </is>
      </c>
      <c r="C9" t="inlineStr">
        <is>
          <t>Cabinet lease</t>
        </is>
      </c>
      <c r="D9" t="inlineStr">
        <is>
          <t>MP-DC-001</t>
        </is>
      </c>
      <c r="G9" t="inlineStr">
        <is>
          <t>MP-DC-001-A05;MP-DC-001-A06</t>
        </is>
      </c>
      <c r="I9" t="n">
        <v>2</v>
      </c>
      <c r="J9" t="inlineStr">
        <is>
          <t>cabinets</t>
        </is>
      </c>
      <c r="L9" t="n">
        <v>99.95</v>
      </c>
      <c r="M9" s="24" t="n">
        <v>170000</v>
      </c>
      <c r="N9" t="inlineStr">
        <is>
          <t>N</t>
        </is>
      </c>
      <c r="O9" s="18" t="n">
        <v>45748</v>
      </c>
    </row>
    <row r="10">
      <c r="A10" t="inlineStr">
        <is>
          <t>SVC-0009</t>
        </is>
      </c>
      <c r="B10" t="inlineStr">
        <is>
          <t>CUST-003</t>
        </is>
      </c>
      <c r="C10" t="inlineStr">
        <is>
          <t>Power circuit</t>
        </is>
      </c>
      <c r="D10" t="inlineStr">
        <is>
          <t>MP-DC-001</t>
        </is>
      </c>
      <c r="G10" t="inlineStr">
        <is>
          <t>MP-DC-001-A05;MP-DC-001-A06</t>
        </is>
      </c>
      <c r="I10" t="n">
        <v>12</v>
      </c>
      <c r="J10" t="inlineStr">
        <is>
          <t>kW</t>
        </is>
      </c>
      <c r="L10" t="n">
        <v>99.95</v>
      </c>
      <c r="M10" s="24" t="n">
        <v>108000</v>
      </c>
      <c r="N10" t="inlineStr">
        <is>
          <t>N</t>
        </is>
      </c>
      <c r="O10" s="18" t="n">
        <v>45748</v>
      </c>
    </row>
    <row r="11">
      <c r="A11" t="inlineStr">
        <is>
          <t>SVC-0010</t>
        </is>
      </c>
      <c r="B11" t="inlineStr">
        <is>
          <t>CUST-004</t>
        </is>
      </c>
      <c r="C11" t="inlineStr">
        <is>
          <t>Cabinet lease</t>
        </is>
      </c>
      <c r="D11" t="inlineStr">
        <is>
          <t>MP-DC-001</t>
        </is>
      </c>
      <c r="G11" t="inlineStr">
        <is>
          <t>MP-DC-001-B01;MP-DC-001-B02;MP-DC-001-B03;MP-DC-001-B04</t>
        </is>
      </c>
      <c r="I11" t="n">
        <v>4</v>
      </c>
      <c r="J11" t="inlineStr">
        <is>
          <t>cabinets</t>
        </is>
      </c>
      <c r="L11" t="n">
        <v>99.98999999999999</v>
      </c>
      <c r="M11" s="24" t="n">
        <v>1800000</v>
      </c>
      <c r="N11" t="inlineStr">
        <is>
          <t>Y</t>
        </is>
      </c>
      <c r="O11" s="18" t="n">
        <v>45748</v>
      </c>
    </row>
    <row r="12">
      <c r="A12" t="inlineStr">
        <is>
          <t>SVC-0011</t>
        </is>
      </c>
      <c r="B12" t="inlineStr">
        <is>
          <t>CUST-004</t>
        </is>
      </c>
      <c r="C12" t="inlineStr">
        <is>
          <t>Power circuit</t>
        </is>
      </c>
      <c r="D12" t="inlineStr">
        <is>
          <t>MP-DC-001</t>
        </is>
      </c>
      <c r="G12" t="inlineStr">
        <is>
          <t>MP-DC-001-B01;MP-DC-001-B02;MP-DC-001-B03;MP-DC-001-B04</t>
        </is>
      </c>
      <c r="I12" t="n">
        <v>160</v>
      </c>
      <c r="J12" t="inlineStr">
        <is>
          <t>kW</t>
        </is>
      </c>
      <c r="L12" t="n">
        <v>99.98999999999999</v>
      </c>
      <c r="M12" s="24" t="n">
        <v>1440000</v>
      </c>
      <c r="N12" t="inlineStr">
        <is>
          <t>Y</t>
        </is>
      </c>
      <c r="O12" s="18" t="n">
        <v>45748</v>
      </c>
    </row>
    <row r="13">
      <c r="A13" t="inlineStr">
        <is>
          <t>SVC-0012</t>
        </is>
      </c>
      <c r="B13" t="inlineStr">
        <is>
          <t>CUST-004</t>
        </is>
      </c>
      <c r="C13" t="inlineStr">
        <is>
          <t>Reserved cluster</t>
        </is>
      </c>
      <c r="D13" t="inlineStr">
        <is>
          <t>TN-DC-002</t>
        </is>
      </c>
      <c r="E13" t="inlineStr">
        <is>
          <t>TN-DC-002-GPU-001</t>
        </is>
      </c>
      <c r="H13" t="inlineStr">
        <is>
          <t>TN-DC-002-GPU-001;TN-DC-002-GPU-002;TN-DC-002-GPU-003;TN-DC-002-GPU-004</t>
        </is>
      </c>
      <c r="I13" t="n">
        <v>32</v>
      </c>
      <c r="J13" t="inlineStr">
        <is>
          <t>GPU</t>
        </is>
      </c>
      <c r="L13" t="n">
        <v>99.90000000000001</v>
      </c>
      <c r="M13" s="24" t="n">
        <v>4800000</v>
      </c>
      <c r="N13" t="inlineStr">
        <is>
          <t>Y</t>
        </is>
      </c>
      <c r="O13" s="18" t="n">
        <v>45809</v>
      </c>
    </row>
    <row r="14">
      <c r="A14" t="inlineStr">
        <is>
          <t>SVC-0013</t>
        </is>
      </c>
      <c r="B14" t="inlineStr">
        <is>
          <t>CUST-005</t>
        </is>
      </c>
      <c r="C14" t="inlineStr">
        <is>
          <t>On-demand GPUs</t>
        </is>
      </c>
      <c r="D14" t="inlineStr">
        <is>
          <t>TN-DC-002</t>
        </is>
      </c>
      <c r="E14" t="inlineStr">
        <is>
          <t>TN-DC-002-GPU-005</t>
        </is>
      </c>
      <c r="H14" t="inlineStr">
        <is>
          <t>TN-DC-002-GPU-005;TN-DC-002-GPU-006</t>
        </is>
      </c>
      <c r="I14" t="n">
        <v>16</v>
      </c>
      <c r="J14" t="inlineStr">
        <is>
          <t>GPU</t>
        </is>
      </c>
      <c r="L14" t="n">
        <v>99.5</v>
      </c>
      <c r="M14" s="24" t="n">
        <v>2400000</v>
      </c>
      <c r="N14" t="inlineStr">
        <is>
          <t>N</t>
        </is>
      </c>
      <c r="O14" s="18" t="n">
        <v>45901</v>
      </c>
    </row>
    <row r="15">
      <c r="A15" t="inlineStr">
        <is>
          <t>SVC-0014</t>
        </is>
      </c>
      <c r="B15" t="inlineStr">
        <is>
          <t>CUST-006</t>
        </is>
      </c>
      <c r="C15" t="inlineStr">
        <is>
          <t>CPU instances</t>
        </is>
      </c>
      <c r="D15" t="inlineStr">
        <is>
          <t>TN-DC-002</t>
        </is>
      </c>
      <c r="E15" t="inlineStr">
        <is>
          <t>TN-DC-002-CPU-0001</t>
        </is>
      </c>
      <c r="I15" t="n">
        <v>128</v>
      </c>
      <c r="J15" t="inlineStr">
        <is>
          <t>vCPU</t>
        </is>
      </c>
      <c r="L15" t="n">
        <v>99.90000000000001</v>
      </c>
      <c r="M15" s="24" t="n">
        <v>320000</v>
      </c>
      <c r="N15" t="inlineStr">
        <is>
          <t>N</t>
        </is>
      </c>
      <c r="O15" s="18" t="n">
        <v>45717</v>
      </c>
    </row>
    <row r="16">
      <c r="A16" t="inlineStr">
        <is>
          <t>SVC-0015</t>
        </is>
      </c>
      <c r="B16" t="inlineStr">
        <is>
          <t>CUST-006</t>
        </is>
      </c>
      <c r="C16" t="inlineStr">
        <is>
          <t>Storage volume</t>
        </is>
      </c>
      <c r="D16" t="inlineStr">
        <is>
          <t>TN-DC-002</t>
        </is>
      </c>
      <c r="E16" t="inlineStr">
        <is>
          <t>TN-DC-002-STG-001</t>
        </is>
      </c>
      <c r="I16" t="n">
        <v>200</v>
      </c>
      <c r="J16" t="inlineStr">
        <is>
          <t>TB</t>
        </is>
      </c>
      <c r="L16" t="n">
        <v>99.90000000000001</v>
      </c>
      <c r="M16" s="24" t="n">
        <v>400000</v>
      </c>
      <c r="N16" t="inlineStr">
        <is>
          <t>N</t>
        </is>
      </c>
      <c r="O16" s="18" t="n">
        <v>45717</v>
      </c>
    </row>
  </sheetData>
  <autoFilter ref="A1:O16"/>
  <dataValidations count="3">
    <dataValidation sqref="C2:C2000" showDropDown="0" showInputMessage="0" showErrorMessage="1" allowBlank="1" errorTitle="Not an allowed value" error="Pick a value from the list (Lookups → service_type)." type="list">
      <formula1>=L_service_type</formula1>
    </dataValidation>
    <dataValidation sqref="J2:J2000" showDropDown="0" showInputMessage="0" showErrorMessage="1" allowBlank="1" errorTitle="Not an allowed value" error="Pick a value from the list (Lookups → service_unit)." type="list">
      <formula1>=L_service_unit</formula1>
    </dataValidation>
    <dataValidation sqref="N2:N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2E6BD9"/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5" customWidth="1" min="4" max="4"/>
    <col width="11" customWidth="1" min="5" max="5"/>
    <col width="12" customWidth="1" min="6" max="6"/>
    <col width="48" customWidth="1" min="7" max="7"/>
  </cols>
  <sheetData>
    <row r="1" ht="30" customHeight="1">
      <c r="A1" s="16" t="inlineStr">
        <is>
          <t>collector_id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protocol *</t>
        </is>
      </c>
      <c r="E1" s="16" t="inlineStr">
        <is>
          <t>domain *</t>
        </is>
      </c>
      <c r="F1" s="17" t="inlineStr">
        <is>
          <t>host_ip</t>
        </is>
      </c>
      <c r="G1" s="17" t="inlineStr">
        <is>
          <t>covers</t>
        </is>
      </c>
    </row>
    <row r="2">
      <c r="A2" t="inlineStr">
        <is>
          <t>COL-MP-DC-001-NET</t>
        </is>
      </c>
      <c r="B2" t="inlineStr">
        <is>
          <t>MP-DC-001</t>
        </is>
      </c>
      <c r="C2" t="inlineStr">
        <is>
          <t>Indore network poller</t>
        </is>
      </c>
      <c r="D2" t="inlineStr">
        <is>
          <t>SNMP</t>
        </is>
      </c>
      <c r="E2" t="inlineStr">
        <is>
          <t>Network</t>
        </is>
      </c>
      <c r="F2" t="inlineStr">
        <is>
          <t>10.10.0.10</t>
        </is>
      </c>
      <c r="G2" t="inlineStr">
        <is>
          <t>Routers, firewalls, switches (SNMP v3 + LLDP)</t>
        </is>
      </c>
    </row>
    <row r="3">
      <c r="A3" t="inlineStr">
        <is>
          <t>COL-MP-DC-001-BMS</t>
        </is>
      </c>
      <c r="B3" t="inlineStr">
        <is>
          <t>MP-DC-001</t>
        </is>
      </c>
      <c r="C3" t="inlineStr">
        <is>
          <t>Indore BMS gateway</t>
        </is>
      </c>
      <c r="D3" t="inlineStr">
        <is>
          <t>Modbus TCP</t>
        </is>
      </c>
      <c r="E3" t="inlineStr">
        <is>
          <t>Facility</t>
        </is>
      </c>
      <c r="F3" t="inlineStr">
        <is>
          <t>10.10.0.20</t>
        </is>
      </c>
      <c r="G3" t="inlineStr">
        <is>
          <t>UPS, rectifier, DG, CRAH, CDU, sensors</t>
        </is>
      </c>
    </row>
    <row r="4">
      <c r="A4" t="inlineStr">
        <is>
          <t>COL-TN-DC-002-NET</t>
        </is>
      </c>
      <c r="B4" t="inlineStr">
        <is>
          <t>TN-DC-002</t>
        </is>
      </c>
      <c r="C4" t="inlineStr">
        <is>
          <t>Chennai network poller</t>
        </is>
      </c>
      <c r="D4" t="inlineStr">
        <is>
          <t>gNMI</t>
        </is>
      </c>
      <c r="E4" t="inlineStr">
        <is>
          <t>Network</t>
        </is>
      </c>
      <c r="F4" t="inlineStr">
        <is>
          <t>10.20.0.10</t>
        </is>
      </c>
      <c r="G4" t="inlineStr">
        <is>
          <t>Border, firewalls, IB / Ethernet / OOB fabric</t>
        </is>
      </c>
    </row>
    <row r="5">
      <c r="A5" t="inlineStr">
        <is>
          <t>COL-TN-DC-002-BMS</t>
        </is>
      </c>
      <c r="B5" t="inlineStr">
        <is>
          <t>TN-DC-002</t>
        </is>
      </c>
      <c r="C5" t="inlineStr">
        <is>
          <t>Chennai BMS gateway</t>
        </is>
      </c>
      <c r="D5" t="inlineStr">
        <is>
          <t>BACnet</t>
        </is>
      </c>
      <c r="E5" t="inlineStr">
        <is>
          <t>Facility</t>
        </is>
      </c>
      <c r="F5" t="inlineStr">
        <is>
          <t>10.20.0.20</t>
        </is>
      </c>
      <c r="G5" t="inlineStr">
        <is>
          <t>UPS, rectifier, DG, CRAH, CDU, sensors</t>
        </is>
      </c>
    </row>
    <row r="6">
      <c r="A6" t="inlineStr">
        <is>
          <t>COL-TN-DC-002-BMC</t>
        </is>
      </c>
      <c r="B6" t="inlineStr">
        <is>
          <t>TN-DC-002</t>
        </is>
      </c>
      <c r="C6" t="inlineStr">
        <is>
          <t>Chennai BMC poller</t>
        </is>
      </c>
      <c r="D6" t="inlineStr">
        <is>
          <t>Redfish</t>
        </is>
      </c>
      <c r="E6" t="inlineStr">
        <is>
          <t>Compute</t>
        </is>
      </c>
      <c r="F6" t="inlineStr">
        <is>
          <t>10.20.0.30</t>
        </is>
      </c>
      <c r="G6" t="inlineStr">
        <is>
          <t>Server / GPU node BMCs (PSU, fans, temperatures)</t>
        </is>
      </c>
    </row>
    <row r="7">
      <c r="A7" t="inlineStr">
        <is>
          <t>COL-TN-DC-002-DCGM</t>
        </is>
      </c>
      <c r="B7" t="inlineStr">
        <is>
          <t>TN-DC-002</t>
        </is>
      </c>
      <c r="C7" t="inlineStr">
        <is>
          <t>Chennai DCGM exporter</t>
        </is>
      </c>
      <c r="D7" t="inlineStr">
        <is>
          <t>DCGM exporter</t>
        </is>
      </c>
      <c r="E7" t="inlineStr">
        <is>
          <t>GPU</t>
        </is>
      </c>
      <c r="F7" t="inlineStr">
        <is>
          <t>10.20.0.40</t>
        </is>
      </c>
      <c r="G7" t="inlineStr">
        <is>
          <t>Per-GPU telemetry (util, temp, ECC, Xid, NVLink)</t>
        </is>
      </c>
    </row>
  </sheetData>
  <autoFilter ref="A1:G7"/>
  <dataValidations count="2">
    <dataValidation sqref="D2:D2000" showDropDown="0" showInputMessage="0" showErrorMessage="1" allowBlank="1" errorTitle="Not an allowed value" error="Pick a value from the list (Lookups → collector_protocol)." type="list">
      <formula1>=L_collector_protocol</formula1>
    </dataValidation>
    <dataValidation sqref="E2:E2000" showDropDown="0" showInputMessage="0" showErrorMessage="1" allowBlank="1" errorTitle="Not an allowed value" error="Pick a value from the list (Lookups → collector_domain)." type="list">
      <formula1>=L_collector_domain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40" customWidth="1" min="5" max="5"/>
    <col width="34" customWidth="1" min="6" max="6"/>
    <col width="60" customWidth="1" min="7" max="7"/>
    <col width="28" customWidth="1" min="8" max="8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System field (types.ts)</t>
        </is>
      </c>
      <c r="G1" s="5" t="inlineStr">
        <is>
          <t>Description</t>
        </is>
      </c>
      <c r="H1" s="5" t="inlineStr">
        <is>
          <t>Example</t>
        </is>
      </c>
    </row>
    <row r="2">
      <c r="A2" t="inlineStr">
        <is>
          <t>Sites</t>
        </is>
      </c>
      <c r="B2" t="inlineStr">
        <is>
          <t>site_id</t>
        </is>
      </c>
      <c r="C2" t="inlineStr">
        <is>
          <t>Required</t>
        </is>
      </c>
      <c r="D2" t="inlineStr">
        <is>
          <t>text</t>
        </is>
      </c>
      <c r="E2" s="4" t="inlineStr"/>
      <c r="F2" t="inlineStr">
        <is>
          <t>Datacenter.id / Location.id</t>
        </is>
      </c>
      <c r="G2" s="4" t="inlineStr">
        <is>
          <t>Unique site code, format XX-DC-NNN (XX = state code). Every other sheet points to it.</t>
        </is>
      </c>
      <c r="H2" t="inlineStr">
        <is>
          <t>MP-DC-001</t>
        </is>
      </c>
    </row>
    <row r="3">
      <c r="A3" t="inlineStr">
        <is>
          <t>Sites</t>
        </is>
      </c>
      <c r="B3" t="inlineStr">
        <is>
          <t>site_name</t>
        </is>
      </c>
      <c r="C3" t="inlineStr">
        <is>
          <t>Required</t>
        </is>
      </c>
      <c r="D3" t="inlineStr">
        <is>
          <t>text</t>
        </is>
      </c>
      <c r="E3" s="4" t="inlineStr"/>
      <c r="F3" t="inlineStr">
        <is>
          <t>Datacenter.name</t>
        </is>
      </c>
      <c r="G3" s="4" t="inlineStr">
        <is>
          <t>Display name.</t>
        </is>
      </c>
      <c r="H3" t="inlineStr">
        <is>
          <t>RackBank Indore DC1</t>
        </is>
      </c>
    </row>
    <row r="4">
      <c r="A4" t="inlineStr">
        <is>
          <t>Sites</t>
        </is>
      </c>
      <c r="B4" t="inlineStr">
        <is>
          <t>operator</t>
        </is>
      </c>
      <c r="C4" t="inlineStr">
        <is>
          <t>Optional</t>
        </is>
      </c>
      <c r="D4" t="inlineStr">
        <is>
          <t>text</t>
        </is>
      </c>
      <c r="E4" s="4" t="inlineStr"/>
      <c r="F4" t="inlineStr">
        <is>
          <t>(reference only)</t>
        </is>
      </c>
      <c r="G4" s="4" t="inlineStr">
        <is>
          <t>Owning company. Not shown in the tool today.</t>
        </is>
      </c>
      <c r="H4" t="inlineStr">
        <is>
          <t>RackBank Datacenters (sample)</t>
        </is>
      </c>
    </row>
    <row r="5">
      <c r="A5" t="inlineStr">
        <is>
          <t>Sites</t>
        </is>
      </c>
      <c r="B5" t="inlineStr">
        <is>
          <t>business_model</t>
        </is>
      </c>
      <c r="C5" t="inlineStr">
        <is>
          <t>Required</t>
        </is>
      </c>
      <c r="D5" t="inlineStr">
        <is>
          <t>list</t>
        </is>
      </c>
      <c r="E5" s="4" t="inlineStr">
        <is>
          <t>colocation, neocloud, cloud, enterprise, network</t>
        </is>
      </c>
      <c r="F5" t="inlineStr">
        <is>
          <t>Persona</t>
        </is>
      </c>
      <c r="G5" s="4" t="inlineStr">
        <is>
          <t>Sets vocabulary and rack contents: colocation, neocloud (GPU as a service), cloud, enterprise, network (telco).</t>
        </is>
      </c>
      <c r="H5" t="inlineStr">
        <is>
          <t>colocation</t>
        </is>
      </c>
    </row>
    <row r="6">
      <c r="A6" t="inlineStr">
        <is>
          <t>Sites</t>
        </is>
      </c>
      <c r="B6" t="inlineStr">
        <is>
          <t>status</t>
        </is>
      </c>
      <c r="C6" t="inlineStr">
        <is>
          <t>Required</t>
        </is>
      </c>
      <c r="D6" t="inlineStr">
        <is>
          <t>list</t>
        </is>
      </c>
      <c r="E6" s="4" t="inlineStr">
        <is>
          <t>on-air, in-progress, planned, failed</t>
        </is>
      </c>
      <c r="F6" t="inlineStr">
        <is>
          <t>Datacenter.status</t>
        </is>
      </c>
      <c r="G6" s="4" t="inlineStr">
        <is>
          <t>on-air = live; in-progress = being built; planned; failed.</t>
        </is>
      </c>
      <c r="H6" t="inlineStr">
        <is>
          <t>on-air</t>
        </is>
      </c>
    </row>
    <row r="7">
      <c r="A7" t="inlineStr">
        <is>
          <t>Sites</t>
        </is>
      </c>
      <c r="B7" t="inlineStr">
        <is>
          <t>tier</t>
        </is>
      </c>
      <c r="C7" t="inlineStr">
        <is>
          <t>Required</t>
        </is>
      </c>
      <c r="D7" t="inlineStr">
        <is>
          <t>list</t>
        </is>
      </c>
      <c r="E7" s="4" t="inlineStr">
        <is>
          <t>Tier II, Tier III, Tier IV</t>
        </is>
      </c>
      <c r="F7" t="inlineStr">
        <is>
          <t>Datacenter.tier</t>
        </is>
      </c>
      <c r="G7" s="4" t="inlineStr">
        <is>
          <t>Uptime tier.</t>
        </is>
      </c>
      <c r="H7" t="inlineStr">
        <is>
          <t>Tier III</t>
        </is>
      </c>
    </row>
    <row r="8">
      <c r="A8" t="inlineStr">
        <is>
          <t>Sites</t>
        </is>
      </c>
      <c r="B8" t="inlineStr">
        <is>
          <t>category</t>
        </is>
      </c>
      <c r="C8" t="inlineStr">
        <is>
          <t>Required</t>
        </is>
      </c>
      <c r="D8" t="inlineStr">
        <is>
          <t>list</t>
        </is>
      </c>
      <c r="E8" s="4" t="inlineStr">
        <is>
          <t>Central, Regional, Edge</t>
        </is>
      </c>
      <c r="F8" t="inlineStr">
        <is>
          <t>Datacenter.category</t>
        </is>
      </c>
      <c r="G8" s="4" t="inlineStr">
        <is>
          <t>Central / Regional / Edge.</t>
        </is>
      </c>
      <c r="H8" t="inlineStr">
        <is>
          <t>Central</t>
        </is>
      </c>
    </row>
    <row r="9">
      <c r="A9" t="inlineStr">
        <is>
          <t>Sites</t>
        </is>
      </c>
      <c r="B9" t="inlineStr">
        <is>
          <t>region</t>
        </is>
      </c>
      <c r="C9" t="inlineStr">
        <is>
          <t>Required</t>
        </is>
      </c>
      <c r="D9" t="inlineStr">
        <is>
          <t>text</t>
        </is>
      </c>
      <c r="E9" s="4" t="inlineStr"/>
      <c r="F9" t="inlineStr">
        <is>
          <t>Region.name / Datacenter.regionId</t>
        </is>
      </c>
      <c r="G9" s="4" t="inlineStr">
        <is>
          <t>For example West, South, North, East, Central.</t>
        </is>
      </c>
      <c r="H9" t="inlineStr">
        <is>
          <t>Central</t>
        </is>
      </c>
    </row>
    <row r="10">
      <c r="A10" t="inlineStr">
        <is>
          <t>Sites</t>
        </is>
      </c>
      <c r="B10" t="inlineStr">
        <is>
          <t>state</t>
        </is>
      </c>
      <c r="C10" t="inlineStr">
        <is>
          <t>Required</t>
        </is>
      </c>
      <c r="D10" t="inlineStr">
        <is>
          <t>text</t>
        </is>
      </c>
      <c r="E10" s="4" t="inlineStr"/>
      <c r="F10" t="inlineStr">
        <is>
          <t>Datacenter.state</t>
        </is>
      </c>
      <c r="G10" s="4" t="inlineStr">
        <is>
          <t>State or province.</t>
        </is>
      </c>
      <c r="H10" t="inlineStr">
        <is>
          <t>Madhya Pradesh</t>
        </is>
      </c>
    </row>
    <row r="11">
      <c r="A11" t="inlineStr">
        <is>
          <t>Sites</t>
        </is>
      </c>
      <c r="B11" t="inlineStr">
        <is>
          <t>city</t>
        </is>
      </c>
      <c r="C11" t="inlineStr">
        <is>
          <t>Required</t>
        </is>
      </c>
      <c r="D11" t="inlineStr">
        <is>
          <t>text</t>
        </is>
      </c>
      <c r="E11" s="4" t="inlineStr"/>
      <c r="F11" t="inlineStr">
        <is>
          <t>Datacenter.city</t>
        </is>
      </c>
      <c r="G11" s="4" t="inlineStr">
        <is>
          <t>City.</t>
        </is>
      </c>
      <c r="H11" t="inlineStr">
        <is>
          <t>Indore</t>
        </is>
      </c>
    </row>
    <row r="12">
      <c r="A12" t="inlineStr">
        <is>
          <t>Sites</t>
        </is>
      </c>
      <c r="B12" t="inlineStr">
        <is>
          <t>address</t>
        </is>
      </c>
      <c r="C12" t="inlineStr">
        <is>
          <t>Required</t>
        </is>
      </c>
      <c r="D12" t="inlineStr">
        <is>
          <t>text</t>
        </is>
      </c>
      <c r="E12" s="4" t="inlineStr"/>
      <c r="F12" t="inlineStr">
        <is>
          <t>Datacenter.address</t>
        </is>
      </c>
      <c r="G12" s="4" t="inlineStr">
        <is>
          <t>Postal address.</t>
        </is>
      </c>
      <c r="H12" t="inlineStr">
        <is>
          <t>Plot 12, Sample IT Park, Indore 452010 (illustrative)</t>
        </is>
      </c>
    </row>
    <row r="13">
      <c r="A13" t="inlineStr">
        <is>
          <t>Sites</t>
        </is>
      </c>
      <c r="B13" t="inlineStr">
        <is>
          <t>latitude</t>
        </is>
      </c>
      <c r="C13" t="inlineStr">
        <is>
          <t>Required</t>
        </is>
      </c>
      <c r="D13" t="inlineStr">
        <is>
          <t>decimal</t>
        </is>
      </c>
      <c r="E13" s="4" t="inlineStr"/>
      <c r="F13" t="inlineStr">
        <is>
          <t>Datacenter.lat</t>
        </is>
      </c>
      <c r="G13" s="4" t="inlineStr">
        <is>
          <t>Decimal degrees (WGS84). Places the pin on the estate map.</t>
        </is>
      </c>
      <c r="H13" t="inlineStr">
        <is>
          <t>22.7196</t>
        </is>
      </c>
    </row>
    <row r="14">
      <c r="A14" t="inlineStr">
        <is>
          <t>Sites</t>
        </is>
      </c>
      <c r="B14" t="inlineStr">
        <is>
          <t>longitude</t>
        </is>
      </c>
      <c r="C14" t="inlineStr">
        <is>
          <t>Required</t>
        </is>
      </c>
      <c r="D14" t="inlineStr">
        <is>
          <t>decimal</t>
        </is>
      </c>
      <c r="E14" s="4" t="inlineStr"/>
      <c r="F14" t="inlineStr">
        <is>
          <t>Datacenter.lng</t>
        </is>
      </c>
      <c r="G14" s="4" t="inlineStr">
        <is>
          <t>Decimal degrees (WGS84).</t>
        </is>
      </c>
      <c r="H14" t="inlineStr">
        <is>
          <t>75.8577</t>
        </is>
      </c>
    </row>
    <row r="15">
      <c r="A15" t="inlineStr">
        <is>
          <t>Sites</t>
        </is>
      </c>
      <c r="B15" t="inlineStr">
        <is>
          <t>commissioned_on</t>
        </is>
      </c>
      <c r="C15" t="inlineStr">
        <is>
          <t>Optional</t>
        </is>
      </c>
      <c r="D15" t="inlineStr">
        <is>
          <t>date</t>
        </is>
      </c>
      <c r="E15" s="4" t="inlineStr"/>
      <c r="F15" t="inlineStr">
        <is>
          <t>Datacenter.commissionedOn</t>
        </is>
      </c>
      <c r="G15" s="4" t="inlineStr">
        <is>
          <t>Date the site went live.</t>
        </is>
      </c>
      <c r="H15" t="inlineStr">
        <is>
          <t>2022-03-15</t>
        </is>
      </c>
    </row>
    <row r="16">
      <c r="A16" t="inlineStr">
        <is>
          <t>Sites</t>
        </is>
      </c>
      <c r="B16" t="inlineStr">
        <is>
          <t>it_capacity_kw</t>
        </is>
      </c>
      <c r="C16" t="inlineStr">
        <is>
          <t>Required</t>
        </is>
      </c>
      <c r="D16" t="inlineStr">
        <is>
          <t>decimal</t>
        </is>
      </c>
      <c r="E16" s="4" t="inlineStr"/>
      <c r="F16" t="inlineStr">
        <is>
          <t>Datacenter.power.capacityKw</t>
        </is>
      </c>
      <c r="G16" s="4" t="inlineStr">
        <is>
          <t>Design IT load (kW) the site is built for.</t>
        </is>
      </c>
      <c r="H16" t="inlineStr">
        <is>
          <t>1200</t>
        </is>
      </c>
    </row>
    <row r="17">
      <c r="A17" t="inlineStr">
        <is>
          <t>Sites</t>
        </is>
      </c>
      <c r="B17" t="inlineStr">
        <is>
          <t>design_pue</t>
        </is>
      </c>
      <c r="C17" t="inlineStr">
        <is>
          <t>Optional</t>
        </is>
      </c>
      <c r="D17" t="inlineStr">
        <is>
          <t>decimal</t>
        </is>
      </c>
      <c r="E17" s="4" t="inlineStr"/>
      <c r="F17" t="inlineStr">
        <is>
          <t>Datacenter.power.pue</t>
        </is>
      </c>
      <c r="G17" s="4" t="inlineStr">
        <is>
          <t>Design PUE. Live PUE comes from the BMS.</t>
        </is>
      </c>
      <c r="H17" t="inlineStr">
        <is>
          <t>1.45</t>
        </is>
      </c>
    </row>
    <row r="18">
      <c r="A18" t="inlineStr">
        <is>
          <t>Sites</t>
        </is>
      </c>
      <c r="B18" t="inlineStr">
        <is>
          <t>cooling_capacity_kw</t>
        </is>
      </c>
      <c r="C18" t="inlineStr">
        <is>
          <t>Required</t>
        </is>
      </c>
      <c r="D18" t="inlineStr">
        <is>
          <t>decimal</t>
        </is>
      </c>
      <c r="E18" s="4" t="inlineStr"/>
      <c r="F18" t="inlineStr">
        <is>
          <t>Datacenter.cooling.capacityKw</t>
        </is>
      </c>
      <c r="G18" s="4" t="inlineStr">
        <is>
          <t>Total installed cooling capacity (kW).</t>
        </is>
      </c>
      <c r="H18" t="inlineStr">
        <is>
          <t>1500</t>
        </is>
      </c>
    </row>
    <row r="19">
      <c r="A19" t="inlineStr">
        <is>
          <t>Sites</t>
        </is>
      </c>
      <c r="B19" t="inlineStr">
        <is>
          <t>cooling_redundancy</t>
        </is>
      </c>
      <c r="C19" t="inlineStr">
        <is>
          <t>Required</t>
        </is>
      </c>
      <c r="D19" t="inlineStr">
        <is>
          <t>list</t>
        </is>
      </c>
      <c r="E19" s="4" t="inlineStr">
        <is>
          <t>N, N+1, 2N</t>
        </is>
      </c>
      <c r="F19" t="inlineStr">
        <is>
          <t>Datacenter.cooling.redundancy</t>
        </is>
      </c>
      <c r="G19" s="4" t="inlineStr">
        <is>
          <t>N / N+1 / 2N.</t>
        </is>
      </c>
      <c r="H19" t="inlineStr">
        <is>
          <t>N+1</t>
        </is>
      </c>
    </row>
    <row r="20">
      <c r="A20" t="inlineStr">
        <is>
          <t>Sites</t>
        </is>
      </c>
      <c r="B20" t="inlineStr">
        <is>
          <t>timezone</t>
        </is>
      </c>
      <c r="C20" t="inlineStr">
        <is>
          <t>Optional</t>
        </is>
      </c>
      <c r="D20" t="inlineStr">
        <is>
          <t>text</t>
        </is>
      </c>
      <c r="E20" s="4" t="inlineStr"/>
      <c r="F20" t="inlineStr">
        <is>
          <t>(reference only)</t>
        </is>
      </c>
      <c r="G20" s="4" t="inlineStr">
        <is>
          <t>IANA timezone, for example Asia/Kolkata.</t>
        </is>
      </c>
      <c r="H20" t="inlineStr">
        <is>
          <t>Asia/Kolkata</t>
        </is>
      </c>
    </row>
    <row r="21">
      <c r="A21" t="inlineStr">
        <is>
          <t>Floors</t>
        </is>
      </c>
      <c r="B21" t="inlineStr">
        <is>
          <t>site_id</t>
        </is>
      </c>
      <c r="C21" t="inlineStr">
        <is>
          <t>Required</t>
        </is>
      </c>
      <c r="D21" t="inlineStr">
        <is>
          <t>ref</t>
        </is>
      </c>
      <c r="E21" s="4" t="inlineStr">
        <is>
          <t>an ID from Sites</t>
        </is>
      </c>
      <c r="F21" t="inlineStr">
        <is>
          <t>Datacenter.id</t>
        </is>
      </c>
      <c r="G21" s="4" t="inlineStr">
        <is>
          <t>Must exist in Sites.</t>
        </is>
      </c>
      <c r="H21" t="inlineStr">
        <is>
          <t>MP-DC-001</t>
        </is>
      </c>
    </row>
    <row r="22">
      <c r="A22" t="inlineStr">
        <is>
          <t>Floors</t>
        </is>
      </c>
      <c r="B22" t="inlineStr">
        <is>
          <t>floor_id</t>
        </is>
      </c>
      <c r="C22" t="inlineStr">
        <is>
          <t>Required</t>
        </is>
      </c>
      <c r="D22" t="inlineStr">
        <is>
          <t>text</t>
        </is>
      </c>
      <c r="E22" s="4" t="inlineStr"/>
      <c r="F22" t="inlineStr">
        <is>
          <t>(key)</t>
        </is>
      </c>
      <c r="G22" s="4" t="inlineStr">
        <is>
          <t>Unique within the workbook, for example MP-DC-001-F0.</t>
        </is>
      </c>
      <c r="H22" t="inlineStr">
        <is>
          <t>MP-DC-001-F0</t>
        </is>
      </c>
    </row>
    <row r="23">
      <c r="A23" t="inlineStr">
        <is>
          <t>Floors</t>
        </is>
      </c>
      <c r="B23" t="inlineStr">
        <is>
          <t>floor_name</t>
        </is>
      </c>
      <c r="C23" t="inlineStr">
        <is>
          <t>Required</t>
        </is>
      </c>
      <c r="D23" t="inlineStr">
        <is>
          <t>text</t>
        </is>
      </c>
      <c r="E23" s="4" t="inlineStr"/>
      <c r="F23" t="inlineStr">
        <is>
          <t>Datacenter.floors[].name</t>
        </is>
      </c>
      <c r="G23" s="4" t="inlineStr">
        <is>
          <t>As staff call it: Ground, 1st floor…</t>
        </is>
      </c>
      <c r="H23" t="inlineStr">
        <is>
          <t>Ground</t>
        </is>
      </c>
    </row>
    <row r="24">
      <c r="A24" t="inlineStr">
        <is>
          <t>Floors</t>
        </is>
      </c>
      <c r="B24" t="inlineStr">
        <is>
          <t>level</t>
        </is>
      </c>
      <c r="C24" t="inlineStr">
        <is>
          <t>Required</t>
        </is>
      </c>
      <c r="D24" t="inlineStr">
        <is>
          <t>integer</t>
        </is>
      </c>
      <c r="E24" s="4" t="inlineStr"/>
      <c r="F24" t="inlineStr">
        <is>
          <t>(order in the 3D twin)</t>
        </is>
      </c>
      <c r="G24" s="4" t="inlineStr">
        <is>
          <t>0 = ground, 1 = first floor…, −1 = basement.</t>
        </is>
      </c>
      <c r="H24" t="inlineStr">
        <is>
          <t>0</t>
        </is>
      </c>
    </row>
    <row r="25">
      <c r="A25" t="inlineStr">
        <is>
          <t>Rooms</t>
        </is>
      </c>
      <c r="B25" t="inlineStr">
        <is>
          <t>site_id</t>
        </is>
      </c>
      <c r="C25" t="inlineStr">
        <is>
          <t>Required</t>
        </is>
      </c>
      <c r="D25" t="inlineStr">
        <is>
          <t>ref</t>
        </is>
      </c>
      <c r="E25" s="4" t="inlineStr">
        <is>
          <t>an ID from Sites</t>
        </is>
      </c>
      <c r="F25" t="inlineStr">
        <is>
          <t>Datacenter.id</t>
        </is>
      </c>
      <c r="G25" s="4" t="inlineStr"/>
      <c r="H25" t="inlineStr">
        <is>
          <t>MP-DC-001</t>
        </is>
      </c>
    </row>
    <row r="26">
      <c r="A26" t="inlineStr">
        <is>
          <t>Rooms</t>
        </is>
      </c>
      <c r="B26" t="inlineStr">
        <is>
          <t>floor_id</t>
        </is>
      </c>
      <c r="C26" t="inlineStr">
        <is>
          <t>Required</t>
        </is>
      </c>
      <c r="D26" t="inlineStr">
        <is>
          <t>ref</t>
        </is>
      </c>
      <c r="E26" s="4" t="inlineStr">
        <is>
          <t>an ID from Floors</t>
        </is>
      </c>
      <c r="F26" t="inlineStr">
        <is>
          <t>(key)</t>
        </is>
      </c>
      <c r="G26" s="4" t="inlineStr">
        <is>
          <t>Must exist in Floors.</t>
        </is>
      </c>
      <c r="H26" t="inlineStr">
        <is>
          <t>MP-DC-001-F0</t>
        </is>
      </c>
    </row>
    <row r="27">
      <c r="A27" t="inlineStr">
        <is>
          <t>Rooms</t>
        </is>
      </c>
      <c r="B27" t="inlineStr">
        <is>
          <t>room_id</t>
        </is>
      </c>
      <c r="C27" t="inlineStr">
        <is>
          <t>Required</t>
        </is>
      </c>
      <c r="D27" t="inlineStr">
        <is>
          <t>text</t>
        </is>
      </c>
      <c r="E27" s="4" t="inlineStr"/>
      <c r="F27" t="inlineStr">
        <is>
          <t>(key)</t>
        </is>
      </c>
      <c r="G27" s="4" t="inlineStr">
        <is>
          <t>Unique within the workbook.</t>
        </is>
      </c>
      <c r="H27" t="inlineStr">
        <is>
          <t>MP-DC-001-MMR</t>
        </is>
      </c>
    </row>
    <row r="28">
      <c r="A28" t="inlineStr">
        <is>
          <t>Rooms</t>
        </is>
      </c>
      <c r="B28" t="inlineStr">
        <is>
          <t>room_name</t>
        </is>
      </c>
      <c r="C28" t="inlineStr">
        <is>
          <t>Required</t>
        </is>
      </c>
      <c r="D28" t="inlineStr">
        <is>
          <t>text</t>
        </is>
      </c>
      <c r="E28" s="4" t="inlineStr"/>
      <c r="F28" t="inlineStr">
        <is>
          <t>Datacenter.floors[].rooms[] / Rack.room</t>
        </is>
      </c>
      <c r="G28" s="4" t="inlineStr">
        <is>
          <t>Shown in the twin, the racks list and alarm locations.</t>
        </is>
      </c>
      <c r="H28" t="inlineStr">
        <is>
          <t>Meet-me room</t>
        </is>
      </c>
    </row>
    <row r="29">
      <c r="A29" t="inlineStr">
        <is>
          <t>Rooms</t>
        </is>
      </c>
      <c r="B29" t="inlineStr">
        <is>
          <t>room_type</t>
        </is>
      </c>
      <c r="C29" t="inlineStr">
        <is>
          <t>Required</t>
        </is>
      </c>
      <c r="D29" t="inlineStr">
        <is>
          <t>list</t>
        </is>
      </c>
      <c r="E29" s="4" t="inlineStr">
        <is>
          <t>Data hall, AI hall, Meet-me room, Network room, Plant room, UPS room, Battery room, NOC</t>
        </is>
      </c>
      <c r="F29" t="inlineStr">
        <is>
          <t>(twin layout)</t>
        </is>
      </c>
      <c r="G29" s="4" t="inlineStr">
        <is>
          <t>Plant / UPS / battery rooms hold the power plant; halls hold racks.</t>
        </is>
      </c>
      <c r="H29" t="inlineStr">
        <is>
          <t>Meet-me room</t>
        </is>
      </c>
    </row>
    <row r="30">
      <c r="A30" t="inlineStr">
        <is>
          <t>Rooms</t>
        </is>
      </c>
      <c r="B30" t="inlineStr">
        <is>
          <t>area_sqm</t>
        </is>
      </c>
      <c r="C30" t="inlineStr">
        <is>
          <t>Optional</t>
        </is>
      </c>
      <c r="D30" t="inlineStr">
        <is>
          <t>decimal</t>
        </is>
      </c>
      <c r="E30" s="4" t="inlineStr"/>
      <c r="F30" t="inlineStr">
        <is>
          <t>(reference only)</t>
        </is>
      </c>
      <c r="G30" s="4" t="inlineStr">
        <is>
          <t>Floor area.</t>
        </is>
      </c>
      <c r="H30" t="inlineStr">
        <is>
          <t>60</t>
        </is>
      </c>
    </row>
    <row r="31">
      <c r="A31" t="inlineStr">
        <is>
          <t>Rooms</t>
        </is>
      </c>
      <c r="B31" t="inlineStr">
        <is>
          <t>rack_rows</t>
        </is>
      </c>
      <c r="C31" t="inlineStr">
        <is>
          <t>Optional</t>
        </is>
      </c>
      <c r="D31" t="inlineStr">
        <is>
          <t>integer</t>
        </is>
      </c>
      <c r="E31" s="4" t="inlineStr"/>
      <c r="F31" t="inlineStr">
        <is>
          <t>(twin layout)</t>
        </is>
      </c>
      <c r="G31" s="4" t="inlineStr">
        <is>
          <t>Number of rack rows; racks face each other in pairs.</t>
        </is>
      </c>
      <c r="H31" t="inlineStr">
        <is>
          <t>1</t>
        </is>
      </c>
    </row>
    <row r="32">
      <c r="A32" t="inlineStr">
        <is>
          <t>Rooms</t>
        </is>
      </c>
      <c r="B32" t="inlineStr">
        <is>
          <t>containment</t>
        </is>
      </c>
      <c r="C32" t="inlineStr">
        <is>
          <t>Optional</t>
        </is>
      </c>
      <c r="D32" t="inlineStr">
        <is>
          <t>list</t>
        </is>
      </c>
      <c r="E32" s="4" t="inlineStr">
        <is>
          <t>Cold aisle, Hot aisle, None</t>
        </is>
      </c>
      <c r="F32" t="inlineStr">
        <is>
          <t>(twin layout)</t>
        </is>
      </c>
      <c r="G32" s="4" t="inlineStr">
        <is>
          <t>Aisle containment.</t>
        </is>
      </c>
      <c r="H32" t="inlineStr">
        <is>
          <t>None</t>
        </is>
      </c>
    </row>
    <row r="33">
      <c r="A33" t="inlineStr">
        <is>
          <t>Rooms</t>
        </is>
      </c>
      <c r="B33" t="inlineStr">
        <is>
          <t>cooling_method</t>
        </is>
      </c>
      <c r="C33" t="inlineStr">
        <is>
          <t>Optional</t>
        </is>
      </c>
      <c r="D33" t="inlineStr">
        <is>
          <t>list</t>
        </is>
      </c>
      <c r="E33" s="4" t="inlineStr">
        <is>
          <t>Air, Liquid, Hybrid</t>
        </is>
      </c>
      <c r="F33" t="inlineStr">
        <is>
          <t>Rack.liquid</t>
        </is>
      </c>
      <c r="G33" s="4" t="inlineStr">
        <is>
          <t>Air, Liquid or Hybrid.</t>
        </is>
      </c>
      <c r="H33" t="inlineStr">
        <is>
          <t>Air</t>
        </is>
      </c>
    </row>
    <row r="34">
      <c r="A34" t="inlineStr">
        <is>
          <t>Racks</t>
        </is>
      </c>
      <c r="B34" t="inlineStr">
        <is>
          <t>rack_id</t>
        </is>
      </c>
      <c r="C34" t="inlineStr">
        <is>
          <t>Required</t>
        </is>
      </c>
      <c r="D34" t="inlineStr">
        <is>
          <t>text</t>
        </is>
      </c>
      <c r="E34" s="4" t="inlineStr"/>
      <c r="F34" t="inlineStr">
        <is>
          <t>Rack.id</t>
        </is>
      </c>
      <c r="G34" s="4" t="inlineStr">
        <is>
          <t>Unique, for example MP-DC-001-A01.</t>
        </is>
      </c>
      <c r="H34" t="inlineStr">
        <is>
          <t>MP-DC-001-MMR-R01</t>
        </is>
      </c>
    </row>
    <row r="35">
      <c r="A35" t="inlineStr">
        <is>
          <t>Racks</t>
        </is>
      </c>
      <c r="B35" t="inlineStr">
        <is>
          <t>site_id</t>
        </is>
      </c>
      <c r="C35" t="inlineStr">
        <is>
          <t>Required</t>
        </is>
      </c>
      <c r="D35" t="inlineStr">
        <is>
          <t>ref</t>
        </is>
      </c>
      <c r="E35" s="4" t="inlineStr">
        <is>
          <t>an ID from Sites</t>
        </is>
      </c>
      <c r="F35" t="inlineStr">
        <is>
          <t>Rack.dcId</t>
        </is>
      </c>
      <c r="G35" s="4" t="inlineStr"/>
      <c r="H35" t="inlineStr">
        <is>
          <t>MP-DC-001</t>
        </is>
      </c>
    </row>
    <row r="36">
      <c r="A36" t="inlineStr">
        <is>
          <t>Racks</t>
        </is>
      </c>
      <c r="B36" t="inlineStr">
        <is>
          <t>room_id</t>
        </is>
      </c>
      <c r="C36" t="inlineStr">
        <is>
          <t>Required</t>
        </is>
      </c>
      <c r="D36" t="inlineStr">
        <is>
          <t>ref</t>
        </is>
      </c>
      <c r="E36" s="4" t="inlineStr">
        <is>
          <t>an ID from Rooms</t>
        </is>
      </c>
      <c r="F36" t="inlineStr">
        <is>
          <t>Rack.floor / Rack.room</t>
        </is>
      </c>
      <c r="G36" s="4" t="inlineStr">
        <is>
          <t>Floor and room come from the Rooms row.</t>
        </is>
      </c>
      <c r="H36" t="inlineStr">
        <is>
          <t>MP-DC-001-MMR</t>
        </is>
      </c>
    </row>
    <row r="37">
      <c r="A37" t="inlineStr">
        <is>
          <t>Racks</t>
        </is>
      </c>
      <c r="B37" t="inlineStr">
        <is>
          <t>rack_name</t>
        </is>
      </c>
      <c r="C37" t="inlineStr">
        <is>
          <t>Required</t>
        </is>
      </c>
      <c r="D37" t="inlineStr">
        <is>
          <t>text</t>
        </is>
      </c>
      <c r="E37" s="4" t="inlineStr"/>
      <c r="F37" t="inlineStr">
        <is>
          <t>Rack.name</t>
        </is>
      </c>
      <c r="G37" s="4" t="inlineStr">
        <is>
          <t>Label on the cabinet (shown on the 3D twin).</t>
        </is>
      </c>
      <c r="H37" t="inlineStr">
        <is>
          <t>MMR-R01</t>
        </is>
      </c>
    </row>
    <row r="38">
      <c r="A38" t="inlineStr">
        <is>
          <t>Racks</t>
        </is>
      </c>
      <c r="B38" t="inlineStr">
        <is>
          <t>row</t>
        </is>
      </c>
      <c r="C38" t="inlineStr">
        <is>
          <t>Optional</t>
        </is>
      </c>
      <c r="D38" t="inlineStr">
        <is>
          <t>text</t>
        </is>
      </c>
      <c r="E38" s="4" t="inlineStr"/>
      <c r="F38" t="inlineStr">
        <is>
          <t>(twin layout)</t>
        </is>
      </c>
      <c r="G38" s="4" t="inlineStr">
        <is>
          <t>Row letter or number.</t>
        </is>
      </c>
      <c r="H38" t="inlineStr">
        <is>
          <t>M</t>
        </is>
      </c>
    </row>
    <row r="39">
      <c r="A39" t="inlineStr">
        <is>
          <t>Racks</t>
        </is>
      </c>
      <c r="B39" t="inlineStr">
        <is>
          <t>position</t>
        </is>
      </c>
      <c r="C39" t="inlineStr">
        <is>
          <t>Optional</t>
        </is>
      </c>
      <c r="D39" t="inlineStr">
        <is>
          <t>integer</t>
        </is>
      </c>
      <c r="E39" s="4" t="inlineStr"/>
      <c r="F39" t="inlineStr">
        <is>
          <t>(twin layout)</t>
        </is>
      </c>
      <c r="G39" s="4" t="inlineStr">
        <is>
          <t>Position in the row, 1…n.</t>
        </is>
      </c>
      <c r="H39" t="inlineStr">
        <is>
          <t>1</t>
        </is>
      </c>
    </row>
    <row r="40">
      <c r="A40" t="inlineStr">
        <is>
          <t>Racks</t>
        </is>
      </c>
      <c r="B40" t="inlineStr">
        <is>
          <t>role</t>
        </is>
      </c>
      <c r="C40" t="inlineStr">
        <is>
          <t>Required</t>
        </is>
      </c>
      <c r="D40" t="inlineStr">
        <is>
          <t>list</t>
        </is>
      </c>
      <c r="E40" s="4" t="inlineStr">
        <is>
          <t>Core, Meet-me room, Network, Aggregation, Compute, Storage, GPU, Tenant, AI cage</t>
        </is>
      </c>
      <c r="F40" t="inlineStr">
        <is>
          <t>Rack.role</t>
        </is>
      </c>
      <c r="G40" s="4" t="inlineStr">
        <is>
          <t>What the cabinet is for.</t>
        </is>
      </c>
      <c r="H40" t="inlineStr">
        <is>
          <t>Core</t>
        </is>
      </c>
    </row>
    <row r="41">
      <c r="A41" t="inlineStr">
        <is>
          <t>Racks</t>
        </is>
      </c>
      <c r="B41" t="inlineStr">
        <is>
          <t>height_u</t>
        </is>
      </c>
      <c r="C41" t="inlineStr">
        <is>
          <t>Required</t>
        </is>
      </c>
      <c r="D41" t="inlineStr">
        <is>
          <t>integer</t>
        </is>
      </c>
      <c r="E41" s="4" t="inlineStr"/>
      <c r="F41" t="inlineStr">
        <is>
          <t>Rack.heightU</t>
        </is>
      </c>
      <c r="G41" s="4" t="inlineStr">
        <is>
          <t>Usable rack units (42, 45, 48…).</t>
        </is>
      </c>
      <c r="H41" t="inlineStr">
        <is>
          <t>45</t>
        </is>
      </c>
    </row>
    <row r="42">
      <c r="A42" t="inlineStr">
        <is>
          <t>Racks</t>
        </is>
      </c>
      <c r="B42" t="inlineStr">
        <is>
          <t>power_budget_kw</t>
        </is>
      </c>
      <c r="C42" t="inlineStr">
        <is>
          <t>Required</t>
        </is>
      </c>
      <c r="D42" t="inlineStr">
        <is>
          <t>decimal</t>
        </is>
      </c>
      <c r="E42" s="4" t="inlineStr"/>
      <c r="F42" t="inlineStr">
        <is>
          <t>Rack.budgetKw</t>
        </is>
      </c>
      <c r="G42" s="4" t="inlineStr">
        <is>
          <t>Provisioned power (kW). Live draw comes from the PDUs.</t>
        </is>
      </c>
      <c r="H42" t="inlineStr">
        <is>
          <t>12</t>
        </is>
      </c>
    </row>
    <row r="43">
      <c r="A43" t="inlineStr">
        <is>
          <t>Racks</t>
        </is>
      </c>
      <c r="B43" t="inlineStr">
        <is>
          <t>owner</t>
        </is>
      </c>
      <c r="C43" t="inlineStr">
        <is>
          <t>Required</t>
        </is>
      </c>
      <c r="D43" t="inlineStr">
        <is>
          <t>list</t>
        </is>
      </c>
      <c r="E43" s="4" t="inlineStr">
        <is>
          <t>operator, tenant</t>
        </is>
      </c>
      <c r="F43" t="inlineStr">
        <is>
          <t>Rack.owner</t>
        </is>
      </c>
      <c r="G43" s="4" t="inlineStr">
        <is>
          <t>operator, or tenant (a leased cabinet: the operator sees power and environment only).</t>
        </is>
      </c>
      <c r="H43" t="inlineStr">
        <is>
          <t>operator</t>
        </is>
      </c>
    </row>
    <row r="44">
      <c r="A44" t="inlineStr">
        <is>
          <t>Racks</t>
        </is>
      </c>
      <c r="B44" t="inlineStr">
        <is>
          <t>tenant_customer_id</t>
        </is>
      </c>
      <c r="C44" t="inlineStr">
        <is>
          <t>Conditional</t>
        </is>
      </c>
      <c r="D44" t="inlineStr">
        <is>
          <t>ref</t>
        </is>
      </c>
      <c r="E44" s="4" t="inlineStr">
        <is>
          <t>an ID from Customers</t>
        </is>
      </c>
      <c r="F44" t="inlineStr">
        <is>
          <t>Rack.tenantId</t>
        </is>
      </c>
      <c r="G44" s="4" t="inlineStr">
        <is>
          <t>Required when owner = tenant.</t>
        </is>
      </c>
      <c r="H44" t="inlineStr">
        <is>
          <t>CUST-001</t>
        </is>
      </c>
    </row>
    <row r="45">
      <c r="A45" t="inlineStr">
        <is>
          <t>Racks</t>
        </is>
      </c>
      <c r="B45" t="inlineStr">
        <is>
          <t>contracted_kw</t>
        </is>
      </c>
      <c r="C45" t="inlineStr">
        <is>
          <t>Conditional</t>
        </is>
      </c>
      <c r="D45" t="inlineStr">
        <is>
          <t>decimal</t>
        </is>
      </c>
      <c r="E45" s="4" t="inlineStr"/>
      <c r="F45" t="inlineStr">
        <is>
          <t>Rack.contractedKw</t>
        </is>
      </c>
      <c r="G45" s="4" t="inlineStr">
        <is>
          <t>Required when owner = tenant: the power the tenant has bought.</t>
        </is>
      </c>
      <c r="H45" t="inlineStr">
        <is>
          <t>6</t>
        </is>
      </c>
    </row>
    <row r="46">
      <c r="A46" t="inlineStr">
        <is>
          <t>Racks</t>
        </is>
      </c>
      <c r="B46" t="inlineStr">
        <is>
          <t>density</t>
        </is>
      </c>
      <c r="C46" t="inlineStr">
        <is>
          <t>Optional</t>
        </is>
      </c>
      <c r="D46" t="inlineStr">
        <is>
          <t>list</t>
        </is>
      </c>
      <c r="E46" s="4" t="inlineStr">
        <is>
          <t>standard, ai</t>
        </is>
      </c>
      <c r="F46" t="inlineStr">
        <is>
          <t>Rack.density</t>
        </is>
      </c>
      <c r="G46" s="4" t="inlineStr">
        <is>
          <t>ai = high-density GPU rack or AI cage.</t>
        </is>
      </c>
      <c r="H46" t="inlineStr">
        <is>
          <t>standard</t>
        </is>
      </c>
    </row>
    <row r="47">
      <c r="A47" t="inlineStr">
        <is>
          <t>Racks</t>
        </is>
      </c>
      <c r="B47" t="inlineStr">
        <is>
          <t>liquid_cooled</t>
        </is>
      </c>
      <c r="C47" t="inlineStr">
        <is>
          <t>Optional</t>
        </is>
      </c>
      <c r="D47" t="inlineStr">
        <is>
          <t>list</t>
        </is>
      </c>
      <c r="E47" s="4" t="inlineStr">
        <is>
          <t>Y, N</t>
        </is>
      </c>
      <c r="F47" t="inlineStr">
        <is>
          <t>Rack.liquid</t>
        </is>
      </c>
      <c r="G47" s="4" t="inlineStr">
        <is>
          <t>Y = direct liquid cooling.</t>
        </is>
      </c>
      <c r="H47" t="inlineStr">
        <is>
          <t>N</t>
        </is>
      </c>
    </row>
    <row r="48">
      <c r="A48" t="inlineStr">
        <is>
          <t>Racks</t>
        </is>
      </c>
      <c r="B48" t="inlineStr">
        <is>
          <t>cdu_id</t>
        </is>
      </c>
      <c r="C48" t="inlineStr">
        <is>
          <t>Conditional</t>
        </is>
      </c>
      <c r="D48" t="inlineStr">
        <is>
          <t>ref</t>
        </is>
      </c>
      <c r="E48" s="4" t="inlineStr">
        <is>
          <t>an ID from CDUs</t>
        </is>
      </c>
      <c r="F48" t="inlineStr">
        <is>
          <t>AiCage.cduId / Cdu.racks</t>
        </is>
      </c>
      <c r="G48" s="4" t="inlineStr">
        <is>
          <t>Required when liquid_cooled = Y.</t>
        </is>
      </c>
      <c r="H48" t="inlineStr">
        <is>
          <t>MP-DC-001-CDU-01</t>
        </is>
      </c>
    </row>
    <row r="49">
      <c r="A49" t="inlineStr">
        <is>
          <t>Racks</t>
        </is>
      </c>
      <c r="B49" t="inlineStr">
        <is>
          <t>pdu_feed_a</t>
        </is>
      </c>
      <c r="C49" t="inlineStr">
        <is>
          <t>Optional</t>
        </is>
      </c>
      <c r="D49" t="inlineStr">
        <is>
          <t>ref</t>
        </is>
      </c>
      <c r="E49" s="4" t="inlineStr">
        <is>
          <t>an ID from Power_Feeds</t>
        </is>
      </c>
      <c r="F49" t="inlineStr">
        <is>
          <t>(power path)</t>
        </is>
      </c>
      <c r="G49" s="4" t="inlineStr">
        <is>
          <t>Feed powering the A-side PDU.</t>
        </is>
      </c>
      <c r="H49" t="inlineStr">
        <is>
          <t>MP-DC-001-AC-1</t>
        </is>
      </c>
    </row>
    <row r="50">
      <c r="A50" t="inlineStr">
        <is>
          <t>Racks</t>
        </is>
      </c>
      <c r="B50" t="inlineStr">
        <is>
          <t>pdu_feed_b</t>
        </is>
      </c>
      <c r="C50" t="inlineStr">
        <is>
          <t>Optional</t>
        </is>
      </c>
      <c r="D50" t="inlineStr">
        <is>
          <t>ref</t>
        </is>
      </c>
      <c r="E50" s="4" t="inlineStr">
        <is>
          <t>an ID from Power_Feeds</t>
        </is>
      </c>
      <c r="F50" t="inlineStr">
        <is>
          <t>(power path)</t>
        </is>
      </c>
      <c r="G50" s="4" t="inlineStr">
        <is>
          <t>Feed powering the B-side PDU.</t>
        </is>
      </c>
      <c r="H50" t="inlineStr">
        <is>
          <t>MP-DC-001-AC-2</t>
        </is>
      </c>
    </row>
    <row r="51">
      <c r="A51" t="inlineStr">
        <is>
          <t>Racks</t>
        </is>
      </c>
      <c r="B51" t="inlineStr">
        <is>
          <t>used_u (calc)</t>
        </is>
      </c>
      <c r="C51" t="inlineStr">
        <is>
          <t>Calculated</t>
        </is>
      </c>
      <c r="D51" t="inlineStr">
        <is>
          <t>formula</t>
        </is>
      </c>
      <c r="E51" s="4" t="inlineStr"/>
      <c r="F51" t="inlineStr">
        <is>
          <t>Rack.usedU</t>
        </is>
      </c>
      <c r="G51" s="4" t="inlineStr">
        <is>
          <t>Calculated: the sum of u_size of the devices in this rack. Don't type it.</t>
        </is>
      </c>
      <c r="H51" t="inlineStr"/>
    </row>
    <row r="52">
      <c r="A52" t="inlineStr">
        <is>
          <t>Power_Feeds</t>
        </is>
      </c>
      <c r="B52" t="inlineStr">
        <is>
          <t>feed_id</t>
        </is>
      </c>
      <c r="C52" t="inlineStr">
        <is>
          <t>Required</t>
        </is>
      </c>
      <c r="D52" t="inlineStr">
        <is>
          <t>text</t>
        </is>
      </c>
      <c r="E52" s="4" t="inlineStr"/>
      <c r="F52" t="inlineStr">
        <is>
          <t>PowerFeed.id</t>
        </is>
      </c>
      <c r="G52" s="4" t="inlineStr">
        <is>
          <t>Unique, for example MP-DC-001-AC-1.</t>
        </is>
      </c>
      <c r="H52" t="inlineStr">
        <is>
          <t>MP-DC-001-AC-1</t>
        </is>
      </c>
    </row>
    <row r="53">
      <c r="A53" t="inlineStr">
        <is>
          <t>Power_Feeds</t>
        </is>
      </c>
      <c r="B53" t="inlineStr">
        <is>
          <t>site_id</t>
        </is>
      </c>
      <c r="C53" t="inlineStr">
        <is>
          <t>Required</t>
        </is>
      </c>
      <c r="D53" t="inlineStr">
        <is>
          <t>ref</t>
        </is>
      </c>
      <c r="E53" s="4" t="inlineStr">
        <is>
          <t>an ID from Sites</t>
        </is>
      </c>
      <c r="F53" t="inlineStr">
        <is>
          <t>Datacenter.id</t>
        </is>
      </c>
      <c r="G53" s="4" t="inlineStr"/>
      <c r="H53" t="inlineStr">
        <is>
          <t>MP-DC-001</t>
        </is>
      </c>
    </row>
    <row r="54">
      <c r="A54" t="inlineStr">
        <is>
          <t>Power_Feeds</t>
        </is>
      </c>
      <c r="B54" t="inlineStr">
        <is>
          <t>type</t>
        </is>
      </c>
      <c r="C54" t="inlineStr">
        <is>
          <t>Required</t>
        </is>
      </c>
      <c r="D54" t="inlineStr">
        <is>
          <t>list</t>
        </is>
      </c>
      <c r="E54" s="4" t="inlineStr">
        <is>
          <t>AC, DC</t>
        </is>
      </c>
      <c r="F54" t="inlineStr">
        <is>
          <t>PowerFeed.type</t>
        </is>
      </c>
      <c r="G54" s="4" t="inlineStr">
        <is>
          <t>AC or DC.</t>
        </is>
      </c>
      <c r="H54" t="inlineStr">
        <is>
          <t>AC</t>
        </is>
      </c>
    </row>
    <row r="55">
      <c r="A55" t="inlineStr">
        <is>
          <t>Power_Feeds</t>
        </is>
      </c>
      <c r="B55" t="inlineStr">
        <is>
          <t>source</t>
        </is>
      </c>
      <c r="C55" t="inlineStr">
        <is>
          <t>Required</t>
        </is>
      </c>
      <c r="D55" t="inlineStr">
        <is>
          <t>text</t>
        </is>
      </c>
      <c r="E55" s="4" t="inlineStr"/>
      <c r="F55" t="inlineStr">
        <is>
          <t>PowerFeed.source</t>
        </is>
      </c>
      <c r="G55" s="4" t="inlineStr">
        <is>
          <t>For example "Utility feed A", "Rectifier RECT-01".</t>
        </is>
      </c>
      <c r="H55" t="inlineStr">
        <is>
          <t>Utility feed A (MPPKVVCL 33 kV)</t>
        </is>
      </c>
    </row>
    <row r="56">
      <c r="A56" t="inlineStr">
        <is>
          <t>Power_Feeds</t>
        </is>
      </c>
      <c r="B56" t="inlineStr">
        <is>
          <t>rating</t>
        </is>
      </c>
      <c r="C56" t="inlineStr">
        <is>
          <t>Required</t>
        </is>
      </c>
      <c r="D56" t="inlineStr">
        <is>
          <t>text</t>
        </is>
      </c>
      <c r="E56" s="4" t="inlineStr"/>
      <c r="F56" t="inlineStr">
        <is>
          <t>PowerFeed.rating</t>
        </is>
      </c>
      <c r="G56" s="4" t="inlineStr">
        <is>
          <t>For example "630 A · 415 V" or "48 V · 2400 A".</t>
        </is>
      </c>
      <c r="H56" t="inlineStr">
        <is>
          <t>1250 A · 415 V</t>
        </is>
      </c>
    </row>
    <row r="57">
      <c r="A57" t="inlineStr">
        <is>
          <t>Power_Feeds</t>
        </is>
      </c>
      <c r="B57" t="inlineStr">
        <is>
          <t>capacity_kw</t>
        </is>
      </c>
      <c r="C57" t="inlineStr">
        <is>
          <t>Required</t>
        </is>
      </c>
      <c r="D57" t="inlineStr">
        <is>
          <t>decimal</t>
        </is>
      </c>
      <c r="E57" s="4" t="inlineStr"/>
      <c r="F57" t="inlineStr">
        <is>
          <t>PowerFeed.capacityKw</t>
        </is>
      </c>
      <c r="G57" s="4" t="inlineStr"/>
      <c r="H57" t="inlineStr">
        <is>
          <t>800</t>
        </is>
      </c>
    </row>
    <row r="58">
      <c r="A58" t="inlineStr">
        <is>
          <t>Power_Feeds</t>
        </is>
      </c>
      <c r="B58" t="inlineStr">
        <is>
          <t>normal_role</t>
        </is>
      </c>
      <c r="C58" t="inlineStr">
        <is>
          <t>Optional</t>
        </is>
      </c>
      <c r="D58" t="inlineStr">
        <is>
          <t>list</t>
        </is>
      </c>
      <c r="E58" s="4" t="inlineStr">
        <is>
          <t>Active, Standby</t>
        </is>
      </c>
      <c r="F58" t="inlineStr">
        <is>
          <t>(ATS story)</t>
        </is>
      </c>
      <c r="G58" s="4" t="inlineStr">
        <is>
          <t>Active, or Standby (picked up by the ATS).</t>
        </is>
      </c>
      <c r="H58" t="inlineStr">
        <is>
          <t>Active</t>
        </is>
      </c>
    </row>
    <row r="59">
      <c r="A59" t="inlineStr">
        <is>
          <t>Power_Feeds</t>
        </is>
      </c>
      <c r="B59" t="inlineStr">
        <is>
          <t>utility_account</t>
        </is>
      </c>
      <c r="C59" t="inlineStr">
        <is>
          <t>Optional</t>
        </is>
      </c>
      <c r="D59" t="inlineStr">
        <is>
          <t>text</t>
        </is>
      </c>
      <c r="E59" s="4" t="inlineStr"/>
      <c r="F59" t="inlineStr">
        <is>
          <t>(reference only)</t>
        </is>
      </c>
      <c r="G59" s="4" t="inlineStr">
        <is>
          <t>Utility connection / account number.</t>
        </is>
      </c>
      <c r="H59" t="inlineStr">
        <is>
          <t>MPW-33KV-0001 (sample)</t>
        </is>
      </c>
    </row>
    <row r="60">
      <c r="A60" t="inlineStr">
        <is>
          <t>UPS</t>
        </is>
      </c>
      <c r="B60" t="inlineStr">
        <is>
          <t>ups_id</t>
        </is>
      </c>
      <c r="C60" t="inlineStr">
        <is>
          <t>Required</t>
        </is>
      </c>
      <c r="D60" t="inlineStr">
        <is>
          <t>text</t>
        </is>
      </c>
      <c r="E60" s="4" t="inlineStr"/>
      <c r="F60" t="inlineStr">
        <is>
          <t>UpsUnit.id</t>
        </is>
      </c>
      <c r="G60" s="4" t="inlineStr"/>
      <c r="H60" t="inlineStr">
        <is>
          <t>MP-DC-001-UPS-1</t>
        </is>
      </c>
    </row>
    <row r="61">
      <c r="A61" t="inlineStr">
        <is>
          <t>UPS</t>
        </is>
      </c>
      <c r="B61" t="inlineStr">
        <is>
          <t>site_id</t>
        </is>
      </c>
      <c r="C61" t="inlineStr">
        <is>
          <t>Required</t>
        </is>
      </c>
      <c r="D61" t="inlineStr">
        <is>
          <t>ref</t>
        </is>
      </c>
      <c r="E61" s="4" t="inlineStr">
        <is>
          <t>an ID from Sites</t>
        </is>
      </c>
      <c r="F61" t="inlineStr">
        <is>
          <t>Datacenter.id</t>
        </is>
      </c>
      <c r="G61" s="4" t="inlineStr"/>
      <c r="H61" t="inlineStr">
        <is>
          <t>MP-DC-001</t>
        </is>
      </c>
    </row>
    <row r="62">
      <c r="A62" t="inlineStr">
        <is>
          <t>UPS</t>
        </is>
      </c>
      <c r="B62" t="inlineStr">
        <is>
          <t>room_id</t>
        </is>
      </c>
      <c r="C62" t="inlineStr">
        <is>
          <t>Optional</t>
        </is>
      </c>
      <c r="D62" t="inlineStr">
        <is>
          <t>ref</t>
        </is>
      </c>
      <c r="E62" s="4" t="inlineStr">
        <is>
          <t>an ID from Rooms</t>
        </is>
      </c>
      <c r="F62" t="inlineStr">
        <is>
          <t>(twin placement)</t>
        </is>
      </c>
      <c r="G62" s="4" t="inlineStr">
        <is>
          <t>Room the UPS stands in (shown and clickable in the realistic twin).</t>
        </is>
      </c>
      <c r="H62" t="inlineStr">
        <is>
          <t>MP-DC-001-PLANT</t>
        </is>
      </c>
    </row>
    <row r="63">
      <c r="A63" t="inlineStr">
        <is>
          <t>UPS</t>
        </is>
      </c>
      <c r="B63" t="inlineStr">
        <is>
          <t>name</t>
        </is>
      </c>
      <c r="C63" t="inlineStr">
        <is>
          <t>Required</t>
        </is>
      </c>
      <c r="D63" t="inlineStr">
        <is>
          <t>text</t>
        </is>
      </c>
      <c r="E63" s="4" t="inlineStr"/>
      <c r="F63" t="inlineStr">
        <is>
          <t>UpsUnit.name</t>
        </is>
      </c>
      <c r="G63" s="4" t="inlineStr">
        <is>
          <t>For example UPS-1.</t>
        </is>
      </c>
      <c r="H63" t="inlineStr">
        <is>
          <t>UPS-1</t>
        </is>
      </c>
    </row>
    <row r="64">
      <c r="A64" t="inlineStr">
        <is>
          <t>UPS</t>
        </is>
      </c>
      <c r="B64" t="inlineStr">
        <is>
          <t>vendor</t>
        </is>
      </c>
      <c r="C64" t="inlineStr">
        <is>
          <t>Optional</t>
        </is>
      </c>
      <c r="D64" t="inlineStr">
        <is>
          <t>text</t>
        </is>
      </c>
      <c r="E64" s="4" t="inlineStr"/>
      <c r="F64" t="inlineStr">
        <is>
          <t>(reference only)</t>
        </is>
      </c>
      <c r="G64" s="4" t="inlineStr"/>
      <c r="H64" t="inlineStr">
        <is>
          <t>Vertiv</t>
        </is>
      </c>
    </row>
    <row r="65">
      <c r="A65" t="inlineStr">
        <is>
          <t>UPS</t>
        </is>
      </c>
      <c r="B65" t="inlineStr">
        <is>
          <t>model</t>
        </is>
      </c>
      <c r="C65" t="inlineStr">
        <is>
          <t>Optional</t>
        </is>
      </c>
      <c r="D65" t="inlineStr">
        <is>
          <t>text</t>
        </is>
      </c>
      <c r="E65" s="4" t="inlineStr"/>
      <c r="F65" t="inlineStr">
        <is>
          <t>(reference only)</t>
        </is>
      </c>
      <c r="G65" s="4" t="inlineStr"/>
      <c r="H65" t="inlineStr">
        <is>
          <t>Liebert EXL S1 500</t>
        </is>
      </c>
    </row>
    <row r="66">
      <c r="A66" t="inlineStr">
        <is>
          <t>UPS</t>
        </is>
      </c>
      <c r="B66" t="inlineStr">
        <is>
          <t>serial</t>
        </is>
      </c>
      <c r="C66" t="inlineStr">
        <is>
          <t>Optional</t>
        </is>
      </c>
      <c r="D66" t="inlineStr">
        <is>
          <t>text</t>
        </is>
      </c>
      <c r="E66" s="4" t="inlineStr"/>
      <c r="F66" t="inlineStr">
        <is>
          <t>(reference only)</t>
        </is>
      </c>
      <c r="G66" s="4" t="inlineStr"/>
      <c r="H66" t="inlineStr">
        <is>
          <t>VTV-EXL-4101</t>
        </is>
      </c>
    </row>
    <row r="67">
      <c r="A67" t="inlineStr">
        <is>
          <t>UPS</t>
        </is>
      </c>
      <c r="B67" t="inlineStr">
        <is>
          <t>capacity_kw</t>
        </is>
      </c>
      <c r="C67" t="inlineStr">
        <is>
          <t>Required</t>
        </is>
      </c>
      <c r="D67" t="inlineStr">
        <is>
          <t>decimal</t>
        </is>
      </c>
      <c r="E67" s="4" t="inlineStr"/>
      <c r="F67" t="inlineStr">
        <is>
          <t>UpsUnit.capacityKw</t>
        </is>
      </c>
      <c r="G67" s="4" t="inlineStr"/>
      <c r="H67" t="inlineStr">
        <is>
          <t>500</t>
        </is>
      </c>
    </row>
    <row r="68">
      <c r="A68" t="inlineStr">
        <is>
          <t>UPS</t>
        </is>
      </c>
      <c r="B68" t="inlineStr">
        <is>
          <t>redundancy</t>
        </is>
      </c>
      <c r="C68" t="inlineStr">
        <is>
          <t>Required</t>
        </is>
      </c>
      <c r="D68" t="inlineStr">
        <is>
          <t>list</t>
        </is>
      </c>
      <c r="E68" s="4" t="inlineStr">
        <is>
          <t>N, N+1, 2N</t>
        </is>
      </c>
      <c r="F68" t="inlineStr">
        <is>
          <t>UpsUnit.redundancy</t>
        </is>
      </c>
      <c r="G68" s="4" t="inlineStr"/>
      <c r="H68" t="inlineStr">
        <is>
          <t>N+1</t>
        </is>
      </c>
    </row>
    <row r="69">
      <c r="A69" t="inlineStr">
        <is>
          <t>UPS</t>
        </is>
      </c>
      <c r="B69" t="inlineStr">
        <is>
          <t>battery_autonomy_min</t>
        </is>
      </c>
      <c r="C69" t="inlineStr">
        <is>
          <t>Required</t>
        </is>
      </c>
      <c r="D69" t="inlineStr">
        <is>
          <t>integer</t>
        </is>
      </c>
      <c r="E69" s="4" t="inlineStr"/>
      <c r="F69" t="inlineStr">
        <is>
          <t>UpsUnit.batteryMin</t>
        </is>
      </c>
      <c r="G69" s="4" t="inlineStr">
        <is>
          <t>Design autonomy at full load (minutes).</t>
        </is>
      </c>
      <c r="H69" t="inlineStr">
        <is>
          <t>15</t>
        </is>
      </c>
    </row>
    <row r="70">
      <c r="A70" t="inlineStr">
        <is>
          <t>Generators</t>
        </is>
      </c>
      <c r="B70" t="inlineStr">
        <is>
          <t>dg_id</t>
        </is>
      </c>
      <c r="C70" t="inlineStr">
        <is>
          <t>Required</t>
        </is>
      </c>
      <c r="D70" t="inlineStr">
        <is>
          <t>text</t>
        </is>
      </c>
      <c r="E70" s="4" t="inlineStr"/>
      <c r="F70" t="inlineStr">
        <is>
          <t>(key)</t>
        </is>
      </c>
      <c r="G70" s="4" t="inlineStr"/>
      <c r="H70" t="inlineStr">
        <is>
          <t>MP-DC-001-DG-1</t>
        </is>
      </c>
    </row>
    <row r="71">
      <c r="A71" t="inlineStr">
        <is>
          <t>Generators</t>
        </is>
      </c>
      <c r="B71" t="inlineStr">
        <is>
          <t>site_id</t>
        </is>
      </c>
      <c r="C71" t="inlineStr">
        <is>
          <t>Required</t>
        </is>
      </c>
      <c r="D71" t="inlineStr">
        <is>
          <t>ref</t>
        </is>
      </c>
      <c r="E71" s="4" t="inlineStr">
        <is>
          <t>an ID from Sites</t>
        </is>
      </c>
      <c r="F71" t="inlineStr">
        <is>
          <t>Datacenter.id</t>
        </is>
      </c>
      <c r="G71" s="4" t="inlineStr"/>
      <c r="H71" t="inlineStr">
        <is>
          <t>MP-DC-001</t>
        </is>
      </c>
    </row>
    <row r="72">
      <c r="A72" t="inlineStr">
        <is>
          <t>Generators</t>
        </is>
      </c>
      <c r="B72" t="inlineStr">
        <is>
          <t>name</t>
        </is>
      </c>
      <c r="C72" t="inlineStr">
        <is>
          <t>Required</t>
        </is>
      </c>
      <c r="D72" t="inlineStr">
        <is>
          <t>text</t>
        </is>
      </c>
      <c r="E72" s="4" t="inlineStr"/>
      <c r="F72" t="inlineStr">
        <is>
          <t>(label)</t>
        </is>
      </c>
      <c r="G72" s="4" t="inlineStr"/>
      <c r="H72" t="inlineStr">
        <is>
          <t>DG-1</t>
        </is>
      </c>
    </row>
    <row r="73">
      <c r="A73" t="inlineStr">
        <is>
          <t>Generators</t>
        </is>
      </c>
      <c r="B73" t="inlineStr">
        <is>
          <t>kva</t>
        </is>
      </c>
      <c r="C73" t="inlineStr">
        <is>
          <t>Required</t>
        </is>
      </c>
      <c r="D73" t="inlineStr">
        <is>
          <t>decimal</t>
        </is>
      </c>
      <c r="E73" s="4" t="inlineStr"/>
      <c r="F73" t="inlineStr">
        <is>
          <t>power.dg.kva</t>
        </is>
      </c>
      <c r="G73" s="4" t="inlineStr">
        <is>
          <t>Rating (kVA).</t>
        </is>
      </c>
      <c r="H73" t="inlineStr">
        <is>
          <t>1500</t>
        </is>
      </c>
    </row>
    <row r="74">
      <c r="A74" t="inlineStr">
        <is>
          <t>Generators</t>
        </is>
      </c>
      <c r="B74" t="inlineStr">
        <is>
          <t>fuel_tank_litres</t>
        </is>
      </c>
      <c r="C74" t="inlineStr">
        <is>
          <t>Optional</t>
        </is>
      </c>
      <c r="D74" t="inlineStr">
        <is>
          <t>decimal</t>
        </is>
      </c>
      <c r="E74" s="4" t="inlineStr"/>
      <c r="F74" t="inlineStr">
        <is>
          <t>(fuel hours)</t>
        </is>
      </c>
      <c r="G74" s="4" t="inlineStr"/>
      <c r="H74" t="inlineStr">
        <is>
          <t>5000</t>
        </is>
      </c>
    </row>
    <row r="75">
      <c r="A75" t="inlineStr">
        <is>
          <t>Generators</t>
        </is>
      </c>
      <c r="B75" t="inlineStr">
        <is>
          <t>runtime_h_full_load</t>
        </is>
      </c>
      <c r="C75" t="inlineStr">
        <is>
          <t>Required</t>
        </is>
      </c>
      <c r="D75" t="inlineStr">
        <is>
          <t>decimal</t>
        </is>
      </c>
      <c r="E75" s="4" t="inlineStr"/>
      <c r="F75" t="inlineStr">
        <is>
          <t>power.dg.runtimeH</t>
        </is>
      </c>
      <c r="G75" s="4" t="inlineStr">
        <is>
          <t>Hours on a full tank at full load.</t>
        </is>
      </c>
      <c r="H75" t="inlineStr">
        <is>
          <t>12</t>
        </is>
      </c>
    </row>
    <row r="76">
      <c r="A76" t="inlineStr">
        <is>
          <t>Generators</t>
        </is>
      </c>
      <c r="B76" t="inlineStr">
        <is>
          <t>last_test_date</t>
        </is>
      </c>
      <c r="C76" t="inlineStr">
        <is>
          <t>Optional</t>
        </is>
      </c>
      <c r="D76" t="inlineStr">
        <is>
          <t>date</t>
        </is>
      </c>
      <c r="E76" s="4" t="inlineStr"/>
      <c r="F76" t="inlineStr">
        <is>
          <t>power.dg.lastTest</t>
        </is>
      </c>
      <c r="G76" s="4" t="inlineStr"/>
      <c r="H76" t="inlineStr">
        <is>
          <t>2026-09-28</t>
        </is>
      </c>
    </row>
    <row r="77">
      <c r="A77" t="inlineStr">
        <is>
          <t>Generators</t>
        </is>
      </c>
      <c r="B77" t="inlineStr">
        <is>
          <t>last_test_result</t>
        </is>
      </c>
      <c r="C77" t="inlineStr">
        <is>
          <t>Optional</t>
        </is>
      </c>
      <c r="D77" t="inlineStr">
        <is>
          <t>list</t>
        </is>
      </c>
      <c r="E77" s="4" t="inlineStr">
        <is>
          <t>Pass, Fail</t>
        </is>
      </c>
      <c r="F77" t="inlineStr">
        <is>
          <t>power.dg.result</t>
        </is>
      </c>
      <c r="G77" s="4" t="inlineStr"/>
      <c r="H77" t="inlineStr">
        <is>
          <t>Pass</t>
        </is>
      </c>
    </row>
    <row r="78">
      <c r="A78" t="inlineStr">
        <is>
          <t>DC_Plant</t>
        </is>
      </c>
      <c r="B78" t="inlineStr">
        <is>
          <t>plant_id</t>
        </is>
      </c>
      <c r="C78" t="inlineStr">
        <is>
          <t>Required</t>
        </is>
      </c>
      <c r="D78" t="inlineStr">
        <is>
          <t>text</t>
        </is>
      </c>
      <c r="E78" s="4" t="inlineStr"/>
      <c r="F78" t="inlineStr">
        <is>
          <t>(key)</t>
        </is>
      </c>
      <c r="G78" s="4" t="inlineStr"/>
      <c r="H78" t="inlineStr">
        <is>
          <t>MP-DC-001-RECT-01</t>
        </is>
      </c>
    </row>
    <row r="79">
      <c r="A79" t="inlineStr">
        <is>
          <t>DC_Plant</t>
        </is>
      </c>
      <c r="B79" t="inlineStr">
        <is>
          <t>site_id</t>
        </is>
      </c>
      <c r="C79" t="inlineStr">
        <is>
          <t>Required</t>
        </is>
      </c>
      <c r="D79" t="inlineStr">
        <is>
          <t>ref</t>
        </is>
      </c>
      <c r="E79" s="4" t="inlineStr">
        <is>
          <t>an ID from Sites</t>
        </is>
      </c>
      <c r="F79" t="inlineStr">
        <is>
          <t>Datacenter.id</t>
        </is>
      </c>
      <c r="G79" s="4" t="inlineStr"/>
      <c r="H79" t="inlineStr">
        <is>
          <t>MP-DC-001</t>
        </is>
      </c>
    </row>
    <row r="80">
      <c r="A80" t="inlineStr">
        <is>
          <t>DC_Plant</t>
        </is>
      </c>
      <c r="B80" t="inlineStr">
        <is>
          <t>room_id</t>
        </is>
      </c>
      <c r="C80" t="inlineStr">
        <is>
          <t>Optional</t>
        </is>
      </c>
      <c r="D80" t="inlineStr">
        <is>
          <t>ref</t>
        </is>
      </c>
      <c r="E80" s="4" t="inlineStr">
        <is>
          <t>an ID from Rooms</t>
        </is>
      </c>
      <c r="F80" t="inlineStr">
        <is>
          <t>(twin placement)</t>
        </is>
      </c>
      <c r="G80" s="4" t="inlineStr"/>
      <c r="H80" t="inlineStr">
        <is>
          <t>MP-DC-001-PLANT</t>
        </is>
      </c>
    </row>
    <row r="81">
      <c r="A81" t="inlineStr">
        <is>
          <t>DC_Plant</t>
        </is>
      </c>
      <c r="B81" t="inlineStr">
        <is>
          <t>kind</t>
        </is>
      </c>
      <c r="C81" t="inlineStr">
        <is>
          <t>Required</t>
        </is>
      </c>
      <c r="D81" t="inlineStr">
        <is>
          <t>list</t>
        </is>
      </c>
      <c r="E81" s="4" t="inlineStr">
        <is>
          <t>Rectifier, Battery bank</t>
        </is>
      </c>
      <c r="F81" t="inlineStr">
        <is>
          <t>(rectifier / battery)</t>
        </is>
      </c>
      <c r="G81" s="4" t="inlineStr"/>
      <c r="H81" t="inlineStr">
        <is>
          <t>Rectifier</t>
        </is>
      </c>
    </row>
    <row r="82">
      <c r="A82" t="inlineStr">
        <is>
          <t>DC_Plant</t>
        </is>
      </c>
      <c r="B82" t="inlineStr">
        <is>
          <t>name</t>
        </is>
      </c>
      <c r="C82" t="inlineStr">
        <is>
          <t>Required</t>
        </is>
      </c>
      <c r="D82" t="inlineStr">
        <is>
          <t>text</t>
        </is>
      </c>
      <c r="E82" s="4" t="inlineStr"/>
      <c r="F82" t="inlineStr">
        <is>
          <t>(label)</t>
        </is>
      </c>
      <c r="G82" s="4" t="inlineStr">
        <is>
          <t>For example RECT-01, BATT-01.</t>
        </is>
      </c>
      <c r="H82" t="inlineStr">
        <is>
          <t>RECT-01</t>
        </is>
      </c>
    </row>
    <row r="83">
      <c r="A83" t="inlineStr">
        <is>
          <t>DC_Plant</t>
        </is>
      </c>
      <c r="B83" t="inlineStr">
        <is>
          <t>volts</t>
        </is>
      </c>
      <c r="C83" t="inlineStr">
        <is>
          <t>Conditional</t>
        </is>
      </c>
      <c r="D83" t="inlineStr">
        <is>
          <t>decimal</t>
        </is>
      </c>
      <c r="E83" s="4" t="inlineStr"/>
      <c r="F83" t="inlineStr">
        <is>
          <t>power.battery.volts</t>
        </is>
      </c>
      <c r="G83" s="4" t="inlineStr">
        <is>
          <t>Battery banks: nominal voltage.</t>
        </is>
      </c>
      <c r="H83" t="inlineStr">
        <is>
          <t>48</t>
        </is>
      </c>
    </row>
    <row r="84">
      <c r="A84" t="inlineStr">
        <is>
          <t>DC_Plant</t>
        </is>
      </c>
      <c r="B84" t="inlineStr">
        <is>
          <t>ah</t>
        </is>
      </c>
      <c r="C84" t="inlineStr">
        <is>
          <t>Conditional</t>
        </is>
      </c>
      <c r="D84" t="inlineStr">
        <is>
          <t>decimal</t>
        </is>
      </c>
      <c r="E84" s="4" t="inlineStr"/>
      <c r="F84" t="inlineStr">
        <is>
          <t>power.battery.ah</t>
        </is>
      </c>
      <c r="G84" s="4" t="inlineStr">
        <is>
          <t>Battery banks: capacity (Ah).</t>
        </is>
      </c>
      <c r="H84" t="inlineStr">
        <is>
          <t>2000</t>
        </is>
      </c>
    </row>
    <row r="85">
      <c r="A85" t="inlineStr">
        <is>
          <t>DC_Plant</t>
        </is>
      </c>
      <c r="B85" t="inlineStr">
        <is>
          <t>rated_output</t>
        </is>
      </c>
      <c r="C85" t="inlineStr">
        <is>
          <t>Conditional</t>
        </is>
      </c>
      <c r="D85" t="inlineStr">
        <is>
          <t>text</t>
        </is>
      </c>
      <c r="E85" s="4" t="inlineStr"/>
      <c r="F85" t="inlineStr">
        <is>
          <t>PowerFeed.rating (DC)</t>
        </is>
      </c>
      <c r="G85" s="4" t="inlineStr">
        <is>
          <t>Rectifiers: for example "48 V · 2400 A".</t>
        </is>
      </c>
      <c r="H85" t="inlineStr">
        <is>
          <t>48 V · 2400 A</t>
        </is>
      </c>
    </row>
    <row r="86">
      <c r="A86" t="inlineStr">
        <is>
          <t>DC_Plant</t>
        </is>
      </c>
      <c r="B86" t="inlineStr">
        <is>
          <t>capacity_kw</t>
        </is>
      </c>
      <c r="C86" t="inlineStr">
        <is>
          <t>Conditional</t>
        </is>
      </c>
      <c r="D86" t="inlineStr">
        <is>
          <t>decimal</t>
        </is>
      </c>
      <c r="E86" s="4" t="inlineStr"/>
      <c r="F86" t="inlineStr">
        <is>
          <t>PowerFeed.capacityKw (DC)</t>
        </is>
      </c>
      <c r="G86" s="4" t="inlineStr">
        <is>
          <t>Rectifiers: DC output (kW).</t>
        </is>
      </c>
      <c r="H86" t="inlineStr">
        <is>
          <t>115</t>
        </is>
      </c>
    </row>
    <row r="87">
      <c r="A87" t="inlineStr">
        <is>
          <t>DC_Plant</t>
        </is>
      </c>
      <c r="B87" t="inlineStr">
        <is>
          <t>autonomy_h</t>
        </is>
      </c>
      <c r="C87" t="inlineStr">
        <is>
          <t>Conditional</t>
        </is>
      </c>
      <c r="D87" t="inlineStr">
        <is>
          <t>decimal</t>
        </is>
      </c>
      <c r="E87" s="4" t="inlineStr"/>
      <c r="F87" t="inlineStr">
        <is>
          <t>power.battery.runtimeH</t>
        </is>
      </c>
      <c r="G87" s="4" t="inlineStr">
        <is>
          <t>Battery banks: design autonomy (hours).</t>
        </is>
      </c>
      <c r="H87" t="inlineStr">
        <is>
          <t>4</t>
        </is>
      </c>
    </row>
    <row r="88">
      <c r="A88" t="inlineStr">
        <is>
          <t>DC_Plant</t>
        </is>
      </c>
      <c r="B88" t="inlineStr">
        <is>
          <t>last_test_date</t>
        </is>
      </c>
      <c r="C88" t="inlineStr">
        <is>
          <t>Optional</t>
        </is>
      </c>
      <c r="D88" t="inlineStr">
        <is>
          <t>date</t>
        </is>
      </c>
      <c r="E88" s="4" t="inlineStr"/>
      <c r="F88" t="inlineStr">
        <is>
          <t>power.battery.lastTest</t>
        </is>
      </c>
      <c r="G88" s="4" t="inlineStr"/>
      <c r="H88" t="inlineStr">
        <is>
          <t>2026-08-14</t>
        </is>
      </c>
    </row>
    <row r="89">
      <c r="A89" t="inlineStr">
        <is>
          <t>Cooling_Units</t>
        </is>
      </c>
      <c r="B89" t="inlineStr">
        <is>
          <t>unit_id</t>
        </is>
      </c>
      <c r="C89" t="inlineStr">
        <is>
          <t>Required</t>
        </is>
      </c>
      <c r="D89" t="inlineStr">
        <is>
          <t>text</t>
        </is>
      </c>
      <c r="E89" s="4" t="inlineStr"/>
      <c r="F89" t="inlineStr">
        <is>
          <t>CoolingUnit.id</t>
        </is>
      </c>
      <c r="G89" s="4" t="inlineStr"/>
      <c r="H89" t="inlineStr">
        <is>
          <t>MP-DC-001-CRAH-01</t>
        </is>
      </c>
    </row>
    <row r="90">
      <c r="A90" t="inlineStr">
        <is>
          <t>Cooling_Units</t>
        </is>
      </c>
      <c r="B90" t="inlineStr">
        <is>
          <t>site_id</t>
        </is>
      </c>
      <c r="C90" t="inlineStr">
        <is>
          <t>Required</t>
        </is>
      </c>
      <c r="D90" t="inlineStr">
        <is>
          <t>ref</t>
        </is>
      </c>
      <c r="E90" s="4" t="inlineStr">
        <is>
          <t>an ID from Sites</t>
        </is>
      </c>
      <c r="F90" t="inlineStr">
        <is>
          <t>Datacenter.id</t>
        </is>
      </c>
      <c r="G90" s="4" t="inlineStr"/>
      <c r="H90" t="inlineStr">
        <is>
          <t>MP-DC-001</t>
        </is>
      </c>
    </row>
    <row r="91">
      <c r="A91" t="inlineStr">
        <is>
          <t>Cooling_Units</t>
        </is>
      </c>
      <c r="B91" t="inlineStr">
        <is>
          <t>room_id</t>
        </is>
      </c>
      <c r="C91" t="inlineStr">
        <is>
          <t>Required</t>
        </is>
      </c>
      <c r="D91" t="inlineStr">
        <is>
          <t>ref</t>
        </is>
      </c>
      <c r="E91" s="4" t="inlineStr">
        <is>
          <t>an ID from Rooms</t>
        </is>
      </c>
      <c r="F91" t="inlineStr">
        <is>
          <t>CoolingUnit.zone</t>
        </is>
      </c>
      <c r="G91" s="4" t="inlineStr">
        <is>
          <t>The zone is "&lt;floor&gt; · &lt;room&gt;".</t>
        </is>
      </c>
      <c r="H91" t="inlineStr">
        <is>
          <t>MP-DC-001-MMR</t>
        </is>
      </c>
    </row>
    <row r="92">
      <c r="A92" t="inlineStr">
        <is>
          <t>Cooling_Units</t>
        </is>
      </c>
      <c r="B92" t="inlineStr">
        <is>
          <t>name</t>
        </is>
      </c>
      <c r="C92" t="inlineStr">
        <is>
          <t>Required</t>
        </is>
      </c>
      <c r="D92" t="inlineStr">
        <is>
          <t>text</t>
        </is>
      </c>
      <c r="E92" s="4" t="inlineStr"/>
      <c r="F92" t="inlineStr">
        <is>
          <t>CoolingUnit.name</t>
        </is>
      </c>
      <c r="G92" s="4" t="inlineStr">
        <is>
          <t>For example CRAH-11.</t>
        </is>
      </c>
      <c r="H92" t="inlineStr">
        <is>
          <t>CRAH-01</t>
        </is>
      </c>
    </row>
    <row r="93">
      <c r="A93" t="inlineStr">
        <is>
          <t>Cooling_Units</t>
        </is>
      </c>
      <c r="B93" t="inlineStr">
        <is>
          <t>type</t>
        </is>
      </c>
      <c r="C93" t="inlineStr">
        <is>
          <t>Required</t>
        </is>
      </c>
      <c r="D93" t="inlineStr">
        <is>
          <t>list</t>
        </is>
      </c>
      <c r="E93" s="4" t="inlineStr">
        <is>
          <t>CRAH, CRAC, CDU</t>
        </is>
      </c>
      <c r="F93" t="inlineStr">
        <is>
          <t>CoolingUnit.type</t>
        </is>
      </c>
      <c r="G93" s="4" t="inlineStr"/>
      <c r="H93" t="inlineStr">
        <is>
          <t>CRAH</t>
        </is>
      </c>
    </row>
    <row r="94">
      <c r="A94" t="inlineStr">
        <is>
          <t>Cooling_Units</t>
        </is>
      </c>
      <c r="B94" t="inlineStr">
        <is>
          <t>vendor</t>
        </is>
      </c>
      <c r="C94" t="inlineStr">
        <is>
          <t>Optional</t>
        </is>
      </c>
      <c r="D94" t="inlineStr">
        <is>
          <t>text</t>
        </is>
      </c>
      <c r="E94" s="4" t="inlineStr"/>
      <c r="F94" t="inlineStr">
        <is>
          <t>(reference only)</t>
        </is>
      </c>
      <c r="G94" s="4" t="inlineStr"/>
      <c r="H94" t="inlineStr">
        <is>
          <t>Stulz</t>
        </is>
      </c>
    </row>
    <row r="95">
      <c r="A95" t="inlineStr">
        <is>
          <t>Cooling_Units</t>
        </is>
      </c>
      <c r="B95" t="inlineStr">
        <is>
          <t>model</t>
        </is>
      </c>
      <c r="C95" t="inlineStr">
        <is>
          <t>Optional</t>
        </is>
      </c>
      <c r="D95" t="inlineStr">
        <is>
          <t>text</t>
        </is>
      </c>
      <c r="E95" s="4" t="inlineStr"/>
      <c r="F95" t="inlineStr">
        <is>
          <t>(reference only)</t>
        </is>
      </c>
      <c r="G95" s="4" t="inlineStr"/>
      <c r="H95" t="inlineStr">
        <is>
          <t>CyberAir 3PRO</t>
        </is>
      </c>
    </row>
    <row r="96">
      <c r="A96" t="inlineStr">
        <is>
          <t>Cooling_Units</t>
        </is>
      </c>
      <c r="B96" t="inlineStr">
        <is>
          <t>capacity_kw</t>
        </is>
      </c>
      <c r="C96" t="inlineStr">
        <is>
          <t>Required</t>
        </is>
      </c>
      <c r="D96" t="inlineStr">
        <is>
          <t>decimal</t>
        </is>
      </c>
      <c r="E96" s="4" t="inlineStr"/>
      <c r="F96" t="inlineStr">
        <is>
          <t>CoolingUnit.capacityKw</t>
        </is>
      </c>
      <c r="G96" s="4" t="inlineStr">
        <is>
          <t>Rated cooling capacity.</t>
        </is>
      </c>
      <c r="H96" t="inlineStr">
        <is>
          <t>60</t>
        </is>
      </c>
    </row>
    <row r="97">
      <c r="A97" t="inlineStr">
        <is>
          <t>Cooling_Units</t>
        </is>
      </c>
      <c r="B97" t="inlineStr">
        <is>
          <t>design_supply_c</t>
        </is>
      </c>
      <c r="C97" t="inlineStr">
        <is>
          <t>Optional</t>
        </is>
      </c>
      <c r="D97" t="inlineStr">
        <is>
          <t>decimal</t>
        </is>
      </c>
      <c r="E97" s="4" t="inlineStr"/>
      <c r="F97" t="inlineStr">
        <is>
          <t>CoolingUnit.supplyC (setpoint)</t>
        </is>
      </c>
      <c r="G97" s="4" t="inlineStr">
        <is>
          <t>Supply air / coolant setpoint.</t>
        </is>
      </c>
      <c r="H97" t="inlineStr">
        <is>
          <t>18</t>
        </is>
      </c>
    </row>
    <row r="98">
      <c r="A98" t="inlineStr">
        <is>
          <t>CDUs</t>
        </is>
      </c>
      <c r="B98" t="inlineStr">
        <is>
          <t>cdu_id</t>
        </is>
      </c>
      <c r="C98" t="inlineStr">
        <is>
          <t>Required</t>
        </is>
      </c>
      <c r="D98" t="inlineStr">
        <is>
          <t>text</t>
        </is>
      </c>
      <c r="E98" s="4" t="inlineStr"/>
      <c r="F98" t="inlineStr">
        <is>
          <t>Cdu.id</t>
        </is>
      </c>
      <c r="G98" s="4" t="inlineStr"/>
      <c r="H98" t="inlineStr">
        <is>
          <t>MP-DC-001-CDU-01</t>
        </is>
      </c>
    </row>
    <row r="99">
      <c r="A99" t="inlineStr">
        <is>
          <t>CDUs</t>
        </is>
      </c>
      <c r="B99" t="inlineStr">
        <is>
          <t>site_id</t>
        </is>
      </c>
      <c r="C99" t="inlineStr">
        <is>
          <t>Required</t>
        </is>
      </c>
      <c r="D99" t="inlineStr">
        <is>
          <t>ref</t>
        </is>
      </c>
      <c r="E99" s="4" t="inlineStr">
        <is>
          <t>an ID from Sites</t>
        </is>
      </c>
      <c r="F99" t="inlineStr">
        <is>
          <t>Cdu.dcId</t>
        </is>
      </c>
      <c r="G99" s="4" t="inlineStr"/>
      <c r="H99" t="inlineStr">
        <is>
          <t>MP-DC-001</t>
        </is>
      </c>
    </row>
    <row r="100">
      <c r="A100" t="inlineStr">
        <is>
          <t>CDUs</t>
        </is>
      </c>
      <c r="B100" t="inlineStr">
        <is>
          <t>room_id</t>
        </is>
      </c>
      <c r="C100" t="inlineStr">
        <is>
          <t>Required</t>
        </is>
      </c>
      <c r="D100" t="inlineStr">
        <is>
          <t>ref</t>
        </is>
      </c>
      <c r="E100" s="4" t="inlineStr">
        <is>
          <t>an ID from Rooms</t>
        </is>
      </c>
      <c r="F100" t="inlineStr">
        <is>
          <t>Cdu.room</t>
        </is>
      </c>
      <c r="G100" s="4" t="inlineStr"/>
      <c r="H100" t="inlineStr">
        <is>
          <t>MP-DC-001-HALLB</t>
        </is>
      </c>
    </row>
    <row r="101">
      <c r="A101" t="inlineStr">
        <is>
          <t>CDUs</t>
        </is>
      </c>
      <c r="B101" t="inlineStr">
        <is>
          <t>name</t>
        </is>
      </c>
      <c r="C101" t="inlineStr">
        <is>
          <t>Required</t>
        </is>
      </c>
      <c r="D101" t="inlineStr">
        <is>
          <t>text</t>
        </is>
      </c>
      <c r="E101" s="4" t="inlineStr"/>
      <c r="F101" t="inlineStr">
        <is>
          <t>Cdu.name</t>
        </is>
      </c>
      <c r="G101" s="4" t="inlineStr"/>
      <c r="H101" t="inlineStr">
        <is>
          <t>CDU-01</t>
        </is>
      </c>
    </row>
    <row r="102">
      <c r="A102" t="inlineStr">
        <is>
          <t>CDUs</t>
        </is>
      </c>
      <c r="B102" t="inlineStr">
        <is>
          <t>capacity_kw</t>
        </is>
      </c>
      <c r="C102" t="inlineStr">
        <is>
          <t>Required</t>
        </is>
      </c>
      <c r="D102" t="inlineStr">
        <is>
          <t>decimal</t>
        </is>
      </c>
      <c r="E102" s="4" t="inlineStr"/>
      <c r="F102" t="inlineStr">
        <is>
          <t>Cdu.capacityKw</t>
        </is>
      </c>
      <c r="G102" s="4" t="inlineStr"/>
      <c r="H102" t="inlineStr">
        <is>
          <t>750</t>
        </is>
      </c>
    </row>
    <row r="103">
      <c r="A103" t="inlineStr">
        <is>
          <t>CDUs</t>
        </is>
      </c>
      <c r="B103" t="inlineStr">
        <is>
          <t>nominal_flow_lpm</t>
        </is>
      </c>
      <c r="C103" t="inlineStr">
        <is>
          <t>Required</t>
        </is>
      </c>
      <c r="D103" t="inlineStr">
        <is>
          <t>decimal</t>
        </is>
      </c>
      <c r="E103" s="4" t="inlineStr"/>
      <c r="F103" t="inlineStr">
        <is>
          <t>Cdu.flowNominal</t>
        </is>
      </c>
      <c r="G103" s="4" t="inlineStr">
        <is>
          <t>Design coolant flow (litres per minute).</t>
        </is>
      </c>
      <c r="H103" t="inlineStr">
        <is>
          <t>1100</t>
        </is>
      </c>
    </row>
    <row r="104">
      <c r="A104" t="inlineStr">
        <is>
          <t>CDUs</t>
        </is>
      </c>
      <c r="B104" t="inlineStr">
        <is>
          <t>design_supply_c</t>
        </is>
      </c>
      <c r="C104" t="inlineStr">
        <is>
          <t>Optional</t>
        </is>
      </c>
      <c r="D104" t="inlineStr">
        <is>
          <t>decimal</t>
        </is>
      </c>
      <c r="E104" s="4" t="inlineStr"/>
      <c r="F104" t="inlineStr">
        <is>
          <t>Cdu.supplyC (setpoint)</t>
        </is>
      </c>
      <c r="G104" s="4" t="inlineStr"/>
      <c r="H104" t="inlineStr">
        <is>
          <t>32</t>
        </is>
      </c>
    </row>
    <row r="105">
      <c r="A105" t="inlineStr">
        <is>
          <t>CDUs</t>
        </is>
      </c>
      <c r="B105" t="inlineStr">
        <is>
          <t>racks_served (calc)</t>
        </is>
      </c>
      <c r="C105" t="inlineStr">
        <is>
          <t>Calculated</t>
        </is>
      </c>
      <c r="D105" t="inlineStr">
        <is>
          <t>formula</t>
        </is>
      </c>
      <c r="E105" s="4" t="inlineStr"/>
      <c r="F105" t="inlineStr">
        <is>
          <t>Cdu.racks</t>
        </is>
      </c>
      <c r="G105" s="4" t="inlineStr">
        <is>
          <t>Calculated from Racks.cdu_id.</t>
        </is>
      </c>
      <c r="H105" t="inlineStr"/>
    </row>
    <row r="106">
      <c r="A106" t="inlineStr">
        <is>
          <t>Sensors</t>
        </is>
      </c>
      <c r="B106" t="inlineStr">
        <is>
          <t>sensor_id</t>
        </is>
      </c>
      <c r="C106" t="inlineStr">
        <is>
          <t>Required</t>
        </is>
      </c>
      <c r="D106" t="inlineStr">
        <is>
          <t>text</t>
        </is>
      </c>
      <c r="E106" s="4" t="inlineStr"/>
      <c r="F106" t="inlineStr">
        <is>
          <t>EnvSensor.id</t>
        </is>
      </c>
      <c r="G106" s="4" t="inlineStr"/>
      <c r="H106" t="inlineStr">
        <is>
          <t>MP-DC-001-ENV-01</t>
        </is>
      </c>
    </row>
    <row r="107">
      <c r="A107" t="inlineStr">
        <is>
          <t>Sensors</t>
        </is>
      </c>
      <c r="B107" t="inlineStr">
        <is>
          <t>site_id</t>
        </is>
      </c>
      <c r="C107" t="inlineStr">
        <is>
          <t>Required</t>
        </is>
      </c>
      <c r="D107" t="inlineStr">
        <is>
          <t>ref</t>
        </is>
      </c>
      <c r="E107" s="4" t="inlineStr">
        <is>
          <t>an ID from Sites</t>
        </is>
      </c>
      <c r="F107" t="inlineStr">
        <is>
          <t>Datacenter.id</t>
        </is>
      </c>
      <c r="G107" s="4" t="inlineStr"/>
      <c r="H107" t="inlineStr">
        <is>
          <t>MP-DC-001</t>
        </is>
      </c>
    </row>
    <row r="108">
      <c r="A108" t="inlineStr">
        <is>
          <t>Sensors</t>
        </is>
      </c>
      <c r="B108" t="inlineStr">
        <is>
          <t>room_id</t>
        </is>
      </c>
      <c r="C108" t="inlineStr">
        <is>
          <t>Required</t>
        </is>
      </c>
      <c r="D108" t="inlineStr">
        <is>
          <t>ref</t>
        </is>
      </c>
      <c r="E108" s="4" t="inlineStr">
        <is>
          <t>an ID from Rooms</t>
        </is>
      </c>
      <c r="F108" t="inlineStr">
        <is>
          <t>EnvSensor.zone</t>
        </is>
      </c>
      <c r="G108" s="4" t="inlineStr"/>
      <c r="H108" t="inlineStr">
        <is>
          <t>MP-DC-001-MMR</t>
        </is>
      </c>
    </row>
    <row r="109">
      <c r="A109" t="inlineStr">
        <is>
          <t>Sensors</t>
        </is>
      </c>
      <c r="B109" t="inlineStr">
        <is>
          <t>kind</t>
        </is>
      </c>
      <c r="C109" t="inlineStr">
        <is>
          <t>Required</t>
        </is>
      </c>
      <c r="D109" t="inlineStr">
        <is>
          <t>list</t>
        </is>
      </c>
      <c r="E109" s="4" t="inlineStr">
        <is>
          <t>Temperature + humidity, Leak, Smoke</t>
        </is>
      </c>
      <c r="F109" t="inlineStr">
        <is>
          <t>EnvSensor (temp / humidity / smoke / leak)</t>
        </is>
      </c>
      <c r="G109" s="4" t="inlineStr"/>
      <c r="H109" t="inlineStr">
        <is>
          <t>Temperature + humidity</t>
        </is>
      </c>
    </row>
    <row r="110">
      <c r="A110" t="inlineStr">
        <is>
          <t>Sensors</t>
        </is>
      </c>
      <c r="B110" t="inlineStr">
        <is>
          <t>position</t>
        </is>
      </c>
      <c r="C110" t="inlineStr">
        <is>
          <t>Optional</t>
        </is>
      </c>
      <c r="D110" t="inlineStr">
        <is>
          <t>text</t>
        </is>
      </c>
      <c r="E110" s="4" t="inlineStr"/>
      <c r="F110" t="inlineStr">
        <is>
          <t>(reference only)</t>
        </is>
      </c>
      <c r="G110" s="4" t="inlineStr">
        <is>
          <t>For example "Cold aisle 1, rack A03".</t>
        </is>
      </c>
      <c r="H110" t="inlineStr">
        <is>
          <t>MMR centre</t>
        </is>
      </c>
    </row>
    <row r="111">
      <c r="A111" t="inlineStr">
        <is>
          <t>Sensors</t>
        </is>
      </c>
      <c r="B111" t="inlineStr">
        <is>
          <t>bms_point</t>
        </is>
      </c>
      <c r="C111" t="inlineStr">
        <is>
          <t>Optional</t>
        </is>
      </c>
      <c r="D111" t="inlineStr">
        <is>
          <t>text</t>
        </is>
      </c>
      <c r="E111" s="4" t="inlineStr"/>
      <c r="F111" t="inlineStr">
        <is>
          <t>(collector mapping)</t>
        </is>
      </c>
      <c r="G111" s="4" t="inlineStr">
        <is>
          <t>BMS / Modbus / BACnet point name, so live readings can be matched.</t>
        </is>
      </c>
      <c r="H111" t="inlineStr">
        <is>
          <t>BMS.MMR.TH01</t>
        </is>
      </c>
    </row>
    <row r="112">
      <c r="A112" t="inlineStr">
        <is>
          <t>Devices</t>
        </is>
      </c>
      <c r="B112" t="inlineStr">
        <is>
          <t>device_id</t>
        </is>
      </c>
      <c r="C112" t="inlineStr">
        <is>
          <t>Required</t>
        </is>
      </c>
      <c r="D112" t="inlineStr">
        <is>
          <t>text</t>
        </is>
      </c>
      <c r="E112" s="4" t="inlineStr"/>
      <c r="F112" t="inlineStr">
        <is>
          <t>NetworkElement.id</t>
        </is>
      </c>
      <c r="G112" s="4" t="inlineStr">
        <is>
          <t>Unique, for example MP-DC-001-BDR-01.</t>
        </is>
      </c>
      <c r="H112" t="inlineStr">
        <is>
          <t>MP-DC-001-BDR-01</t>
        </is>
      </c>
    </row>
    <row r="113">
      <c r="A113" t="inlineStr">
        <is>
          <t>Devices</t>
        </is>
      </c>
      <c r="B113" t="inlineStr">
        <is>
          <t>site_id</t>
        </is>
      </c>
      <c r="C113" t="inlineStr">
        <is>
          <t>Required</t>
        </is>
      </c>
      <c r="D113" t="inlineStr">
        <is>
          <t>ref</t>
        </is>
      </c>
      <c r="E113" s="4" t="inlineStr">
        <is>
          <t>an ID from Sites</t>
        </is>
      </c>
      <c r="F113" t="inlineStr">
        <is>
          <t>NetworkElement.dcId</t>
        </is>
      </c>
      <c r="G113" s="4" t="inlineStr"/>
      <c r="H113" t="inlineStr">
        <is>
          <t>MP-DC-001</t>
        </is>
      </c>
    </row>
    <row r="114">
      <c r="A114" t="inlineStr">
        <is>
          <t>Devices</t>
        </is>
      </c>
      <c r="B114" t="inlineStr">
        <is>
          <t>hostname</t>
        </is>
      </c>
      <c r="C114" t="inlineStr">
        <is>
          <t>Required</t>
        </is>
      </c>
      <c r="D114" t="inlineStr">
        <is>
          <t>text</t>
        </is>
      </c>
      <c r="E114" s="4" t="inlineStr"/>
      <c r="F114" t="inlineStr">
        <is>
          <t>NetworkElement.name</t>
        </is>
      </c>
      <c r="G114" s="4" t="inlineStr">
        <is>
          <t>As configured on the device (used to match SNMP / LLDP).</t>
        </is>
      </c>
      <c r="H114" t="inlineStr">
        <is>
          <t>BDR-01</t>
        </is>
      </c>
    </row>
    <row r="115">
      <c r="A115" t="inlineStr">
        <is>
          <t>Devices</t>
        </is>
      </c>
      <c r="B115" t="inlineStr">
        <is>
          <t>role</t>
        </is>
      </c>
      <c r="C115" t="inlineStr">
        <is>
          <t>Required</t>
        </is>
      </c>
      <c r="D115" t="inlineStr">
        <is>
          <t>list</t>
        </is>
      </c>
      <c r="E115" s="4" t="inlineStr">
        <is>
          <t>Router, Switch, DWDM, Firewall, Access, Server, Storage, GPU, Tenant gear</t>
        </is>
      </c>
      <c r="F115" t="inlineStr">
        <is>
          <t>NetworkElement.role</t>
        </is>
      </c>
      <c r="G115" s="4" t="inlineStr">
        <is>
          <t>Tenant gear = an opaque block of customer equipment (never polled).</t>
        </is>
      </c>
      <c r="H115" t="inlineStr">
        <is>
          <t>Router</t>
        </is>
      </c>
    </row>
    <row r="116">
      <c r="A116" t="inlineStr">
        <is>
          <t>Devices</t>
        </is>
      </c>
      <c r="B116" t="inlineStr">
        <is>
          <t>layer</t>
        </is>
      </c>
      <c r="C116" t="inlineStr">
        <is>
          <t>Required</t>
        </is>
      </c>
      <c r="D116" t="inlineStr">
        <is>
          <t>list</t>
        </is>
      </c>
      <c r="E116" s="4" t="inlineStr">
        <is>
          <t>core, spine, leaf, access</t>
        </is>
      </c>
      <c r="F116" t="inlineStr">
        <is>
          <t>NetworkElement.layer</t>
        </is>
      </c>
      <c r="G116" s="4" t="inlineStr">
        <is>
          <t>core / spine / leaf / access. For hosts use access.</t>
        </is>
      </c>
      <c r="H116" t="inlineStr">
        <is>
          <t>core</t>
        </is>
      </c>
    </row>
    <row r="117">
      <c r="A117" t="inlineStr">
        <is>
          <t>Devices</t>
        </is>
      </c>
      <c r="B117" t="inlineStr">
        <is>
          <t>vendor</t>
        </is>
      </c>
      <c r="C117" t="inlineStr">
        <is>
          <t>Required</t>
        </is>
      </c>
      <c r="D117" t="inlineStr">
        <is>
          <t>text</t>
        </is>
      </c>
      <c r="E117" s="4" t="inlineStr"/>
      <c r="F117" t="inlineStr">
        <is>
          <t>NetworkElement.vendor</t>
        </is>
      </c>
      <c r="G117" s="4" t="inlineStr">
        <is>
          <t>Tenant gear: "Tenant".</t>
        </is>
      </c>
      <c r="H117" t="inlineStr">
        <is>
          <t>Juniper</t>
        </is>
      </c>
    </row>
    <row r="118">
      <c r="A118" t="inlineStr">
        <is>
          <t>Devices</t>
        </is>
      </c>
      <c r="B118" t="inlineStr">
        <is>
          <t>model</t>
        </is>
      </c>
      <c r="C118" t="inlineStr">
        <is>
          <t>Required</t>
        </is>
      </c>
      <c r="D118" t="inlineStr">
        <is>
          <t>text</t>
        </is>
      </c>
      <c r="E118" s="4" t="inlineStr"/>
      <c r="F118" t="inlineStr">
        <is>
          <t>NetworkElement.model</t>
        </is>
      </c>
      <c r="G118" s="4" t="inlineStr"/>
      <c r="H118" t="inlineStr">
        <is>
          <t>MX304</t>
        </is>
      </c>
    </row>
    <row r="119">
      <c r="A119" t="inlineStr">
        <is>
          <t>Devices</t>
        </is>
      </c>
      <c r="B119" t="inlineStr">
        <is>
          <t>os_version</t>
        </is>
      </c>
      <c r="C119" t="inlineStr">
        <is>
          <t>Optional</t>
        </is>
      </c>
      <c r="D119" t="inlineStr">
        <is>
          <t>text</t>
        </is>
      </c>
      <c r="E119" s="4" t="inlineStr"/>
      <c r="F119" t="inlineStr">
        <is>
          <t>NetworkElement.os</t>
        </is>
      </c>
      <c r="G119" s="4" t="inlineStr"/>
      <c r="H119" t="inlineStr">
        <is>
          <t>Junos 23.2R2</t>
        </is>
      </c>
    </row>
    <row r="120">
      <c r="A120" t="inlineStr">
        <is>
          <t>Devices</t>
        </is>
      </c>
      <c r="B120" t="inlineStr">
        <is>
          <t>serial</t>
        </is>
      </c>
      <c r="C120" t="inlineStr">
        <is>
          <t>Conditional</t>
        </is>
      </c>
      <c r="D120" t="inlineStr">
        <is>
          <t>text</t>
        </is>
      </c>
      <c r="E120" s="4" t="inlineStr"/>
      <c r="F120" t="inlineStr">
        <is>
          <t>NetworkElement.serial</t>
        </is>
      </c>
      <c r="G120" s="4" t="inlineStr">
        <is>
          <t>Required for operator devices; must be unique.</t>
        </is>
      </c>
      <c r="H120" t="inlineStr">
        <is>
          <t>JUNMP001007</t>
        </is>
      </c>
    </row>
    <row r="121">
      <c r="A121" t="inlineStr">
        <is>
          <t>Devices</t>
        </is>
      </c>
      <c r="B121" t="inlineStr">
        <is>
          <t>mgmt_ip</t>
        </is>
      </c>
      <c r="C121" t="inlineStr">
        <is>
          <t>Conditional</t>
        </is>
      </c>
      <c r="D121" t="inlineStr">
        <is>
          <t>ip</t>
        </is>
      </c>
      <c r="E121" s="4" t="inlineStr"/>
      <c r="F121" t="inlineStr">
        <is>
          <t>NetworkElement.ip</t>
        </is>
      </c>
      <c r="G121" s="4" t="inlineStr">
        <is>
          <t>Required for monitored devices.</t>
        </is>
      </c>
      <c r="H121" t="inlineStr">
        <is>
          <t>10.10.1.1</t>
        </is>
      </c>
    </row>
    <row r="122">
      <c r="A122" t="inlineStr">
        <is>
          <t>Devices</t>
        </is>
      </c>
      <c r="B122" t="inlineStr">
        <is>
          <t>mac</t>
        </is>
      </c>
      <c r="C122" t="inlineStr">
        <is>
          <t>Optional</t>
        </is>
      </c>
      <c r="D122" t="inlineStr">
        <is>
          <t>text</t>
        </is>
      </c>
      <c r="E122" s="4" t="inlineStr"/>
      <c r="F122" t="inlineStr">
        <is>
          <t>NetworkElement.mac</t>
        </is>
      </c>
      <c r="G122" s="4" t="inlineStr"/>
      <c r="H122" t="inlineStr">
        <is>
          <t>3c:fd:fe:03:ef:00</t>
        </is>
      </c>
    </row>
    <row r="123">
      <c r="A123" t="inlineStr">
        <is>
          <t>Devices</t>
        </is>
      </c>
      <c r="B123" t="inlineStr">
        <is>
          <t>rack_id</t>
        </is>
      </c>
      <c r="C123" t="inlineStr">
        <is>
          <t>Required</t>
        </is>
      </c>
      <c r="D123" t="inlineStr">
        <is>
          <t>ref</t>
        </is>
      </c>
      <c r="E123" s="4" t="inlineStr">
        <is>
          <t>an ID from Racks</t>
        </is>
      </c>
      <c r="F123" t="inlineStr">
        <is>
          <t>NetworkElement.rackId</t>
        </is>
      </c>
      <c r="G123" s="4" t="inlineStr"/>
      <c r="H123" t="inlineStr">
        <is>
          <t>MP-DC-001-MMR-R01</t>
        </is>
      </c>
    </row>
    <row r="124">
      <c r="A124" t="inlineStr">
        <is>
          <t>Devices</t>
        </is>
      </c>
      <c r="B124" t="inlineStr">
        <is>
          <t>u_position</t>
        </is>
      </c>
      <c r="C124" t="inlineStr">
        <is>
          <t>Required</t>
        </is>
      </c>
      <c r="D124" t="inlineStr">
        <is>
          <t>integer</t>
        </is>
      </c>
      <c r="E124" s="4" t="inlineStr"/>
      <c r="F124" t="inlineStr">
        <is>
          <t>NetworkElement.u</t>
        </is>
      </c>
      <c r="G124" s="4" t="inlineStr">
        <is>
          <t>Lowest U the device occupies (1 = bottom).</t>
        </is>
      </c>
      <c r="H124" t="inlineStr">
        <is>
          <t>1</t>
        </is>
      </c>
    </row>
    <row r="125">
      <c r="A125" t="inlineStr">
        <is>
          <t>Devices</t>
        </is>
      </c>
      <c r="B125" t="inlineStr">
        <is>
          <t>u_size</t>
        </is>
      </c>
      <c r="C125" t="inlineStr">
        <is>
          <t>Required</t>
        </is>
      </c>
      <c r="D125" t="inlineStr">
        <is>
          <t>integer</t>
        </is>
      </c>
      <c r="E125" s="4" t="inlineStr"/>
      <c r="F125" t="inlineStr">
        <is>
          <t>NetworkElement.uSize</t>
        </is>
      </c>
      <c r="G125" s="4" t="inlineStr">
        <is>
          <t>Height in U.</t>
        </is>
      </c>
      <c r="H125" t="inlineStr">
        <is>
          <t>2</t>
        </is>
      </c>
    </row>
    <row r="126">
      <c r="A126" t="inlineStr">
        <is>
          <t>Devices</t>
        </is>
      </c>
      <c r="B126" t="inlineStr">
        <is>
          <t>lifecycle</t>
        </is>
      </c>
      <c r="C126" t="inlineStr">
        <is>
          <t>Required</t>
        </is>
      </c>
      <c r="D126" t="inlineStr">
        <is>
          <t>list</t>
        </is>
      </c>
      <c r="E126" s="4" t="inlineStr">
        <is>
          <t>Ready, Planned, Maintenance, Decommissioning</t>
        </is>
      </c>
      <c r="F126" t="inlineStr">
        <is>
          <t>NetworkElement.lifecycle</t>
        </is>
      </c>
      <c r="G126" s="4" t="inlineStr">
        <is>
          <t>Planned = reserved rack space, not installed.</t>
        </is>
      </c>
      <c r="H126" t="inlineStr">
        <is>
          <t>Ready</t>
        </is>
      </c>
    </row>
    <row r="127">
      <c r="A127" t="inlineStr">
        <is>
          <t>Devices</t>
        </is>
      </c>
      <c r="B127" t="inlineStr">
        <is>
          <t>owner</t>
        </is>
      </c>
      <c r="C127" t="inlineStr">
        <is>
          <t>Required</t>
        </is>
      </c>
      <c r="D127" t="inlineStr">
        <is>
          <t>list</t>
        </is>
      </c>
      <c r="E127" s="4" t="inlineStr">
        <is>
          <t>operator, tenant</t>
        </is>
      </c>
      <c r="F127" t="inlineStr">
        <is>
          <t>OpsState tenant-owned</t>
        </is>
      </c>
      <c r="G127" s="4" t="inlineStr"/>
      <c r="H127" t="inlineStr">
        <is>
          <t>operator</t>
        </is>
      </c>
    </row>
    <row r="128">
      <c r="A128" t="inlineStr">
        <is>
          <t>Devices</t>
        </is>
      </c>
      <c r="B128" t="inlineStr">
        <is>
          <t>tenant_customer_id</t>
        </is>
      </c>
      <c r="C128" t="inlineStr">
        <is>
          <t>Conditional</t>
        </is>
      </c>
      <c r="D128" t="inlineStr">
        <is>
          <t>ref</t>
        </is>
      </c>
      <c r="E128" s="4" t="inlineStr">
        <is>
          <t>an ID from Customers</t>
        </is>
      </c>
      <c r="F128" t="inlineStr">
        <is>
          <t>NetworkElement.tenantId</t>
        </is>
      </c>
      <c r="G128" s="4" t="inlineStr">
        <is>
          <t>Required when owner = tenant.</t>
        </is>
      </c>
      <c r="H128" t="inlineStr">
        <is>
          <t>CUST-001</t>
        </is>
      </c>
    </row>
    <row r="129">
      <c r="A129" t="inlineStr">
        <is>
          <t>Devices</t>
        </is>
      </c>
      <c r="B129" t="inlineStr">
        <is>
          <t>monitored</t>
        </is>
      </c>
      <c r="C129" t="inlineStr">
        <is>
          <t>Required</t>
        </is>
      </c>
      <c r="D129" t="inlineStr">
        <is>
          <t>list</t>
        </is>
      </c>
      <c r="E129" s="4" t="inlineStr">
        <is>
          <t>Y, N</t>
        </is>
      </c>
      <c r="F129" t="inlineStr">
        <is>
          <t>OpsState in-service / unmonitored</t>
        </is>
      </c>
      <c r="G129" s="4" t="inlineStr">
        <is>
          <t>N = in the rack but not polled.</t>
        </is>
      </c>
      <c r="H129" t="inlineStr">
        <is>
          <t>Y</t>
        </is>
      </c>
    </row>
    <row r="130">
      <c r="A130" t="inlineStr">
        <is>
          <t>Devices</t>
        </is>
      </c>
      <c r="B130" t="inlineStr">
        <is>
          <t>collector_id</t>
        </is>
      </c>
      <c r="C130" t="inlineStr">
        <is>
          <t>Conditional</t>
        </is>
      </c>
      <c r="D130" t="inlineStr">
        <is>
          <t>ref</t>
        </is>
      </c>
      <c r="E130" s="4" t="inlineStr">
        <is>
          <t>an ID from Collectors</t>
        </is>
      </c>
      <c r="F130" t="inlineStr">
        <is>
          <t>NetworkElement.collector</t>
        </is>
      </c>
      <c r="G130" s="4" t="inlineStr">
        <is>
          <t>Required when monitored = Y.</t>
        </is>
      </c>
      <c r="H130" t="inlineStr">
        <is>
          <t>COL-MP-DC-001-NET</t>
        </is>
      </c>
    </row>
    <row r="131">
      <c r="A131" t="inlineStr">
        <is>
          <t>Devices</t>
        </is>
      </c>
      <c r="B131" t="inlineStr">
        <is>
          <t>wan_edge</t>
        </is>
      </c>
      <c r="C131" t="inlineStr">
        <is>
          <t>Optional</t>
        </is>
      </c>
      <c r="D131" t="inlineStr">
        <is>
          <t>list</t>
        </is>
      </c>
      <c r="E131" s="4" t="inlineStr">
        <is>
          <t>Y, N</t>
        </is>
      </c>
      <c r="F131" t="inlineStr">
        <is>
          <t>NetworkElement.isPe</t>
        </is>
      </c>
      <c r="G131" s="4" t="inlineStr">
        <is>
          <t>Y = border / PE router carrying the site's backhaul.</t>
        </is>
      </c>
      <c r="H131" t="inlineStr">
        <is>
          <t>Y</t>
        </is>
      </c>
    </row>
    <row r="132">
      <c r="A132" t="inlineStr">
        <is>
          <t>Modules</t>
        </is>
      </c>
      <c r="B132" t="inlineStr">
        <is>
          <t>device_id</t>
        </is>
      </c>
      <c r="C132" t="inlineStr">
        <is>
          <t>Required</t>
        </is>
      </c>
      <c r="D132" t="inlineStr">
        <is>
          <t>ref</t>
        </is>
      </c>
      <c r="E132" s="4" t="inlineStr">
        <is>
          <t>an ID from Devices</t>
        </is>
      </c>
      <c r="F132" t="inlineStr">
        <is>
          <t>NetworkElement.id</t>
        </is>
      </c>
      <c r="G132" s="4" t="inlineStr"/>
      <c r="H132" t="inlineStr">
        <is>
          <t>MP-DC-001-BDR-01</t>
        </is>
      </c>
    </row>
    <row r="133">
      <c r="A133" t="inlineStr">
        <is>
          <t>Modules</t>
        </is>
      </c>
      <c r="B133" t="inlineStr">
        <is>
          <t>slot</t>
        </is>
      </c>
      <c r="C133" t="inlineStr">
        <is>
          <t>Required</t>
        </is>
      </c>
      <c r="D133" t="inlineStr">
        <is>
          <t>text</t>
        </is>
      </c>
      <c r="E133" s="4" t="inlineStr"/>
      <c r="F133" t="inlineStr">
        <is>
          <t>modules[].slot</t>
        </is>
      </c>
      <c r="G133" s="4" t="inlineStr">
        <is>
          <t>For example "FPC 0", "PSU 1".</t>
        </is>
      </c>
      <c r="H133" t="inlineStr">
        <is>
          <t>FPC 0</t>
        </is>
      </c>
    </row>
    <row r="134">
      <c r="A134" t="inlineStr">
        <is>
          <t>Modules</t>
        </is>
      </c>
      <c r="B134" t="inlineStr">
        <is>
          <t>name</t>
        </is>
      </c>
      <c r="C134" t="inlineStr">
        <is>
          <t>Required</t>
        </is>
      </c>
      <c r="D134" t="inlineStr">
        <is>
          <t>text</t>
        </is>
      </c>
      <c r="E134" s="4" t="inlineStr"/>
      <c r="F134" t="inlineStr">
        <is>
          <t>modules[].name</t>
        </is>
      </c>
      <c r="G134" s="4" t="inlineStr">
        <is>
          <t>Part description.</t>
        </is>
      </c>
      <c r="H134" t="inlineStr">
        <is>
          <t>MPC10E 10x400GE</t>
        </is>
      </c>
    </row>
    <row r="135">
      <c r="A135" t="inlineStr">
        <is>
          <t>Modules</t>
        </is>
      </c>
      <c r="B135" t="inlineStr">
        <is>
          <t>serial</t>
        </is>
      </c>
      <c r="C135" t="inlineStr">
        <is>
          <t>Optional</t>
        </is>
      </c>
      <c r="D135" t="inlineStr">
        <is>
          <t>text</t>
        </is>
      </c>
      <c r="E135" s="4" t="inlineStr"/>
      <c r="F135" t="inlineStr">
        <is>
          <t>modules[].serial</t>
        </is>
      </c>
      <c r="G135" s="4" t="inlineStr"/>
      <c r="H135" t="inlineStr">
        <is>
          <t>JNMP000000</t>
        </is>
      </c>
    </row>
    <row r="136">
      <c r="A136" t="inlineStr">
        <is>
          <t>Interfaces</t>
        </is>
      </c>
      <c r="B136" t="inlineStr">
        <is>
          <t>device_id</t>
        </is>
      </c>
      <c r="C136" t="inlineStr">
        <is>
          <t>Required</t>
        </is>
      </c>
      <c r="D136" t="inlineStr">
        <is>
          <t>ref</t>
        </is>
      </c>
      <c r="E136" s="4" t="inlineStr">
        <is>
          <t>an ID from Devices</t>
        </is>
      </c>
      <c r="F136" t="inlineStr">
        <is>
          <t>Interface.neId</t>
        </is>
      </c>
      <c r="G136" s="4" t="inlineStr"/>
      <c r="H136" t="inlineStr">
        <is>
          <t>MP-DC-001-BDR-01</t>
        </is>
      </c>
    </row>
    <row r="137">
      <c r="A137" t="inlineStr">
        <is>
          <t>Interfaces</t>
        </is>
      </c>
      <c r="B137" t="inlineStr">
        <is>
          <t>if_name</t>
        </is>
      </c>
      <c r="C137" t="inlineStr">
        <is>
          <t>Required</t>
        </is>
      </c>
      <c r="D137" t="inlineStr">
        <is>
          <t>text</t>
        </is>
      </c>
      <c r="E137" s="4" t="inlineStr"/>
      <c r="F137" t="inlineStr">
        <is>
          <t>Interface.name</t>
        </is>
      </c>
      <c r="G137" s="4" t="inlineStr">
        <is>
          <t>As the device names it (et-0/0/1, Ethernet1/1, swp1, ib0…).</t>
        </is>
      </c>
      <c r="H137" t="inlineStr">
        <is>
          <t>et-0/0/0</t>
        </is>
      </c>
    </row>
    <row r="138">
      <c r="A138" t="inlineStr">
        <is>
          <t>Interfaces</t>
        </is>
      </c>
      <c r="B138" t="inlineStr">
        <is>
          <t>type</t>
        </is>
      </c>
      <c r="C138" t="inlineStr">
        <is>
          <t>Required</t>
        </is>
      </c>
      <c r="D138" t="inlineStr">
        <is>
          <t>text</t>
        </is>
      </c>
      <c r="E138" s="4" t="inlineStr"/>
      <c r="F138" t="inlineStr">
        <is>
          <t>Interface.type</t>
        </is>
      </c>
      <c r="G138" s="4" t="inlineStr">
        <is>
          <t>For example 100GE, 400G NDR, 1GE.</t>
        </is>
      </c>
      <c r="H138" t="inlineStr">
        <is>
          <t>100GE</t>
        </is>
      </c>
    </row>
    <row r="139">
      <c r="A139" t="inlineStr">
        <is>
          <t>Interfaces</t>
        </is>
      </c>
      <c r="B139" t="inlineStr">
        <is>
          <t>speed_mbps</t>
        </is>
      </c>
      <c r="C139" t="inlineStr">
        <is>
          <t>Required</t>
        </is>
      </c>
      <c r="D139" t="inlineStr">
        <is>
          <t>integer</t>
        </is>
      </c>
      <c r="E139" s="4" t="inlineStr"/>
      <c r="F139" t="inlineStr">
        <is>
          <t>Interface.speedMbps</t>
        </is>
      </c>
      <c r="G139" s="4" t="inlineStr"/>
      <c r="H139" t="inlineStr">
        <is>
          <t>100000</t>
        </is>
      </c>
    </row>
    <row r="140">
      <c r="A140" t="inlineStr">
        <is>
          <t>Interfaces</t>
        </is>
      </c>
      <c r="B140" t="inlineStr">
        <is>
          <t>admin_state</t>
        </is>
      </c>
      <c r="C140" t="inlineStr">
        <is>
          <t>Required</t>
        </is>
      </c>
      <c r="D140" t="inlineStr">
        <is>
          <t>list</t>
        </is>
      </c>
      <c r="E140" s="4" t="inlineStr">
        <is>
          <t>up, admin-down, reserved</t>
        </is>
      </c>
      <c r="F140" t="inlineStr">
        <is>
          <t>Interface.state</t>
        </is>
      </c>
      <c r="G140" s="4" t="inlineStr">
        <is>
          <t>up, admin-down or reserved. Operational up / down comes live.</t>
        </is>
      </c>
      <c r="H140" t="inlineStr">
        <is>
          <t>up</t>
        </is>
      </c>
    </row>
    <row r="141">
      <c r="A141" t="inlineStr">
        <is>
          <t>Interfaces</t>
        </is>
      </c>
      <c r="B141" t="inlineStr">
        <is>
          <t>description</t>
        </is>
      </c>
      <c r="C141" t="inlineStr">
        <is>
          <t>Optional</t>
        </is>
      </c>
      <c r="D141" t="inlineStr">
        <is>
          <t>text</t>
        </is>
      </c>
      <c r="E141" s="4" t="inlineStr"/>
      <c r="F141" t="inlineStr">
        <is>
          <t>Interface.description</t>
        </is>
      </c>
      <c r="G141" s="4" t="inlineStr"/>
      <c r="H141" t="inlineStr">
        <is>
          <t>to FW-01 port1</t>
        </is>
      </c>
    </row>
    <row r="142">
      <c r="A142" t="inlineStr">
        <is>
          <t>Interfaces</t>
        </is>
      </c>
      <c r="B142" t="inlineStr">
        <is>
          <t>optic_model</t>
        </is>
      </c>
      <c r="C142" t="inlineStr">
        <is>
          <t>Optional</t>
        </is>
      </c>
      <c r="D142" t="inlineStr">
        <is>
          <t>text</t>
        </is>
      </c>
      <c r="E142" s="4" t="inlineStr"/>
      <c r="F142" t="inlineStr">
        <is>
          <t>Interface.optics.model</t>
        </is>
      </c>
      <c r="G142" s="4" t="inlineStr">
        <is>
          <t>Transceiver part.</t>
        </is>
      </c>
      <c r="H142" t="inlineStr">
        <is>
          <t>QSFP28-100G-LR4</t>
        </is>
      </c>
    </row>
    <row r="143">
      <c r="A143" t="inlineStr">
        <is>
          <t>Links</t>
        </is>
      </c>
      <c r="B143" t="inlineStr">
        <is>
          <t>link_id</t>
        </is>
      </c>
      <c r="C143" t="inlineStr">
        <is>
          <t>Required</t>
        </is>
      </c>
      <c r="D143" t="inlineStr">
        <is>
          <t>text</t>
        </is>
      </c>
      <c r="E143" s="4" t="inlineStr"/>
      <c r="F143" t="inlineStr">
        <is>
          <t>Link.id</t>
        </is>
      </c>
      <c r="G143" s="4" t="inlineStr"/>
      <c r="H143" t="inlineStr">
        <is>
          <t>LNK-0001</t>
        </is>
      </c>
    </row>
    <row r="144">
      <c r="A144" t="inlineStr">
        <is>
          <t>Links</t>
        </is>
      </c>
      <c r="B144" t="inlineStr">
        <is>
          <t>a_device_id</t>
        </is>
      </c>
      <c r="C144" t="inlineStr">
        <is>
          <t>Required</t>
        </is>
      </c>
      <c r="D144" t="inlineStr">
        <is>
          <t>ref</t>
        </is>
      </c>
      <c r="E144" s="4" t="inlineStr">
        <is>
          <t>an ID from Devices</t>
        </is>
      </c>
      <c r="F144" t="inlineStr">
        <is>
          <t>Link.aNe</t>
        </is>
      </c>
      <c r="G144" s="4" t="inlineStr"/>
      <c r="H144" t="inlineStr">
        <is>
          <t>MP-DC-001-BDR-01</t>
        </is>
      </c>
    </row>
    <row r="145">
      <c r="A145" t="inlineStr">
        <is>
          <t>Links</t>
        </is>
      </c>
      <c r="B145" t="inlineStr">
        <is>
          <t>a_if_name</t>
        </is>
      </c>
      <c r="C145" t="inlineStr">
        <is>
          <t>Required</t>
        </is>
      </c>
      <c r="D145" t="inlineStr">
        <is>
          <t>text</t>
        </is>
      </c>
      <c r="E145" s="4" t="inlineStr"/>
      <c r="F145" t="inlineStr">
        <is>
          <t>Link.aIf</t>
        </is>
      </c>
      <c r="G145" s="4" t="inlineStr">
        <is>
          <t>Must exist in Interfaces for a_device_id.</t>
        </is>
      </c>
      <c r="H145" t="inlineStr">
        <is>
          <t>et-0/0/0</t>
        </is>
      </c>
    </row>
    <row r="146">
      <c r="A146" t="inlineStr">
        <is>
          <t>Links</t>
        </is>
      </c>
      <c r="B146" t="inlineStr">
        <is>
          <t>z_device_id</t>
        </is>
      </c>
      <c r="C146" t="inlineStr">
        <is>
          <t>Required</t>
        </is>
      </c>
      <c r="D146" t="inlineStr">
        <is>
          <t>ref</t>
        </is>
      </c>
      <c r="E146" s="4" t="inlineStr">
        <is>
          <t>an ID from Devices</t>
        </is>
      </c>
      <c r="F146" t="inlineStr">
        <is>
          <t>Link.zNe</t>
        </is>
      </c>
      <c r="G146" s="4" t="inlineStr">
        <is>
          <t>May be at another site (backhaul).</t>
        </is>
      </c>
      <c r="H146" t="inlineStr">
        <is>
          <t>MP-DC-001-FW-01</t>
        </is>
      </c>
    </row>
    <row r="147">
      <c r="A147" t="inlineStr">
        <is>
          <t>Links</t>
        </is>
      </c>
      <c r="B147" t="inlineStr">
        <is>
          <t>z_if_name</t>
        </is>
      </c>
      <c r="C147" t="inlineStr">
        <is>
          <t>Required</t>
        </is>
      </c>
      <c r="D147" t="inlineStr">
        <is>
          <t>text</t>
        </is>
      </c>
      <c r="E147" s="4" t="inlineStr"/>
      <c r="F147" t="inlineStr">
        <is>
          <t>Link.zIf</t>
        </is>
      </c>
      <c r="G147" s="4" t="inlineStr"/>
      <c r="H147" t="inlineStr">
        <is>
          <t>port1</t>
        </is>
      </c>
    </row>
    <row r="148">
      <c r="A148" t="inlineStr">
        <is>
          <t>Links</t>
        </is>
      </c>
      <c r="B148" t="inlineStr">
        <is>
          <t>role</t>
        </is>
      </c>
      <c r="C148" t="inlineStr">
        <is>
          <t>Required</t>
        </is>
      </c>
      <c r="D148" t="inlineStr">
        <is>
          <t>list</t>
        </is>
      </c>
      <c r="E148" s="4" t="inlineStr">
        <is>
          <t>Fabric, Uplink, Backhaul, Peering, Access</t>
        </is>
      </c>
      <c r="F148" t="inlineStr">
        <is>
          <t>Link.role</t>
        </is>
      </c>
      <c r="G148" s="4" t="inlineStr">
        <is>
          <t>Fabric (inside a fabric), Uplink, Backhaul (leaves the site), Peering, Access (to a host / customer).</t>
        </is>
      </c>
      <c r="H148" t="inlineStr">
        <is>
          <t>Uplink</t>
        </is>
      </c>
    </row>
    <row r="149">
      <c r="A149" t="inlineStr">
        <is>
          <t>Links</t>
        </is>
      </c>
      <c r="B149" t="inlineStr">
        <is>
          <t>protocol</t>
        </is>
      </c>
      <c r="C149" t="inlineStr">
        <is>
          <t>Optional</t>
        </is>
      </c>
      <c r="D149" t="inlineStr">
        <is>
          <t>list</t>
        </is>
      </c>
      <c r="E149" s="4" t="inlineStr">
        <is>
          <t>LLDP, OSPF, BGP, ISIS, LSP</t>
        </is>
      </c>
      <c r="F149" t="inlineStr">
        <is>
          <t>Link.protocol</t>
        </is>
      </c>
      <c r="G149" s="4" t="inlineStr">
        <is>
          <t>Default LLDP (physical). Add BGP / OSPF rows for routing adjacencies if needed.</t>
        </is>
      </c>
      <c r="H149" t="inlineStr">
        <is>
          <t>LLDP</t>
        </is>
      </c>
    </row>
    <row r="150">
      <c r="A150" t="inlineStr">
        <is>
          <t>Links</t>
        </is>
      </c>
      <c r="B150" t="inlineStr">
        <is>
          <t>capacity_mbps</t>
        </is>
      </c>
      <c r="C150" t="inlineStr">
        <is>
          <t>Required</t>
        </is>
      </c>
      <c r="D150" t="inlineStr">
        <is>
          <t>integer</t>
        </is>
      </c>
      <c r="E150" s="4" t="inlineStr"/>
      <c r="F150" t="inlineStr">
        <is>
          <t>Link.capacityMbps</t>
        </is>
      </c>
      <c r="G150" s="4" t="inlineStr"/>
      <c r="H150" t="inlineStr">
        <is>
          <t>100000</t>
        </is>
      </c>
    </row>
    <row r="151">
      <c r="A151" t="inlineStr">
        <is>
          <t>Links</t>
        </is>
      </c>
      <c r="B151" t="inlineStr">
        <is>
          <t>cable_id</t>
        </is>
      </c>
      <c r="C151" t="inlineStr">
        <is>
          <t>Optional</t>
        </is>
      </c>
      <c r="D151" t="inlineStr">
        <is>
          <t>text</t>
        </is>
      </c>
      <c r="E151" s="4" t="inlineStr"/>
      <c r="F151" t="inlineStr">
        <is>
          <t>Link.physical.cable</t>
        </is>
      </c>
      <c r="G151" s="4" t="inlineStr">
        <is>
          <t>Cable / trunk label.</t>
        </is>
      </c>
      <c r="H151" t="inlineStr">
        <is>
          <t>MP-DC-001-MMR-PC-01</t>
        </is>
      </c>
    </row>
    <row r="152">
      <c r="A152" t="inlineStr">
        <is>
          <t>Links</t>
        </is>
      </c>
      <c r="B152" t="inlineStr">
        <is>
          <t>strand</t>
        </is>
      </c>
      <c r="C152" t="inlineStr">
        <is>
          <t>Optional</t>
        </is>
      </c>
      <c r="D152" t="inlineStr">
        <is>
          <t>text</t>
        </is>
      </c>
      <c r="E152" s="4" t="inlineStr"/>
      <c r="F152" t="inlineStr">
        <is>
          <t>Link.physical.strand</t>
        </is>
      </c>
      <c r="G152" s="4" t="inlineStr">
        <is>
          <t>Fibre strand or pair.</t>
        </is>
      </c>
      <c r="H152" t="inlineStr">
        <is>
          <t>1-2</t>
        </is>
      </c>
    </row>
    <row r="153">
      <c r="A153" t="inlineStr">
        <is>
          <t>Links</t>
        </is>
      </c>
      <c r="B153" t="inlineStr">
        <is>
          <t>a_patch_port</t>
        </is>
      </c>
      <c r="C153" t="inlineStr">
        <is>
          <t>Optional</t>
        </is>
      </c>
      <c r="D153" t="inlineStr">
        <is>
          <t>text</t>
        </is>
      </c>
      <c r="E153" s="4" t="inlineStr"/>
      <c r="F153" t="inlineStr">
        <is>
          <t>Link.physical.aPort</t>
        </is>
      </c>
      <c r="G153" s="4" t="inlineStr">
        <is>
          <t>Patch panel / ODF port at the A end.</t>
        </is>
      </c>
      <c r="H153" t="inlineStr">
        <is>
          <t>MMR-ODF-01:1</t>
        </is>
      </c>
    </row>
    <row r="154">
      <c r="A154" t="inlineStr">
        <is>
          <t>Links</t>
        </is>
      </c>
      <c r="B154" t="inlineStr">
        <is>
          <t>z_patch_port</t>
        </is>
      </c>
      <c r="C154" t="inlineStr">
        <is>
          <t>Optional</t>
        </is>
      </c>
      <c r="D154" t="inlineStr">
        <is>
          <t>text</t>
        </is>
      </c>
      <c r="E154" s="4" t="inlineStr"/>
      <c r="F154" t="inlineStr">
        <is>
          <t>Link.physical.zPort</t>
        </is>
      </c>
      <c r="G154" s="4" t="inlineStr"/>
      <c r="H154" t="inlineStr">
        <is>
          <t>A01-ODF:1</t>
        </is>
      </c>
    </row>
    <row r="155">
      <c r="A155" t="inlineStr">
        <is>
          <t>Links</t>
        </is>
      </c>
      <c r="B155" t="inlineStr">
        <is>
          <t>carrier_circuit_id</t>
        </is>
      </c>
      <c r="C155" t="inlineStr">
        <is>
          <t>Conditional</t>
        </is>
      </c>
      <c r="D155" t="inlineStr">
        <is>
          <t>text</t>
        </is>
      </c>
      <c r="E155" s="4" t="inlineStr"/>
      <c r="F155" t="inlineStr">
        <is>
          <t>(reference only)</t>
        </is>
      </c>
      <c r="G155" s="4" t="inlineStr">
        <is>
          <t>Backhaul: the carrier's circuit ID.</t>
        </is>
      </c>
      <c r="H155" t="inlineStr">
        <is>
          <t>AIRTEL-NLD-100G-55821 (sample)</t>
        </is>
      </c>
    </row>
    <row r="156">
      <c r="A156" t="inlineStr">
        <is>
          <t>GPU_Clusters</t>
        </is>
      </c>
      <c r="B156" t="inlineStr">
        <is>
          <t>cluster_id</t>
        </is>
      </c>
      <c r="C156" t="inlineStr">
        <is>
          <t>Required</t>
        </is>
      </c>
      <c r="D156" t="inlineStr">
        <is>
          <t>text</t>
        </is>
      </c>
      <c r="E156" s="4" t="inlineStr"/>
      <c r="F156" t="inlineStr">
        <is>
          <t>GpuCluster.id</t>
        </is>
      </c>
      <c r="G156" s="4" t="inlineStr"/>
      <c r="H156" t="inlineStr">
        <is>
          <t>TN-DC-002-CL-01</t>
        </is>
      </c>
    </row>
    <row r="157">
      <c r="A157" t="inlineStr">
        <is>
          <t>GPU_Clusters</t>
        </is>
      </c>
      <c r="B157" t="inlineStr">
        <is>
          <t>site_id</t>
        </is>
      </c>
      <c r="C157" t="inlineStr">
        <is>
          <t>Required</t>
        </is>
      </c>
      <c r="D157" t="inlineStr">
        <is>
          <t>ref</t>
        </is>
      </c>
      <c r="E157" s="4" t="inlineStr">
        <is>
          <t>an ID from Sites</t>
        </is>
      </c>
      <c r="F157" t="inlineStr">
        <is>
          <t>GpuCluster.dcId</t>
        </is>
      </c>
      <c r="G157" s="4" t="inlineStr"/>
      <c r="H157" t="inlineStr">
        <is>
          <t>TN-DC-002</t>
        </is>
      </c>
    </row>
    <row r="158">
      <c r="A158" t="inlineStr">
        <is>
          <t>GPU_Clusters</t>
        </is>
      </c>
      <c r="B158" t="inlineStr">
        <is>
          <t>room_id</t>
        </is>
      </c>
      <c r="C158" t="inlineStr">
        <is>
          <t>Required</t>
        </is>
      </c>
      <c r="D158" t="inlineStr">
        <is>
          <t>ref</t>
        </is>
      </c>
      <c r="E158" s="4" t="inlineStr">
        <is>
          <t>an ID from Rooms</t>
        </is>
      </c>
      <c r="F158" t="inlineStr">
        <is>
          <t>GpuCluster.room</t>
        </is>
      </c>
      <c r="G158" s="4" t="inlineStr"/>
      <c r="H158" t="inlineStr">
        <is>
          <t>TN-DC-002-GPU1</t>
        </is>
      </c>
    </row>
    <row r="159">
      <c r="A159" t="inlineStr">
        <is>
          <t>GPU_Clusters</t>
        </is>
      </c>
      <c r="B159" t="inlineStr">
        <is>
          <t>name</t>
        </is>
      </c>
      <c r="C159" t="inlineStr">
        <is>
          <t>Required</t>
        </is>
      </c>
      <c r="D159" t="inlineStr">
        <is>
          <t>text</t>
        </is>
      </c>
      <c r="E159" s="4" t="inlineStr"/>
      <c r="F159" t="inlineStr">
        <is>
          <t>GpuCluster.name</t>
        </is>
      </c>
      <c r="G159" s="4" t="inlineStr"/>
      <c r="H159" t="inlineStr">
        <is>
          <t>Chennai H200 pod 1</t>
        </is>
      </c>
    </row>
    <row r="160">
      <c r="A160" t="inlineStr">
        <is>
          <t>GPU_Clusters</t>
        </is>
      </c>
      <c r="B160" t="inlineStr">
        <is>
          <t>scheduler</t>
        </is>
      </c>
      <c r="C160" t="inlineStr">
        <is>
          <t>Required</t>
        </is>
      </c>
      <c r="D160" t="inlineStr">
        <is>
          <t>list</t>
        </is>
      </c>
      <c r="E160" s="4" t="inlineStr">
        <is>
          <t>Kubernetes, Slurm</t>
        </is>
      </c>
      <c r="F160" t="inlineStr">
        <is>
          <t>GpuCluster.scheduler</t>
        </is>
      </c>
      <c r="G160" s="4" t="inlineStr"/>
      <c r="H160" t="inlineStr">
        <is>
          <t>Slurm</t>
        </is>
      </c>
    </row>
    <row r="161">
      <c r="A161" t="inlineStr">
        <is>
          <t>GPU_Clusters</t>
        </is>
      </c>
      <c r="B161" t="inlineStr">
        <is>
          <t>fabric</t>
        </is>
      </c>
      <c r="C161" t="inlineStr">
        <is>
          <t>Required</t>
        </is>
      </c>
      <c r="D161" t="inlineStr">
        <is>
          <t>text</t>
        </is>
      </c>
      <c r="E161" s="4" t="inlineStr"/>
      <c r="F161" t="inlineStr">
        <is>
          <t>GpuCluster.fabric</t>
        </is>
      </c>
      <c r="G161" s="4" t="inlineStr">
        <is>
          <t>For example "InfiniBand NDR 400G, rail-optimised".</t>
        </is>
      </c>
      <c r="H161" t="inlineStr">
        <is>
          <t>InfiniBand NDR 400G, rail-optimised</t>
        </is>
      </c>
    </row>
    <row r="162">
      <c r="A162" t="inlineStr">
        <is>
          <t>GPU_Clusters</t>
        </is>
      </c>
      <c r="B162" t="inlineStr">
        <is>
          <t>gpu_model</t>
        </is>
      </c>
      <c r="C162" t="inlineStr">
        <is>
          <t>Required</t>
        </is>
      </c>
      <c r="D162" t="inlineStr">
        <is>
          <t>list</t>
        </is>
      </c>
      <c r="E162" s="4" t="inlineStr">
        <is>
          <t>B200 SXM 192 GB, H200 SXM 141 GB, H100 SXM 80 GB, A100 SXM 80 GB, L40S PCIe 48 GB, T4 PCIe 16 GB, Gaudi 3 OAM 128 GB, Max 1550 OAM 128 GB</t>
        </is>
      </c>
      <c r="F162" t="inlineStr">
        <is>
          <t>GpuCluster.model</t>
        </is>
      </c>
      <c r="G162" s="4" t="inlineStr">
        <is>
          <t>One model per cluster.</t>
        </is>
      </c>
      <c r="H162" t="inlineStr">
        <is>
          <t>H200 SXM 141 GB</t>
        </is>
      </c>
    </row>
    <row r="163">
      <c r="A163" t="inlineStr">
        <is>
          <t>GPU_Clusters</t>
        </is>
      </c>
      <c r="B163" t="inlineStr">
        <is>
          <t>cooling</t>
        </is>
      </c>
      <c r="C163" t="inlineStr">
        <is>
          <t>Required</t>
        </is>
      </c>
      <c r="D163" t="inlineStr">
        <is>
          <t>list</t>
        </is>
      </c>
      <c r="E163" s="4" t="inlineStr">
        <is>
          <t>air, liquid</t>
        </is>
      </c>
      <c r="F163" t="inlineStr">
        <is>
          <t>GpuCluster.cooling</t>
        </is>
      </c>
      <c r="G163" s="4" t="inlineStr"/>
      <c r="H163" t="inlineStr">
        <is>
          <t>liquid</t>
        </is>
      </c>
    </row>
    <row r="164">
      <c r="A164" t="inlineStr">
        <is>
          <t>GPU_Clusters</t>
        </is>
      </c>
      <c r="B164" t="inlineStr">
        <is>
          <t>node_count (calc)</t>
        </is>
      </c>
      <c r="C164" t="inlineStr">
        <is>
          <t>Calculated</t>
        </is>
      </c>
      <c r="D164" t="inlineStr">
        <is>
          <t>formula</t>
        </is>
      </c>
      <c r="E164" s="4" t="inlineStr"/>
      <c r="F164" t="inlineStr">
        <is>
          <t>GpuCluster.nodes</t>
        </is>
      </c>
      <c r="G164" s="4" t="inlineStr">
        <is>
          <t>Calculated from GPU_Nodes.</t>
        </is>
      </c>
      <c r="H164" t="inlineStr"/>
    </row>
    <row r="165">
      <c r="A165" t="inlineStr">
        <is>
          <t>GPU_Nodes</t>
        </is>
      </c>
      <c r="B165" t="inlineStr">
        <is>
          <t>device_id</t>
        </is>
      </c>
      <c r="C165" t="inlineStr">
        <is>
          <t>Required</t>
        </is>
      </c>
      <c r="D165" t="inlineStr">
        <is>
          <t>ref</t>
        </is>
      </c>
      <c r="E165" s="4" t="inlineStr">
        <is>
          <t>an ID from Devices</t>
        </is>
      </c>
      <c r="F165" t="inlineStr">
        <is>
          <t>GpuNode.neId</t>
        </is>
      </c>
      <c r="G165" s="4" t="inlineStr"/>
      <c r="H165" t="inlineStr">
        <is>
          <t>TN-DC-002-GPU-001</t>
        </is>
      </c>
    </row>
    <row r="166">
      <c r="A166" t="inlineStr">
        <is>
          <t>GPU_Nodes</t>
        </is>
      </c>
      <c r="B166" t="inlineStr">
        <is>
          <t>cluster_id</t>
        </is>
      </c>
      <c r="C166" t="inlineStr">
        <is>
          <t>Required</t>
        </is>
      </c>
      <c r="D166" t="inlineStr">
        <is>
          <t>ref</t>
        </is>
      </c>
      <c r="E166" s="4" t="inlineStr">
        <is>
          <t>an ID from GPU_Clusters</t>
        </is>
      </c>
      <c r="F166" t="inlineStr">
        <is>
          <t>GpuNode.clusterId</t>
        </is>
      </c>
      <c r="G166" s="4" t="inlineStr"/>
      <c r="H166" t="inlineStr">
        <is>
          <t>TN-DC-002-CL-01</t>
        </is>
      </c>
    </row>
    <row r="167">
      <c r="A167" t="inlineStr">
        <is>
          <t>GPU_Nodes</t>
        </is>
      </c>
      <c r="B167" t="inlineStr">
        <is>
          <t>gpu_model</t>
        </is>
      </c>
      <c r="C167" t="inlineStr">
        <is>
          <t>Required</t>
        </is>
      </c>
      <c r="D167" t="inlineStr">
        <is>
          <t>list</t>
        </is>
      </c>
      <c r="E167" s="4" t="inlineStr">
        <is>
          <t>B200 SXM 192 GB, H200 SXM 141 GB, H100 SXM 80 GB, A100 SXM 80 GB, L40S PCIe 48 GB, T4 PCIe 16 GB, Gaudi 3 OAM 128 GB, Max 1550 OAM 128 GB</t>
        </is>
      </c>
      <c r="F167" t="inlineStr">
        <is>
          <t>GpuNode.model</t>
        </is>
      </c>
      <c r="G167" s="4" t="inlineStr">
        <is>
          <t>Must match the cluster.</t>
        </is>
      </c>
      <c r="H167" t="inlineStr">
        <is>
          <t>H200 SXM 141 GB</t>
        </is>
      </c>
    </row>
    <row r="168">
      <c r="A168" t="inlineStr">
        <is>
          <t>GPU_Nodes</t>
        </is>
      </c>
      <c r="B168" t="inlineStr">
        <is>
          <t>gpu_vendor</t>
        </is>
      </c>
      <c r="C168" t="inlineStr">
        <is>
          <t>Required</t>
        </is>
      </c>
      <c r="D168" t="inlineStr">
        <is>
          <t>list</t>
        </is>
      </c>
      <c r="E168" s="4" t="inlineStr">
        <is>
          <t>NVIDIA, Intel</t>
        </is>
      </c>
      <c r="F168" t="inlineStr">
        <is>
          <t>GpuNode.vendor</t>
        </is>
      </c>
      <c r="G168" s="4" t="inlineStr"/>
      <c r="H168" t="inlineStr">
        <is>
          <t>NVIDIA</t>
        </is>
      </c>
    </row>
    <row r="169">
      <c r="A169" t="inlineStr">
        <is>
          <t>GPU_Nodes</t>
        </is>
      </c>
      <c r="B169" t="inlineStr">
        <is>
          <t>gpu_count</t>
        </is>
      </c>
      <c r="C169" t="inlineStr">
        <is>
          <t>Required</t>
        </is>
      </c>
      <c r="D169" t="inlineStr">
        <is>
          <t>integer</t>
        </is>
      </c>
      <c r="E169" s="4" t="inlineStr"/>
      <c r="F169" t="inlineStr">
        <is>
          <t>GpuNode.gpus.length</t>
        </is>
      </c>
      <c r="G169" s="4" t="inlineStr">
        <is>
          <t>Usually 8.</t>
        </is>
      </c>
      <c r="H169" t="inlineStr">
        <is>
          <t>8</t>
        </is>
      </c>
    </row>
    <row r="170">
      <c r="A170" t="inlineStr">
        <is>
          <t>GPU_Nodes</t>
        </is>
      </c>
      <c r="B170" t="inlineStr">
        <is>
          <t>server_model</t>
        </is>
      </c>
      <c r="C170" t="inlineStr">
        <is>
          <t>Required</t>
        </is>
      </c>
      <c r="D170" t="inlineStr">
        <is>
          <t>text</t>
        </is>
      </c>
      <c r="E170" s="4" t="inlineStr"/>
      <c r="F170" t="inlineStr">
        <is>
          <t>GpuNode.server</t>
        </is>
      </c>
      <c r="G170" s="4" t="inlineStr"/>
      <c r="H170" t="inlineStr">
        <is>
          <t>Supermicro SYS-821GE-TNHR</t>
        </is>
      </c>
    </row>
    <row r="171">
      <c r="A171" t="inlineStr">
        <is>
          <t>GPU_Nodes</t>
        </is>
      </c>
      <c r="B171" t="inlineStr">
        <is>
          <t>cooling</t>
        </is>
      </c>
      <c r="C171" t="inlineStr">
        <is>
          <t>Required</t>
        </is>
      </c>
      <c r="D171" t="inlineStr">
        <is>
          <t>list</t>
        </is>
      </c>
      <c r="E171" s="4" t="inlineStr">
        <is>
          <t>air, liquid</t>
        </is>
      </c>
      <c r="F171" t="inlineStr">
        <is>
          <t>GpuNode.cooling</t>
        </is>
      </c>
      <c r="G171" s="4" t="inlineStr"/>
      <c r="H171" t="inlineStr">
        <is>
          <t>liquid</t>
        </is>
      </c>
    </row>
    <row r="172">
      <c r="A172" t="inlineStr">
        <is>
          <t>GPU_Nodes</t>
        </is>
      </c>
      <c r="B172" t="inlineStr">
        <is>
          <t>driver</t>
        </is>
      </c>
      <c r="C172" t="inlineStr">
        <is>
          <t>Optional</t>
        </is>
      </c>
      <c r="D172" t="inlineStr">
        <is>
          <t>text</t>
        </is>
      </c>
      <c r="E172" s="4" t="inlineStr"/>
      <c r="F172" t="inlineStr">
        <is>
          <t>GpuNode.driver</t>
        </is>
      </c>
      <c r="G172" s="4" t="inlineStr">
        <is>
          <t>Installed driver version.</t>
        </is>
      </c>
      <c r="H172" t="inlineStr">
        <is>
          <t>550.90.07</t>
        </is>
      </c>
    </row>
    <row r="173">
      <c r="A173" t="inlineStr">
        <is>
          <t>GPU_Nodes</t>
        </is>
      </c>
      <c r="B173" t="inlineStr">
        <is>
          <t>firmware</t>
        </is>
      </c>
      <c r="C173" t="inlineStr">
        <is>
          <t>Optional</t>
        </is>
      </c>
      <c r="D173" t="inlineStr">
        <is>
          <t>text</t>
        </is>
      </c>
      <c r="E173" s="4" t="inlineStr"/>
      <c r="F173" t="inlineStr">
        <is>
          <t>GpuNode.firmware</t>
        </is>
      </c>
      <c r="G173" s="4" t="inlineStr"/>
      <c r="H173" t="inlineStr">
        <is>
          <t>BMC 01.03.12</t>
        </is>
      </c>
    </row>
    <row r="174">
      <c r="A174" t="inlineStr">
        <is>
          <t>Customers</t>
        </is>
      </c>
      <c r="B174" t="inlineStr">
        <is>
          <t>customer_id</t>
        </is>
      </c>
      <c r="C174" t="inlineStr">
        <is>
          <t>Required</t>
        </is>
      </c>
      <c r="D174" t="inlineStr">
        <is>
          <t>text</t>
        </is>
      </c>
      <c r="E174" s="4" t="inlineStr"/>
      <c r="F174" t="inlineStr">
        <is>
          <t>Customer.id</t>
        </is>
      </c>
      <c r="G174" s="4" t="inlineStr"/>
      <c r="H174" t="inlineStr">
        <is>
          <t>CUST-001</t>
        </is>
      </c>
    </row>
    <row r="175">
      <c r="A175" t="inlineStr">
        <is>
          <t>Customers</t>
        </is>
      </c>
      <c r="B175" t="inlineStr">
        <is>
          <t>name</t>
        </is>
      </c>
      <c r="C175" t="inlineStr">
        <is>
          <t>Required</t>
        </is>
      </c>
      <c r="D175" t="inlineStr">
        <is>
          <t>text</t>
        </is>
      </c>
      <c r="E175" s="4" t="inlineStr"/>
      <c r="F175" t="inlineStr">
        <is>
          <t>Customer.name</t>
        </is>
      </c>
      <c r="G175" s="4" t="inlineStr"/>
      <c r="H175" t="inlineStr">
        <is>
          <t>Nimbus Analytics Pvt Ltd (sample)</t>
        </is>
      </c>
    </row>
    <row r="176">
      <c r="A176" t="inlineStr">
        <is>
          <t>Customers</t>
        </is>
      </c>
      <c r="B176" t="inlineStr">
        <is>
          <t>segment</t>
        </is>
      </c>
      <c r="C176" t="inlineStr">
        <is>
          <t>Required</t>
        </is>
      </c>
      <c r="D176" t="inlineStr">
        <is>
          <t>text</t>
        </is>
      </c>
      <c r="E176" s="4" t="inlineStr"/>
      <c r="F176" t="inlineStr">
        <is>
          <t>Customer.segment</t>
        </is>
      </c>
      <c r="G176" s="4" t="inlineStr">
        <is>
          <t>For example BFSI, Media, AI / ML, Healthcare.</t>
        </is>
      </c>
      <c r="H176" t="inlineStr">
        <is>
          <t>Technology</t>
        </is>
      </c>
    </row>
    <row r="177">
      <c r="A177" t="inlineStr">
        <is>
          <t>Customers</t>
        </is>
      </c>
      <c r="B177" t="inlineStr">
        <is>
          <t>city</t>
        </is>
      </c>
      <c r="C177" t="inlineStr">
        <is>
          <t>Required</t>
        </is>
      </c>
      <c r="D177" t="inlineStr">
        <is>
          <t>text</t>
        </is>
      </c>
      <c r="E177" s="4" t="inlineStr"/>
      <c r="F177" t="inlineStr">
        <is>
          <t>Customer.city</t>
        </is>
      </c>
      <c r="G177" s="4" t="inlineStr">
        <is>
          <t>Billing city.</t>
        </is>
      </c>
      <c r="H177" t="inlineStr">
        <is>
          <t>Indore</t>
        </is>
      </c>
    </row>
    <row r="178">
      <c r="A178" t="inlineStr">
        <is>
          <t>Customers</t>
        </is>
      </c>
      <c r="B178" t="inlineStr">
        <is>
          <t>state</t>
        </is>
      </c>
      <c r="C178" t="inlineStr">
        <is>
          <t>Required</t>
        </is>
      </c>
      <c r="D178" t="inlineStr">
        <is>
          <t>text</t>
        </is>
      </c>
      <c r="E178" s="4" t="inlineStr"/>
      <c r="F178" t="inlineStr">
        <is>
          <t>Customer.state</t>
        </is>
      </c>
      <c r="G178" s="4" t="inlineStr"/>
      <c r="H178" t="inlineStr">
        <is>
          <t>Madhya Pradesh</t>
        </is>
      </c>
    </row>
    <row r="179">
      <c r="A179" t="inlineStr">
        <is>
          <t>Customers</t>
        </is>
      </c>
      <c r="B179" t="inlineStr">
        <is>
          <t>plan</t>
        </is>
      </c>
      <c r="C179" t="inlineStr">
        <is>
          <t>Required</t>
        </is>
      </c>
      <c r="D179" t="inlineStr">
        <is>
          <t>text</t>
        </is>
      </c>
      <c r="E179" s="4" t="inlineStr"/>
      <c r="F179" t="inlineStr">
        <is>
          <t>Customer.plan</t>
        </is>
      </c>
      <c r="G179" s="4" t="inlineStr">
        <is>
          <t>Contract or plan name.</t>
        </is>
      </c>
      <c r="H179" t="inlineStr">
        <is>
          <t>Colo Standard 3 yr</t>
        </is>
      </c>
    </row>
    <row r="180">
      <c r="A180" t="inlineStr">
        <is>
          <t>Customers</t>
        </is>
      </c>
      <c r="B180" t="inlineStr">
        <is>
          <t>premium</t>
        </is>
      </c>
      <c r="C180" t="inlineStr">
        <is>
          <t>Required</t>
        </is>
      </c>
      <c r="D180" t="inlineStr">
        <is>
          <t>list</t>
        </is>
      </c>
      <c r="E180" s="4" t="inlineStr">
        <is>
          <t>Y, N</t>
        </is>
      </c>
      <c r="F180" t="inlineStr">
        <is>
          <t>Customer.premium</t>
        </is>
      </c>
      <c r="G180" s="4" t="inlineStr">
        <is>
          <t>Y = premium SLA (counted on the Command center).</t>
        </is>
      </c>
      <c r="H180" t="inlineStr">
        <is>
          <t>N</t>
        </is>
      </c>
    </row>
    <row r="181">
      <c r="A181" t="inlineStr">
        <is>
          <t>Customers</t>
        </is>
      </c>
      <c r="B181" t="inlineStr">
        <is>
          <t>account_manager</t>
        </is>
      </c>
      <c r="C181" t="inlineStr">
        <is>
          <t>Optional</t>
        </is>
      </c>
      <c r="D181" t="inlineStr">
        <is>
          <t>text</t>
        </is>
      </c>
      <c r="E181" s="4" t="inlineStr"/>
      <c r="F181" t="inlineStr">
        <is>
          <t>Customer.accountManager</t>
        </is>
      </c>
      <c r="G181" s="4" t="inlineStr"/>
      <c r="H181" t="inlineStr">
        <is>
          <t>Ritu Sharma</t>
        </is>
      </c>
    </row>
    <row r="182">
      <c r="A182" t="inlineStr">
        <is>
          <t>Customers</t>
        </is>
      </c>
      <c r="B182" t="inlineStr">
        <is>
          <t>monthly_revenue (calc)</t>
        </is>
      </c>
      <c r="C182" t="inlineStr">
        <is>
          <t>Calculated</t>
        </is>
      </c>
      <c r="D182" t="inlineStr">
        <is>
          <t>formula</t>
        </is>
      </c>
      <c r="E182" s="4" t="inlineStr"/>
      <c r="F182" t="inlineStr">
        <is>
          <t>Customer.revenueMonthly</t>
        </is>
      </c>
      <c r="G182" s="4" t="inlineStr">
        <is>
          <t>Calculated: the sum of this customer's Services. Don't type it.</t>
        </is>
      </c>
      <c r="H182" t="inlineStr"/>
    </row>
    <row r="183">
      <c r="A183" t="inlineStr">
        <is>
          <t>Services</t>
        </is>
      </c>
      <c r="B183" t="inlineStr">
        <is>
          <t>service_id</t>
        </is>
      </c>
      <c r="C183" t="inlineStr">
        <is>
          <t>Required</t>
        </is>
      </c>
      <c r="D183" t="inlineStr">
        <is>
          <t>text</t>
        </is>
      </c>
      <c r="E183" s="4" t="inlineStr"/>
      <c r="F183" t="inlineStr">
        <is>
          <t>Service.id</t>
        </is>
      </c>
      <c r="G183" s="4" t="inlineStr"/>
      <c r="H183" t="inlineStr">
        <is>
          <t>SVC-0001</t>
        </is>
      </c>
    </row>
    <row r="184">
      <c r="A184" t="inlineStr">
        <is>
          <t>Services</t>
        </is>
      </c>
      <c r="B184" t="inlineStr">
        <is>
          <t>customer_id</t>
        </is>
      </c>
      <c r="C184" t="inlineStr">
        <is>
          <t>Required</t>
        </is>
      </c>
      <c r="D184" t="inlineStr">
        <is>
          <t>ref</t>
        </is>
      </c>
      <c r="E184" s="4" t="inlineStr">
        <is>
          <t>an ID from Customers</t>
        </is>
      </c>
      <c r="F184" t="inlineStr">
        <is>
          <t>Service.customerId</t>
        </is>
      </c>
      <c r="G184" s="4" t="inlineStr"/>
      <c r="H184" t="inlineStr">
        <is>
          <t>CUST-001</t>
        </is>
      </c>
    </row>
    <row r="185">
      <c r="A185" t="inlineStr">
        <is>
          <t>Services</t>
        </is>
      </c>
      <c r="B185" t="inlineStr">
        <is>
          <t>type</t>
        </is>
      </c>
      <c r="C185" t="inlineStr">
        <is>
          <t>Required</t>
        </is>
      </c>
      <c r="D185" t="inlineStr">
        <is>
          <t>list</t>
        </is>
      </c>
      <c r="E185" s="4" t="inlineStr">
        <is>
          <t>Cabinet lease, Power circuit, Cross-connect, Remote hands, Reserved cluster, On-demand GPUs, CPU instances, VM, Storage volume, Managed DB, GPU cluster, Kubernetes, IRV, Leased Line, L2VPN, L3VPN, Core application, Database, Collaboration, Analytics, Backup &amp; DR, AI platform, Other</t>
        </is>
      </c>
      <c r="F185" t="inlineStr">
        <is>
          <t>Service.type</t>
        </is>
      </c>
      <c r="G185" s="4" t="inlineStr"/>
      <c r="H185" t="inlineStr">
        <is>
          <t>Cabinet lease</t>
        </is>
      </c>
    </row>
    <row r="186">
      <c r="A186" t="inlineStr">
        <is>
          <t>Services</t>
        </is>
      </c>
      <c r="B186" t="inlineStr">
        <is>
          <t>site_id</t>
        </is>
      </c>
      <c r="C186" t="inlineStr">
        <is>
          <t>Required</t>
        </is>
      </c>
      <c r="D186" t="inlineStr">
        <is>
          <t>ref</t>
        </is>
      </c>
      <c r="E186" s="4" t="inlineStr">
        <is>
          <t>an ID from Sites</t>
        </is>
      </c>
      <c r="F186" t="inlineStr">
        <is>
          <t>Service.dcId</t>
        </is>
      </c>
      <c r="G186" s="4" t="inlineStr"/>
      <c r="H186" t="inlineStr">
        <is>
          <t>MP-DC-001</t>
        </is>
      </c>
    </row>
    <row r="187">
      <c r="A187" t="inlineStr">
        <is>
          <t>Services</t>
        </is>
      </c>
      <c r="B187" t="inlineStr">
        <is>
          <t>device_id</t>
        </is>
      </c>
      <c r="C187" t="inlineStr">
        <is>
          <t>Conditional</t>
        </is>
      </c>
      <c r="D187" t="inlineStr">
        <is>
          <t>ref</t>
        </is>
      </c>
      <c r="E187" s="4" t="inlineStr">
        <is>
          <t>an ID from Devices</t>
        </is>
      </c>
      <c r="F187" t="inlineStr">
        <is>
          <t>Service.neId</t>
        </is>
      </c>
      <c r="G187" s="4" t="inlineStr">
        <is>
          <t>The device the service is delivered on (port, GPU node, MMR switch…).</t>
        </is>
      </c>
      <c r="H187" t="inlineStr">
        <is>
          <t>MP-DC-001-MMR-SW-01</t>
        </is>
      </c>
    </row>
    <row r="188">
      <c r="A188" t="inlineStr">
        <is>
          <t>Services</t>
        </is>
      </c>
      <c r="B188" t="inlineStr">
        <is>
          <t>if_name</t>
        </is>
      </c>
      <c r="C188" t="inlineStr">
        <is>
          <t>Optional</t>
        </is>
      </c>
      <c r="D188" t="inlineStr">
        <is>
          <t>text</t>
        </is>
      </c>
      <c r="E188" s="4" t="inlineStr"/>
      <c r="F188" t="inlineStr">
        <is>
          <t>Service.ifName</t>
        </is>
      </c>
      <c r="G188" s="4" t="inlineStr">
        <is>
          <t>Hand-off port for circuits and cross-connects.</t>
        </is>
      </c>
      <c r="H188" t="inlineStr">
        <is>
          <t>Ethernet1</t>
        </is>
      </c>
    </row>
    <row r="189">
      <c r="A189" t="inlineStr">
        <is>
          <t>Services</t>
        </is>
      </c>
      <c r="B189" t="inlineStr">
        <is>
          <t>rack_ids</t>
        </is>
      </c>
      <c r="C189" t="inlineStr">
        <is>
          <t>Conditional</t>
        </is>
      </c>
      <c r="D189" t="inlineStr">
        <is>
          <t>text</t>
        </is>
      </c>
      <c r="E189" s="4" t="inlineStr"/>
      <c r="F189" t="inlineStr">
        <is>
          <t>Service path (racks)</t>
        </is>
      </c>
      <c r="G189" s="4" t="inlineStr">
        <is>
          <t>Cabinet leases / power circuits: rack ids, separated by ";".</t>
        </is>
      </c>
      <c r="H189" t="inlineStr">
        <is>
          <t>MP-DC-001-A02;MP-DC-001-A03</t>
        </is>
      </c>
    </row>
    <row r="190">
      <c r="A190" t="inlineStr">
        <is>
          <t>Services</t>
        </is>
      </c>
      <c r="B190" t="inlineStr">
        <is>
          <t>gpu_node_ids</t>
        </is>
      </c>
      <c r="C190" t="inlineStr">
        <is>
          <t>Conditional</t>
        </is>
      </c>
      <c r="D190" t="inlineStr">
        <is>
          <t>text</t>
        </is>
      </c>
      <c r="E190" s="4" t="inlineStr"/>
      <c r="F190" t="inlineStr">
        <is>
          <t>Service.path (job nodes)</t>
        </is>
      </c>
      <c r="G190" s="4" t="inlineStr">
        <is>
          <t>GPU services: GPU node device ids, separated by ";".</t>
        </is>
      </c>
      <c r="H190" t="inlineStr">
        <is>
          <t>TN-DC-002-GPU-001;TN-DC-002-GPU-002;TN-DC-002-GPU-003;TN-DC-002-GPU-004</t>
        </is>
      </c>
    </row>
    <row r="191">
      <c r="A191" t="inlineStr">
        <is>
          <t>Services</t>
        </is>
      </c>
      <c r="B191" t="inlineStr">
        <is>
          <t>qty</t>
        </is>
      </c>
      <c r="C191" t="inlineStr">
        <is>
          <t>Required</t>
        </is>
      </c>
      <c r="D191" t="inlineStr">
        <is>
          <t>decimal</t>
        </is>
      </c>
      <c r="E191" s="4" t="inlineStr"/>
      <c r="F191" t="inlineStr">
        <is>
          <t>Service.qty</t>
        </is>
      </c>
      <c r="G191" s="4" t="inlineStr"/>
      <c r="H191" t="inlineStr">
        <is>
          <t>2</t>
        </is>
      </c>
    </row>
    <row r="192">
      <c r="A192" t="inlineStr">
        <is>
          <t>Services</t>
        </is>
      </c>
      <c r="B192" t="inlineStr">
        <is>
          <t>unit</t>
        </is>
      </c>
      <c r="C192" t="inlineStr">
        <is>
          <t>Required</t>
        </is>
      </c>
      <c r="D192" t="inlineStr">
        <is>
          <t>list</t>
        </is>
      </c>
      <c r="E192" s="4" t="inlineStr">
        <is>
          <t>cabinets, kW, Mbps, hours, GPU, vCPU, TB, users</t>
        </is>
      </c>
      <c r="F192" t="inlineStr">
        <is>
          <t>Service.unit</t>
        </is>
      </c>
      <c r="G192" s="4" t="inlineStr"/>
      <c r="H192" t="inlineStr">
        <is>
          <t>cabinets</t>
        </is>
      </c>
    </row>
    <row r="193">
      <c r="A193" t="inlineStr">
        <is>
          <t>Services</t>
        </is>
      </c>
      <c r="B193" t="inlineStr">
        <is>
          <t>bandwidth_mbps</t>
        </is>
      </c>
      <c r="C193" t="inlineStr">
        <is>
          <t>Optional</t>
        </is>
      </c>
      <c r="D193" t="inlineStr">
        <is>
          <t>integer</t>
        </is>
      </c>
      <c r="E193" s="4" t="inlineStr"/>
      <c r="F193" t="inlineStr">
        <is>
          <t>Service.bandwidthMbps</t>
        </is>
      </c>
      <c r="G193" s="4" t="inlineStr">
        <is>
          <t>Circuits and cross-connects.</t>
        </is>
      </c>
      <c r="H193" t="inlineStr">
        <is>
          <t>10000</t>
        </is>
      </c>
    </row>
    <row r="194">
      <c r="A194" t="inlineStr">
        <is>
          <t>Services</t>
        </is>
      </c>
      <c r="B194" t="inlineStr">
        <is>
          <t>sla_target_pct</t>
        </is>
      </c>
      <c r="C194" t="inlineStr">
        <is>
          <t>Required</t>
        </is>
      </c>
      <c r="D194" t="inlineStr">
        <is>
          <t>decimal</t>
        </is>
      </c>
      <c r="E194" s="4" t="inlineStr"/>
      <c r="F194" t="inlineStr">
        <is>
          <t>Service.slaTarget</t>
        </is>
      </c>
      <c r="G194" s="4" t="inlineStr">
        <is>
          <t>For example 99.95.</t>
        </is>
      </c>
      <c r="H194" t="inlineStr">
        <is>
          <t>99.95</t>
        </is>
      </c>
    </row>
    <row r="195">
      <c r="A195" t="inlineStr">
        <is>
          <t>Services</t>
        </is>
      </c>
      <c r="B195" t="inlineStr">
        <is>
          <t>monthly_revenue</t>
        </is>
      </c>
      <c r="C195" t="inlineStr">
        <is>
          <t>Required</t>
        </is>
      </c>
      <c r="D195" t="inlineStr">
        <is>
          <t>decimal</t>
        </is>
      </c>
      <c r="E195" s="4" t="inlineStr"/>
      <c r="F195" t="inlineStr">
        <is>
          <t>Service.revenueMonthly</t>
        </is>
      </c>
      <c r="G195" s="4" t="inlineStr">
        <is>
          <t>Monthly charge in the site currency (₹).</t>
        </is>
      </c>
      <c r="H195" t="inlineStr">
        <is>
          <t>170000</t>
        </is>
      </c>
    </row>
    <row r="196">
      <c r="A196" t="inlineStr">
        <is>
          <t>Services</t>
        </is>
      </c>
      <c r="B196" t="inlineStr">
        <is>
          <t>critical</t>
        </is>
      </c>
      <c r="C196" t="inlineStr">
        <is>
          <t>Required</t>
        </is>
      </c>
      <c r="D196" t="inlineStr">
        <is>
          <t>list</t>
        </is>
      </c>
      <c r="E196" s="4" t="inlineStr">
        <is>
          <t>Y, N</t>
        </is>
      </c>
      <c r="F196" t="inlineStr">
        <is>
          <t>Service.critical</t>
        </is>
      </c>
      <c r="G196" s="4" t="inlineStr">
        <is>
          <t>Y = business-critical for the customer.</t>
        </is>
      </c>
      <c r="H196" t="inlineStr">
        <is>
          <t>N</t>
        </is>
      </c>
    </row>
    <row r="197">
      <c r="A197" t="inlineStr">
        <is>
          <t>Services</t>
        </is>
      </c>
      <c r="B197" t="inlineStr">
        <is>
          <t>start_date</t>
        </is>
      </c>
      <c r="C197" t="inlineStr">
        <is>
          <t>Optional</t>
        </is>
      </c>
      <c r="D197" t="inlineStr">
        <is>
          <t>date</t>
        </is>
      </c>
      <c r="E197" s="4" t="inlineStr"/>
      <c r="F197" t="inlineStr">
        <is>
          <t>(reference only)</t>
        </is>
      </c>
      <c r="G197" s="4" t="inlineStr"/>
      <c r="H197" t="inlineStr">
        <is>
          <t>2025-04-01</t>
        </is>
      </c>
    </row>
    <row r="198">
      <c r="A198" t="inlineStr">
        <is>
          <t>Collectors</t>
        </is>
      </c>
      <c r="B198" t="inlineStr">
        <is>
          <t>collector_id</t>
        </is>
      </c>
      <c r="C198" t="inlineStr">
        <is>
          <t>Required</t>
        </is>
      </c>
      <c r="D198" t="inlineStr">
        <is>
          <t>text</t>
        </is>
      </c>
      <c r="E198" s="4" t="inlineStr"/>
      <c r="F198" t="inlineStr">
        <is>
          <t>collectors[].id</t>
        </is>
      </c>
      <c r="G198" s="4" t="inlineStr"/>
      <c r="H198" t="inlineStr">
        <is>
          <t>COL-MP-DC-001-NET</t>
        </is>
      </c>
    </row>
    <row r="199">
      <c r="A199" t="inlineStr">
        <is>
          <t>Collectors</t>
        </is>
      </c>
      <c r="B199" t="inlineStr">
        <is>
          <t>site_id</t>
        </is>
      </c>
      <c r="C199" t="inlineStr">
        <is>
          <t>Required</t>
        </is>
      </c>
      <c r="D199" t="inlineStr">
        <is>
          <t>ref</t>
        </is>
      </c>
      <c r="E199" s="4" t="inlineStr">
        <is>
          <t>an ID from Sites</t>
        </is>
      </c>
      <c r="F199" t="inlineStr">
        <is>
          <t>Datacenter.id</t>
        </is>
      </c>
      <c r="G199" s="4" t="inlineStr"/>
      <c r="H199" t="inlineStr">
        <is>
          <t>MP-DC-001</t>
        </is>
      </c>
    </row>
    <row r="200">
      <c r="A200" t="inlineStr">
        <is>
          <t>Collectors</t>
        </is>
      </c>
      <c r="B200" t="inlineStr">
        <is>
          <t>name</t>
        </is>
      </c>
      <c r="C200" t="inlineStr">
        <is>
          <t>Required</t>
        </is>
      </c>
      <c r="D200" t="inlineStr">
        <is>
          <t>text</t>
        </is>
      </c>
      <c r="E200" s="4" t="inlineStr"/>
      <c r="F200" t="inlineStr">
        <is>
          <t>collectors[].name</t>
        </is>
      </c>
      <c r="G200" s="4" t="inlineStr"/>
      <c r="H200" t="inlineStr">
        <is>
          <t>Indore network poller</t>
        </is>
      </c>
    </row>
    <row r="201">
      <c r="A201" t="inlineStr">
        <is>
          <t>Collectors</t>
        </is>
      </c>
      <c r="B201" t="inlineStr">
        <is>
          <t>protocol</t>
        </is>
      </c>
      <c r="C201" t="inlineStr">
        <is>
          <t>Required</t>
        </is>
      </c>
      <c r="D201" t="inlineStr">
        <is>
          <t>list</t>
        </is>
      </c>
      <c r="E201" s="4" t="inlineStr">
        <is>
          <t>SNMP, gNMI, Redfish, DCGM exporter, Modbus TCP, BACnet, Syslog</t>
        </is>
      </c>
      <c r="F201" t="inlineStr">
        <is>
          <t>(integration)</t>
        </is>
      </c>
      <c r="G201" s="4" t="inlineStr"/>
      <c r="H201" t="inlineStr">
        <is>
          <t>SNMP</t>
        </is>
      </c>
    </row>
    <row r="202">
      <c r="A202" t="inlineStr">
        <is>
          <t>Collectors</t>
        </is>
      </c>
      <c r="B202" t="inlineStr">
        <is>
          <t>domain</t>
        </is>
      </c>
      <c r="C202" t="inlineStr">
        <is>
          <t>Required</t>
        </is>
      </c>
      <c r="D202" t="inlineStr">
        <is>
          <t>list</t>
        </is>
      </c>
      <c r="E202" s="4" t="inlineStr">
        <is>
          <t>Network, Facility, Compute, GPU</t>
        </is>
      </c>
      <c r="F202" t="inlineStr">
        <is>
          <t>(integration)</t>
        </is>
      </c>
      <c r="G202" s="4" t="inlineStr">
        <is>
          <t>Network, Facility (BMS / EPMS), Compute (BMC), GPU (DCGM).</t>
        </is>
      </c>
      <c r="H202" t="inlineStr">
        <is>
          <t>Network</t>
        </is>
      </c>
    </row>
    <row r="203">
      <c r="A203" t="inlineStr">
        <is>
          <t>Collectors</t>
        </is>
      </c>
      <c r="B203" t="inlineStr">
        <is>
          <t>host_ip</t>
        </is>
      </c>
      <c r="C203" t="inlineStr">
        <is>
          <t>Optional</t>
        </is>
      </c>
      <c r="D203" t="inlineStr">
        <is>
          <t>ip</t>
        </is>
      </c>
      <c r="E203" s="4" t="inlineStr"/>
      <c r="F203" t="inlineStr">
        <is>
          <t>(integration)</t>
        </is>
      </c>
      <c r="G203" s="4" t="inlineStr"/>
      <c r="H203" t="inlineStr">
        <is>
          <t>10.10.0.10</t>
        </is>
      </c>
    </row>
    <row r="204">
      <c r="A204" t="inlineStr">
        <is>
          <t>Collectors</t>
        </is>
      </c>
      <c r="B204" t="inlineStr">
        <is>
          <t>covers</t>
        </is>
      </c>
      <c r="C204" t="inlineStr">
        <is>
          <t>Optional</t>
        </is>
      </c>
      <c r="D204" t="inlineStr">
        <is>
          <t>text</t>
        </is>
      </c>
      <c r="E204" s="4" t="inlineStr"/>
      <c r="F204" t="inlineStr">
        <is>
          <t>(integration)</t>
        </is>
      </c>
      <c r="G204" s="4" t="inlineStr">
        <is>
          <t>What it polls.</t>
        </is>
      </c>
      <c r="H204" t="inlineStr">
        <is>
          <t>Routers, firewalls, switches (SNMP v3 + LLDP)</t>
        </is>
      </c>
    </row>
  </sheetData>
  <autoFilter ref="A1:H20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  <col width="21" customWidth="1" min="25" max="25"/>
    <col width="14" customWidth="1" min="26" max="26"/>
    <col width="14" customWidth="1" min="27" max="27"/>
    <col width="14" customWidth="1" min="28" max="28"/>
    <col width="18" customWidth="1" min="29" max="29"/>
    <col width="14" customWidth="1" min="30" max="30"/>
    <col width="20" customWidth="1" min="31" max="31"/>
    <col width="18" customWidth="1" min="32" max="32"/>
  </cols>
  <sheetData>
    <row r="1">
      <c r="A1" s="5" t="inlineStr">
        <is>
          <t>business_model</t>
        </is>
      </c>
      <c r="B1" s="5" t="inlineStr">
        <is>
          <t>site_status</t>
        </is>
      </c>
      <c r="C1" s="5" t="inlineStr">
        <is>
          <t>tier</t>
        </is>
      </c>
      <c r="D1" s="5" t="inlineStr">
        <is>
          <t>site_category</t>
        </is>
      </c>
      <c r="E1" s="5" t="inlineStr">
        <is>
          <t>redundancy</t>
        </is>
      </c>
      <c r="F1" s="5" t="inlineStr">
        <is>
          <t>room_type</t>
        </is>
      </c>
      <c r="G1" s="5" t="inlineStr">
        <is>
          <t>containment</t>
        </is>
      </c>
      <c r="H1" s="5" t="inlineStr">
        <is>
          <t>cooling_method</t>
        </is>
      </c>
      <c r="I1" s="5" t="inlineStr">
        <is>
          <t>rack_role</t>
        </is>
      </c>
      <c r="J1" s="5" t="inlineStr">
        <is>
          <t>owner</t>
        </is>
      </c>
      <c r="K1" s="5" t="inlineStr">
        <is>
          <t>density</t>
        </is>
      </c>
      <c r="L1" s="5" t="inlineStr">
        <is>
          <t>yes_no</t>
        </is>
      </c>
      <c r="M1" s="5" t="inlineStr">
        <is>
          <t>feed_type</t>
        </is>
      </c>
      <c r="N1" s="5" t="inlineStr">
        <is>
          <t>feed_role</t>
        </is>
      </c>
      <c r="O1" s="5" t="inlineStr">
        <is>
          <t>plant_kind</t>
        </is>
      </c>
      <c r="P1" s="5" t="inlineStr">
        <is>
          <t>test_result</t>
        </is>
      </c>
      <c r="Q1" s="5" t="inlineStr">
        <is>
          <t>cooling_type</t>
        </is>
      </c>
      <c r="R1" s="5" t="inlineStr">
        <is>
          <t>sensor_kind</t>
        </is>
      </c>
      <c r="S1" s="5" t="inlineStr">
        <is>
          <t>device_role</t>
        </is>
      </c>
      <c r="T1" s="5" t="inlineStr">
        <is>
          <t>layer</t>
        </is>
      </c>
      <c r="U1" s="5" t="inlineStr">
        <is>
          <t>lifecycle</t>
        </is>
      </c>
      <c r="V1" s="5" t="inlineStr">
        <is>
          <t>if_admin</t>
        </is>
      </c>
      <c r="W1" s="5" t="inlineStr">
        <is>
          <t>link_role</t>
        </is>
      </c>
      <c r="X1" s="5" t="inlineStr">
        <is>
          <t>protocol</t>
        </is>
      </c>
      <c r="Y1" s="5" t="inlineStr">
        <is>
          <t>gpu_model</t>
        </is>
      </c>
      <c r="Z1" s="5" t="inlineStr">
        <is>
          <t>gpu_vendor</t>
        </is>
      </c>
      <c r="AA1" s="5" t="inlineStr">
        <is>
          <t>scheduler</t>
        </is>
      </c>
      <c r="AB1" s="5" t="inlineStr">
        <is>
          <t>air_liquid</t>
        </is>
      </c>
      <c r="AC1" s="5" t="inlineStr">
        <is>
          <t>service_type</t>
        </is>
      </c>
      <c r="AD1" s="5" t="inlineStr">
        <is>
          <t>service_unit</t>
        </is>
      </c>
      <c r="AE1" s="5" t="inlineStr">
        <is>
          <t>collector_protocol</t>
        </is>
      </c>
      <c r="AF1" s="5" t="inlineStr">
        <is>
          <t>collector_domain</t>
        </is>
      </c>
    </row>
    <row r="2">
      <c r="A2" t="inlineStr">
        <is>
          <t>colocation</t>
        </is>
      </c>
      <c r="B2" t="inlineStr">
        <is>
          <t>on-air</t>
        </is>
      </c>
      <c r="C2" t="inlineStr">
        <is>
          <t>Tier II</t>
        </is>
      </c>
      <c r="D2" t="inlineStr">
        <is>
          <t>Central</t>
        </is>
      </c>
      <c r="E2" t="inlineStr">
        <is>
          <t>N</t>
        </is>
      </c>
      <c r="F2" t="inlineStr">
        <is>
          <t>Data hall</t>
        </is>
      </c>
      <c r="G2" t="inlineStr">
        <is>
          <t>Cold aisle</t>
        </is>
      </c>
      <c r="H2" t="inlineStr">
        <is>
          <t>Air</t>
        </is>
      </c>
      <c r="I2" t="inlineStr">
        <is>
          <t>Core</t>
        </is>
      </c>
      <c r="J2" t="inlineStr">
        <is>
          <t>operator</t>
        </is>
      </c>
      <c r="K2" t="inlineStr">
        <is>
          <t>standard</t>
        </is>
      </c>
      <c r="L2" t="inlineStr">
        <is>
          <t>Y</t>
        </is>
      </c>
      <c r="M2" t="inlineStr">
        <is>
          <t>AC</t>
        </is>
      </c>
      <c r="N2" t="inlineStr">
        <is>
          <t>Active</t>
        </is>
      </c>
      <c r="O2" t="inlineStr">
        <is>
          <t>Rectifier</t>
        </is>
      </c>
      <c r="P2" t="inlineStr">
        <is>
          <t>Pass</t>
        </is>
      </c>
      <c r="Q2" t="inlineStr">
        <is>
          <t>CRAH</t>
        </is>
      </c>
      <c r="R2" t="inlineStr">
        <is>
          <t>Temperature + humidity</t>
        </is>
      </c>
      <c r="S2" t="inlineStr">
        <is>
          <t>Router</t>
        </is>
      </c>
      <c r="T2" t="inlineStr">
        <is>
          <t>core</t>
        </is>
      </c>
      <c r="U2" t="inlineStr">
        <is>
          <t>Ready</t>
        </is>
      </c>
      <c r="V2" t="inlineStr">
        <is>
          <t>up</t>
        </is>
      </c>
      <c r="W2" t="inlineStr">
        <is>
          <t>Fabric</t>
        </is>
      </c>
      <c r="X2" t="inlineStr">
        <is>
          <t>LLDP</t>
        </is>
      </c>
      <c r="Y2" t="inlineStr">
        <is>
          <t>B200 SXM 192 GB</t>
        </is>
      </c>
      <c r="Z2" t="inlineStr">
        <is>
          <t>NVIDIA</t>
        </is>
      </c>
      <c r="AA2" t="inlineStr">
        <is>
          <t>Kubernetes</t>
        </is>
      </c>
      <c r="AB2" t="inlineStr">
        <is>
          <t>air</t>
        </is>
      </c>
      <c r="AC2" t="inlineStr">
        <is>
          <t>Cabinet lease</t>
        </is>
      </c>
      <c r="AD2" t="inlineStr">
        <is>
          <t>cabinets</t>
        </is>
      </c>
      <c r="AE2" t="inlineStr">
        <is>
          <t>SNMP</t>
        </is>
      </c>
      <c r="AF2" t="inlineStr">
        <is>
          <t>Network</t>
        </is>
      </c>
    </row>
    <row r="3">
      <c r="A3" t="inlineStr">
        <is>
          <t>neocloud</t>
        </is>
      </c>
      <c r="B3" t="inlineStr">
        <is>
          <t>in-progress</t>
        </is>
      </c>
      <c r="C3" t="inlineStr">
        <is>
          <t>Tier III</t>
        </is>
      </c>
      <c r="D3" t="inlineStr">
        <is>
          <t>Regional</t>
        </is>
      </c>
      <c r="E3" t="inlineStr">
        <is>
          <t>N+1</t>
        </is>
      </c>
      <c r="F3" t="inlineStr">
        <is>
          <t>AI hall</t>
        </is>
      </c>
      <c r="G3" t="inlineStr">
        <is>
          <t>Hot aisle</t>
        </is>
      </c>
      <c r="H3" t="inlineStr">
        <is>
          <t>Liquid</t>
        </is>
      </c>
      <c r="I3" t="inlineStr">
        <is>
          <t>Meet-me room</t>
        </is>
      </c>
      <c r="J3" t="inlineStr">
        <is>
          <t>tenant</t>
        </is>
      </c>
      <c r="K3" t="inlineStr">
        <is>
          <t>ai</t>
        </is>
      </c>
      <c r="L3" t="inlineStr">
        <is>
          <t>N</t>
        </is>
      </c>
      <c r="M3" t="inlineStr">
        <is>
          <t>DC</t>
        </is>
      </c>
      <c r="N3" t="inlineStr">
        <is>
          <t>Standby</t>
        </is>
      </c>
      <c r="O3" t="inlineStr">
        <is>
          <t>Battery bank</t>
        </is>
      </c>
      <c r="P3" t="inlineStr">
        <is>
          <t>Fail</t>
        </is>
      </c>
      <c r="Q3" t="inlineStr">
        <is>
          <t>CRAC</t>
        </is>
      </c>
      <c r="R3" t="inlineStr">
        <is>
          <t>Leak</t>
        </is>
      </c>
      <c r="S3" t="inlineStr">
        <is>
          <t>Switch</t>
        </is>
      </c>
      <c r="T3" t="inlineStr">
        <is>
          <t>spine</t>
        </is>
      </c>
      <c r="U3" t="inlineStr">
        <is>
          <t>Planned</t>
        </is>
      </c>
      <c r="V3" t="inlineStr">
        <is>
          <t>admin-down</t>
        </is>
      </c>
      <c r="W3" t="inlineStr">
        <is>
          <t>Uplink</t>
        </is>
      </c>
      <c r="X3" t="inlineStr">
        <is>
          <t>OSPF</t>
        </is>
      </c>
      <c r="Y3" t="inlineStr">
        <is>
          <t>H200 SXM 141 GB</t>
        </is>
      </c>
      <c r="Z3" t="inlineStr">
        <is>
          <t>Intel</t>
        </is>
      </c>
      <c r="AA3" t="inlineStr">
        <is>
          <t>Slurm</t>
        </is>
      </c>
      <c r="AB3" t="inlineStr">
        <is>
          <t>liquid</t>
        </is>
      </c>
      <c r="AC3" t="inlineStr">
        <is>
          <t>Power circuit</t>
        </is>
      </c>
      <c r="AD3" t="inlineStr">
        <is>
          <t>kW</t>
        </is>
      </c>
      <c r="AE3" t="inlineStr">
        <is>
          <t>gNMI</t>
        </is>
      </c>
      <c r="AF3" t="inlineStr">
        <is>
          <t>Facility</t>
        </is>
      </c>
    </row>
    <row r="4">
      <c r="A4" t="inlineStr">
        <is>
          <t>cloud</t>
        </is>
      </c>
      <c r="B4" t="inlineStr">
        <is>
          <t>planned</t>
        </is>
      </c>
      <c r="C4" t="inlineStr">
        <is>
          <t>Tier IV</t>
        </is>
      </c>
      <c r="D4" t="inlineStr">
        <is>
          <t>Edge</t>
        </is>
      </c>
      <c r="E4" t="inlineStr">
        <is>
          <t>2N</t>
        </is>
      </c>
      <c r="F4" t="inlineStr">
        <is>
          <t>Meet-me room</t>
        </is>
      </c>
      <c r="G4" t="inlineStr">
        <is>
          <t>None</t>
        </is>
      </c>
      <c r="H4" t="inlineStr">
        <is>
          <t>Hybrid</t>
        </is>
      </c>
      <c r="I4" t="inlineStr">
        <is>
          <t>Network</t>
        </is>
      </c>
      <c r="Q4" t="inlineStr">
        <is>
          <t>CDU</t>
        </is>
      </c>
      <c r="R4" t="inlineStr">
        <is>
          <t>Smoke</t>
        </is>
      </c>
      <c r="S4" t="inlineStr">
        <is>
          <t>DWDM</t>
        </is>
      </c>
      <c r="T4" t="inlineStr">
        <is>
          <t>leaf</t>
        </is>
      </c>
      <c r="U4" t="inlineStr">
        <is>
          <t>Maintenance</t>
        </is>
      </c>
      <c r="V4" t="inlineStr">
        <is>
          <t>reserved</t>
        </is>
      </c>
      <c r="W4" t="inlineStr">
        <is>
          <t>Backhaul</t>
        </is>
      </c>
      <c r="X4" t="inlineStr">
        <is>
          <t>BGP</t>
        </is>
      </c>
      <c r="Y4" t="inlineStr">
        <is>
          <t>H100 SXM 80 GB</t>
        </is>
      </c>
      <c r="AC4" t="inlineStr">
        <is>
          <t>Cross-connect</t>
        </is>
      </c>
      <c r="AD4" t="inlineStr">
        <is>
          <t>Mbps</t>
        </is>
      </c>
      <c r="AE4" t="inlineStr">
        <is>
          <t>Redfish</t>
        </is>
      </c>
      <c r="AF4" t="inlineStr">
        <is>
          <t>Compute</t>
        </is>
      </c>
    </row>
    <row r="5">
      <c r="A5" t="inlineStr">
        <is>
          <t>enterprise</t>
        </is>
      </c>
      <c r="B5" t="inlineStr">
        <is>
          <t>failed</t>
        </is>
      </c>
      <c r="F5" t="inlineStr">
        <is>
          <t>Network room</t>
        </is>
      </c>
      <c r="I5" t="inlineStr">
        <is>
          <t>Aggregation</t>
        </is>
      </c>
      <c r="S5" t="inlineStr">
        <is>
          <t>Firewall</t>
        </is>
      </c>
      <c r="T5" t="inlineStr">
        <is>
          <t>access</t>
        </is>
      </c>
      <c r="U5" t="inlineStr">
        <is>
          <t>Decommissioning</t>
        </is>
      </c>
      <c r="W5" t="inlineStr">
        <is>
          <t>Peering</t>
        </is>
      </c>
      <c r="X5" t="inlineStr">
        <is>
          <t>ISIS</t>
        </is>
      </c>
      <c r="Y5" t="inlineStr">
        <is>
          <t>A100 SXM 80 GB</t>
        </is>
      </c>
      <c r="AC5" t="inlineStr">
        <is>
          <t>Remote hands</t>
        </is>
      </c>
      <c r="AD5" t="inlineStr">
        <is>
          <t>hours</t>
        </is>
      </c>
      <c r="AE5" t="inlineStr">
        <is>
          <t>DCGM exporter</t>
        </is>
      </c>
      <c r="AF5" t="inlineStr">
        <is>
          <t>GPU</t>
        </is>
      </c>
    </row>
    <row r="6">
      <c r="A6" t="inlineStr">
        <is>
          <t>network</t>
        </is>
      </c>
      <c r="F6" t="inlineStr">
        <is>
          <t>Plant room</t>
        </is>
      </c>
      <c r="I6" t="inlineStr">
        <is>
          <t>Compute</t>
        </is>
      </c>
      <c r="S6" t="inlineStr">
        <is>
          <t>Access</t>
        </is>
      </c>
      <c r="W6" t="inlineStr">
        <is>
          <t>Access</t>
        </is>
      </c>
      <c r="X6" t="inlineStr">
        <is>
          <t>LSP</t>
        </is>
      </c>
      <c r="Y6" t="inlineStr">
        <is>
          <t>L40S PCIe 48 GB</t>
        </is>
      </c>
      <c r="AC6" t="inlineStr">
        <is>
          <t>Reserved cluster</t>
        </is>
      </c>
      <c r="AD6" t="inlineStr">
        <is>
          <t>GPU</t>
        </is>
      </c>
      <c r="AE6" t="inlineStr">
        <is>
          <t>Modbus TCP</t>
        </is>
      </c>
    </row>
    <row r="7">
      <c r="F7" t="inlineStr">
        <is>
          <t>UPS room</t>
        </is>
      </c>
      <c r="I7" t="inlineStr">
        <is>
          <t>Storage</t>
        </is>
      </c>
      <c r="S7" t="inlineStr">
        <is>
          <t>Server</t>
        </is>
      </c>
      <c r="Y7" t="inlineStr">
        <is>
          <t>T4 PCIe 16 GB</t>
        </is>
      </c>
      <c r="AC7" t="inlineStr">
        <is>
          <t>On-demand GPUs</t>
        </is>
      </c>
      <c r="AD7" t="inlineStr">
        <is>
          <t>vCPU</t>
        </is>
      </c>
      <c r="AE7" t="inlineStr">
        <is>
          <t>BACnet</t>
        </is>
      </c>
    </row>
    <row r="8">
      <c r="F8" t="inlineStr">
        <is>
          <t>Battery room</t>
        </is>
      </c>
      <c r="I8" t="inlineStr">
        <is>
          <t>GPU</t>
        </is>
      </c>
      <c r="S8" t="inlineStr">
        <is>
          <t>Storage</t>
        </is>
      </c>
      <c r="Y8" t="inlineStr">
        <is>
          <t>Gaudi 3 OAM 128 GB</t>
        </is>
      </c>
      <c r="AC8" t="inlineStr">
        <is>
          <t>CPU instances</t>
        </is>
      </c>
      <c r="AD8" t="inlineStr">
        <is>
          <t>TB</t>
        </is>
      </c>
      <c r="AE8" t="inlineStr">
        <is>
          <t>Syslog</t>
        </is>
      </c>
    </row>
    <row r="9">
      <c r="F9" t="inlineStr">
        <is>
          <t>NOC</t>
        </is>
      </c>
      <c r="I9" t="inlineStr">
        <is>
          <t>Tenant</t>
        </is>
      </c>
      <c r="S9" t="inlineStr">
        <is>
          <t>GPU</t>
        </is>
      </c>
      <c r="Y9" t="inlineStr">
        <is>
          <t>Max 1550 OAM 128 GB</t>
        </is>
      </c>
      <c r="AC9" t="inlineStr">
        <is>
          <t>VM</t>
        </is>
      </c>
      <c r="AD9" t="inlineStr">
        <is>
          <t>users</t>
        </is>
      </c>
    </row>
    <row r="10">
      <c r="I10" t="inlineStr">
        <is>
          <t>AI cage</t>
        </is>
      </c>
      <c r="S10" t="inlineStr">
        <is>
          <t>Tenant gear</t>
        </is>
      </c>
      <c r="AC10" t="inlineStr">
        <is>
          <t>Storage volume</t>
        </is>
      </c>
    </row>
    <row r="11">
      <c r="AC11" t="inlineStr">
        <is>
          <t>Managed DB</t>
        </is>
      </c>
    </row>
    <row r="12">
      <c r="AC12" t="inlineStr">
        <is>
          <t>GPU cluster</t>
        </is>
      </c>
    </row>
    <row r="13">
      <c r="AC13" t="inlineStr">
        <is>
          <t>Kubernetes</t>
        </is>
      </c>
    </row>
    <row r="14">
      <c r="AC14" t="inlineStr">
        <is>
          <t>IRV</t>
        </is>
      </c>
    </row>
    <row r="15">
      <c r="AC15" t="inlineStr">
        <is>
          <t>Leased Line</t>
        </is>
      </c>
    </row>
    <row r="16">
      <c r="AC16" t="inlineStr">
        <is>
          <t>L2VPN</t>
        </is>
      </c>
    </row>
    <row r="17">
      <c r="AC17" t="inlineStr">
        <is>
          <t>L3VPN</t>
        </is>
      </c>
    </row>
    <row r="18">
      <c r="AC18" t="inlineStr">
        <is>
          <t>Core application</t>
        </is>
      </c>
    </row>
    <row r="19">
      <c r="AC19" t="inlineStr">
        <is>
          <t>Database</t>
        </is>
      </c>
    </row>
    <row r="20">
      <c r="AC20" t="inlineStr">
        <is>
          <t>Collaboration</t>
        </is>
      </c>
    </row>
    <row r="21">
      <c r="AC21" t="inlineStr">
        <is>
          <t>Analytics</t>
        </is>
      </c>
    </row>
    <row r="22">
      <c r="AC22" t="inlineStr">
        <is>
          <t>Backup &amp; DR</t>
        </is>
      </c>
    </row>
    <row r="23">
      <c r="AC23" t="inlineStr">
        <is>
          <t>AI platform</t>
        </is>
      </c>
    </row>
    <row r="24">
      <c r="AC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2026-10-12T13:21:10Z</dcterms:created>
  <dcterms:modified xsi:type="dcterms:W3CDTF">2026-10-12T13:21:10Z</dcterms:modified>
</cp:coreProperties>
</file>