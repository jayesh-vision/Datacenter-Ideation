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comments/comment8.xml" ContentType="application/vnd.openxmlformats-officedocument.spreadsheetml.comments+xml"/>
  <Override PartName="/xl/worksheets/sheet11.xml" ContentType="application/vnd.openxmlformats-officedocument.spreadsheetml.worksheet+xml"/>
  <Override PartName="/xl/comments/comment9.xml" ContentType="application/vnd.openxmlformats-officedocument.spreadsheetml.comments+xml"/>
  <Override PartName="/xl/worksheets/sheet12.xml" ContentType="application/vnd.openxmlformats-officedocument.spreadsheetml.worksheet+xml"/>
  <Override PartName="/xl/comments/comment10.xml" ContentType="application/vnd.openxmlformats-officedocument.spreadsheetml.comments+xml"/>
  <Override PartName="/xl/worksheets/sheet13.xml" ContentType="application/vnd.openxmlformats-officedocument.spreadsheetml.worksheet+xml"/>
  <Override PartName="/xl/comments/comment11.xml" ContentType="application/vnd.openxmlformats-officedocument.spreadsheetml.comments+xml"/>
  <Override PartName="/xl/worksheets/sheet14.xml" ContentType="application/vnd.openxmlformats-officedocument.spreadsheetml.worksheet+xml"/>
  <Override PartName="/xl/comments/comment12.xml" ContentType="application/vnd.openxmlformats-officedocument.spreadsheetml.comments+xml"/>
  <Override PartName="/xl/worksheets/sheet15.xml" ContentType="application/vnd.openxmlformats-officedocument.spreadsheetml.worksheet+xml"/>
  <Override PartName="/xl/comments/comment13.xml" ContentType="application/vnd.openxmlformats-officedocument.spreadsheetml.comments+xml"/>
  <Override PartName="/xl/worksheets/sheet16.xml" ContentType="application/vnd.openxmlformats-officedocument.spreadsheetml.worksheet+xml"/>
  <Override PartName="/xl/comments/comment14.xml" ContentType="application/vnd.openxmlformats-officedocument.spreadsheetml.comments+xml"/>
  <Override PartName="/xl/worksheets/sheet17.xml" ContentType="application/vnd.openxmlformats-officedocument.spreadsheetml.worksheet+xml"/>
  <Override PartName="/xl/comments/comment15.xml" ContentType="application/vnd.openxmlformats-officedocument.spreadsheetml.comments+xml"/>
  <Override PartName="/xl/worksheets/sheet18.xml" ContentType="application/vnd.openxmlformats-officedocument.spreadsheetml.worksheet+xml"/>
  <Override PartName="/xl/comments/comment16.xml" ContentType="application/vnd.openxmlformats-officedocument.spreadsheetml.comments+xml"/>
  <Override PartName="/xl/worksheets/sheet19.xml" ContentType="application/vnd.openxmlformats-officedocument.spreadsheetml.worksheet+xml"/>
  <Override PartName="/xl/comments/comment17.xml" ContentType="application/vnd.openxmlformats-officedocument.spreadsheetml.comments+xml"/>
  <Override PartName="/xl/worksheets/sheet20.xml" ContentType="application/vnd.openxmlformats-officedocument.spreadsheetml.worksheet+xml"/>
  <Override PartName="/xl/comments/comment18.xml" ContentType="application/vnd.openxmlformats-officedocument.spreadsheetml.comments+xml"/>
  <Override PartName="/xl/worksheets/sheet21.xml" ContentType="application/vnd.openxmlformats-officedocument.spreadsheetml.worksheet+xml"/>
  <Override PartName="/xl/comments/comment19.xml" ContentType="application/vnd.openxmlformats-officedocument.spreadsheetml.comments+xml"/>
  <Override PartName="/xl/worksheets/sheet22.xml" ContentType="application/vnd.openxmlformats-officedocument.spreadsheetml.worksheet+xml"/>
  <Override PartName="/xl/comments/comment20.xml" ContentType="application/vnd.openxmlformats-officedocument.spreadsheetml.comments+xml"/>
  <Override PartName="/xl/worksheets/sheet23.xml" ContentType="application/vnd.openxmlformats-officedocument.spreadsheetml.worksheet+xml"/>
  <Override PartName="/xl/comments/comment21.xml" ContentType="application/vnd.openxmlformats-officedocument.spreadsheetml.comments+xml"/>
  <Override PartName="/xl/worksheets/sheet24.xml" ContentType="application/vnd.openxmlformats-officedocument.spreadsheetml.worksheet+xml"/>
  <Override PartName="/xl/comments/comment22.xml" ContentType="application/vnd.openxmlformats-officedocument.spreadsheetml.comments+xml"/>
  <Override PartName="/xl/worksheets/sheet25.xml" ContentType="application/vnd.openxmlformats-officedocument.spreadsheetml.worksheet+xml"/>
  <Override PartName="/xl/comments/comment23.xml" ContentType="application/vnd.openxmlformats-officedocument.spreadsheetml.comments+xml"/>
  <Override PartName="/xl/worksheets/sheet26.xml" ContentType="application/vnd.openxmlformats-officedocument.spreadsheetml.worksheet+xml"/>
  <Override PartName="/xl/comments/comment24.xml" ContentType="application/vnd.openxmlformats-officedocument.spreadsheetml.comments+xml"/>
  <Override PartName="/xl/worksheets/sheet27.xml" ContentType="application/vnd.openxmlformats-officedocument.spreadsheetml.worksheet+xml"/>
  <Override PartName="/xl/comments/comment25.xml" ContentType="application/vnd.openxmlformats-officedocument.spreadsheetml.comments+xml"/>
  <Override PartName="/xl/worksheets/sheet28.xml" ContentType="application/vnd.openxmlformats-officedocument.spreadsheetml.worksheet+xml"/>
  <Override PartName="/xl/comments/comment26.xml" ContentType="application/vnd.openxmlformats-officedocument.spreadsheetml.comments+xml"/>
  <Override PartName="/xl/worksheets/sheet29.xml" ContentType="application/vnd.openxmlformats-officedocument.spreadsheetml.worksheet+xml"/>
  <Override PartName="/xl/comments/comment27.xml" ContentType="application/vnd.openxmlformats-officedocument.spreadsheetml.comments+xml"/>
  <Override PartName="/xl/worksheets/sheet30.xml" ContentType="application/vnd.openxmlformats-officedocument.spreadsheetml.worksheet+xml"/>
  <Override PartName="/xl/comments/comment28.xml" ContentType="application/vnd.openxmlformats-officedocument.spreadsheetml.comments+xml"/>
  <Override PartName="/xl/worksheets/sheet31.xml" ContentType="application/vnd.openxmlformats-officedocument.spreadsheetml.worksheet+xml"/>
  <Override PartName="/xl/comments/comment29.xml" ContentType="application/vnd.openxmlformats-officedocument.spreadsheetml.comments+xml"/>
  <Override PartName="/xl/worksheets/sheet32.xml" ContentType="application/vnd.openxmlformats-officedocument.spreadsheetml.worksheet+xml"/>
  <Override PartName="/xl/comments/comment30.xml" ContentType="application/vnd.openxmlformats-officedocument.spreadsheetml.comments+xml"/>
  <Override PartName="/xl/worksheets/sheet33.xml" ContentType="application/vnd.openxmlformats-officedocument.spreadsheetml.worksheet+xml"/>
  <Override PartName="/xl/comments/comment31.xml" ContentType="application/vnd.openxmlformats-officedocument.spreadsheetml.comments+xml"/>
  <Override PartName="/xl/worksheets/sheet34.xml" ContentType="application/vnd.openxmlformats-officedocument.spreadsheetml.worksheet+xml"/>
  <Override PartName="/xl/comments/comment32.xml" ContentType="application/vnd.openxmlformats-officedocument.spreadsheetml.comments+xml"/>
  <Override PartName="/xl/worksheets/sheet35.xml" ContentType="application/vnd.openxmlformats-officedocument.spreadsheetml.worksheet+xml"/>
  <Override PartName="/xl/comments/comment33.xml" ContentType="application/vnd.openxmlformats-officedocument.spreadsheetml.comments+xml"/>
  <Override PartName="/xl/worksheets/sheet36.xml" ContentType="application/vnd.openxmlformats-officedocument.spreadsheetml.worksheet+xml"/>
  <Override PartName="/xl/comments/comment34.xml" ContentType="application/vnd.openxmlformats-officedocument.spreadsheetml.comments+xml"/>
  <Override PartName="/xl/worksheets/sheet37.xml" ContentType="application/vnd.openxmlformats-officedocument.spreadsheetml.worksheet+xml"/>
  <Override PartName="/xl/comments/comment35.xml" ContentType="application/vnd.openxmlformats-officedocument.spreadsheetml.comments+xml"/>
  <Override PartName="/xl/worksheets/sheet38.xml" ContentType="application/vnd.openxmlformats-officedocument.spreadsheetml.worksheet+xml"/>
  <Override PartName="/xl/comments/comment36.xml" ContentType="application/vnd.openxmlformats-officedocument.spreadsheetml.comments+xml"/>
  <Override PartName="/xl/worksheets/sheet39.xml" ContentType="application/vnd.openxmlformats-officedocument.spreadsheetml.worksheet+xml"/>
  <Override PartName="/xl/comments/comment37.xml" ContentType="application/vnd.openxmlformats-officedocument.spreadsheetml.comments+xml"/>
  <Override PartName="/xl/worksheets/sheet40.xml" ContentType="application/vnd.openxmlformats-officedocument.spreadsheetml.worksheet+xml"/>
  <Override PartName="/xl/comments/comment38.xml" ContentType="application/vnd.openxmlformats-officedocument.spreadsheetml.comments+xml"/>
  <Override PartName="/xl/worksheets/sheet41.xml" ContentType="application/vnd.openxmlformats-officedocument.spreadsheetml.worksheet+xml"/>
  <Override PartName="/xl/comments/comment39.xml" ContentType="application/vnd.openxmlformats-officedocument.spreadsheetml.comments+xml"/>
  <Override PartName="/xl/worksheets/sheet42.xml" ContentType="application/vnd.openxmlformats-officedocument.spreadsheetml.worksheet+xml"/>
  <Override PartName="/xl/comments/comment40.xml" ContentType="application/vnd.openxmlformats-officedocument.spreadsheetml.comments+xml"/>
  <Override PartName="/xl/worksheets/sheet43.xml" ContentType="application/vnd.openxmlformats-officedocument.spreadsheetml.worksheet+xml"/>
  <Override PartName="/xl/comments/comment41.xml" ContentType="application/vnd.openxmlformats-officedocument.spreadsheetml.comments+xml"/>
  <Override PartName="/xl/worksheets/sheet44.xml" ContentType="application/vnd.openxmlformats-officedocument.spreadsheetml.worksheet+xml"/>
  <Override PartName="/xl/worksheets/sheet4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Sites" sheetId="3" state="visible" r:id="rId3"/>
    <sheet name="Floors" sheetId="4" state="visible" r:id="rId4"/>
    <sheet name="Rooms" sheetId="5" state="visible" r:id="rId5"/>
    <sheet name="Racks" sheetId="6" state="visible" r:id="rId6"/>
    <sheet name="Power_Feeds" sheetId="7" state="visible" r:id="rId7"/>
    <sheet name="UPS" sheetId="8" state="visible" r:id="rId8"/>
    <sheet name="Generators" sheetId="9" state="visible" r:id="rId9"/>
    <sheet name="DC_Plant" sheetId="10" state="visible" r:id="rId10"/>
    <sheet name="Cooling_Units" sheetId="11" state="visible" r:id="rId11"/>
    <sheet name="CDUs" sheetId="12" state="visible" r:id="rId12"/>
    <sheet name="Sensors" sheetId="13" state="visible" r:id="rId13"/>
    <sheet name="Devices" sheetId="14" state="visible" r:id="rId14"/>
    <sheet name="Modules" sheetId="15" state="visible" r:id="rId15"/>
    <sheet name="Interfaces" sheetId="16" state="visible" r:id="rId16"/>
    <sheet name="Links" sheetId="17" state="visible" r:id="rId17"/>
    <sheet name="Rack_PDUs" sheetId="18" state="visible" r:id="rId18"/>
    <sheet name="Power_Connections" sheetId="19" state="visible" r:id="rId19"/>
    <sheet name="Patch_Panels" sheetId="20" state="visible" r:id="rId20"/>
    <sheet name="Trunk_Cables" sheetId="21" state="visible" r:id="rId21"/>
    <sheet name="Cable_Paths" sheetId="22" state="visible" r:id="rId22"/>
    <sheet name="Cooling_Coverage" sheetId="23" state="visible" r:id="rId23"/>
    <sheet name="GPU_Clusters" sheetId="24" state="visible" r:id="rId24"/>
    <sheet name="GPU_Nodes" sheetId="25" state="visible" r:id="rId25"/>
    <sheet name="Customers" sheetId="26" state="visible" r:id="rId26"/>
    <sheet name="Services" sheetId="27" state="visible" r:id="rId27"/>
    <sheet name="Collectors" sheetId="28" state="visible" r:id="rId28"/>
    <sheet name="Fire_Systems" sheetId="29" state="visible" r:id="rId29"/>
    <sheet name="Leak_Detection" sheetId="30" state="visible" r:id="rId30"/>
    <sheet name="Access_Points" sheetId="31" state="visible" r:id="rId31"/>
    <sheet name="Support_Contracts" sheetId="32" state="visible" r:id="rId32"/>
    <sheet name="Asset_Lifecycle" sheetId="33" state="visible" r:id="rId33"/>
    <sheet name="Model_Lifecycle" sheetId="34" state="visible" r:id="rId34"/>
    <sheet name="Spares" sheetId="35" state="visible" r:id="rId35"/>
    <sheet name="PM_Plan" sheetId="36" state="visible" r:id="rId36"/>
    <sheet name="On_Call" sheetId="37" state="visible" r:id="rId37"/>
    <sheet name="Snapshot_Alerts" sheetId="38" state="visible" r:id="rId38"/>
    <sheet name="Snapshot_Incidents" sheetId="39" state="visible" r:id="rId39"/>
    <sheet name="Snapshot_Changes" sheetId="40" state="visible" r:id="rId40"/>
    <sheet name="Snapshot_RMA" sheetId="41" state="visible" r:id="rId41"/>
    <sheet name="Snapshot_Problems" sheetId="42" state="visible" r:id="rId42"/>
    <sheet name="Snapshot_Orders" sheetId="43" state="visible" r:id="rId43"/>
    <sheet name="Field_Dictionary" sheetId="44" state="visible" r:id="rId44"/>
    <sheet name="Lookups" sheetId="45" state="visible" r:id="rId45"/>
  </sheets>
  <definedNames>
    <definedName name="L_business_model">Lookups!$A$2:$A$6</definedName>
    <definedName name="L_site_status">Lookups!$B$2:$B$5</definedName>
    <definedName name="L_tier">Lookups!$C$2:$C$4</definedName>
    <definedName name="L_site_category">Lookups!$D$2:$D$4</definedName>
    <definedName name="L_redundancy">Lookups!$E$2:$E$4</definedName>
    <definedName name="L_room_type">Lookups!$F$2:$F$9</definedName>
    <definedName name="L_containment">Lookups!$G$2:$G$4</definedName>
    <definedName name="L_cooling_method">Lookups!$H$2:$H$4</definedName>
    <definedName name="L_rack_role">Lookups!$I$2:$I$10</definedName>
    <definedName name="L_owner">Lookups!$J$2:$J$3</definedName>
    <definedName name="L_density">Lookups!$K$2:$K$3</definedName>
    <definedName name="L_yes_no">Lookups!$L$2:$L$3</definedName>
    <definedName name="L_feed_type">Lookups!$M$2:$M$3</definedName>
    <definedName name="L_feed_role">Lookups!$N$2:$N$3</definedName>
    <definedName name="L_plant_kind">Lookups!$O$2:$O$3</definedName>
    <definedName name="L_test_result">Lookups!$P$2:$P$3</definedName>
    <definedName name="L_cooling_type">Lookups!$Q$2:$Q$4</definedName>
    <definedName name="L_sensor_kind">Lookups!$R$2:$R$4</definedName>
    <definedName name="L_device_role">Lookups!$S$2:$S$10</definedName>
    <definedName name="L_layer">Lookups!$T$2:$T$5</definedName>
    <definedName name="L_lifecycle">Lookups!$U$2:$U$5</definedName>
    <definedName name="L_if_admin">Lookups!$V$2:$V$4</definedName>
    <definedName name="L_link_role">Lookups!$W$2:$W$6</definedName>
    <definedName name="L_protocol">Lookups!$X$2:$X$6</definedName>
    <definedName name="L_gpu_model">Lookups!$Y$2:$Y$9</definedName>
    <definedName name="L_gpu_vendor">Lookups!$Z$2:$Z$3</definedName>
    <definedName name="L_scheduler">Lookups!$AA$2:$AA$3</definedName>
    <definedName name="L_air_liquid">Lookups!$AB$2:$AB$3</definedName>
    <definedName name="L_service_type">Lookups!$AC$2:$AC$24</definedName>
    <definedName name="L_service_unit">Lookups!$AD$2:$AD$9</definedName>
    <definedName name="L_collector_protocol">Lookups!$AE$2:$AE$8</definedName>
    <definedName name="L_collector_domain">Lookups!$AF$2:$AF$5</definedName>
    <definedName name="L_pdu_side">Lookups!$AG$2:$AG$3</definedName>
    <definedName name="L_pdu_kind">Lookups!$AH$2:$AH$3</definedName>
    <definedName name="L_panel_kind">Lookups!$AI$2:$AI$4</definedName>
    <definedName name="L_panel_role">Lookups!$AJ$2:$AJ$3</definedName>
    <definedName name="L_link_end">Lookups!$AK$2:$AK$3</definedName>
    <definedName name="L_tray_route">Lookups!$AL$2:$AL$3</definedName>
    <definedName name="L_detection">Lookups!$AM$2:$AM$3</definedName>
    <definedName name="L_suppression">Lookups!$AN$2:$AN$4</definedName>
    <definedName name="L_release_mode">Lookups!$AO$2:$AO$4</definedName>
    <definedName name="L_door_kind">Lookups!$AP$2:$AP$6</definedName>
    <definedName name="L_reader">Lookups!$AQ$2:$AQ$4</definedName>
    <definedName name="L_support_level">Lookups!$AR$2:$AR$5</definedName>
    <definedName name="L_pm_kind">Lookups!$AS$2:$AS$8</definedName>
    <definedName name="L_oncall_role">Lookups!$AT$2:$AT$7</definedName>
    <definedName name="_xlnm._FilterDatabase" localSheetId="2" hidden="1">'Sites'!$A$1:$S$3</definedName>
    <definedName name="_xlnm._FilterDatabase" localSheetId="3" hidden="1">'Floors'!$A$1:$D$5</definedName>
    <definedName name="_xlnm._FilterDatabase" localSheetId="4" hidden="1">'Rooms'!$A$1:$I$9</definedName>
    <definedName name="_xlnm._FilterDatabase" localSheetId="5" hidden="1">'Racks'!$A$1:$R$33</definedName>
    <definedName name="_xlnm._FilterDatabase" localSheetId="6" hidden="1">'Power_Feeds'!$A$1:$H$7</definedName>
    <definedName name="_xlnm._FilterDatabase" localSheetId="7" hidden="1">'UPS'!$A$1:$J$9</definedName>
    <definedName name="_xlnm._FilterDatabase" localSheetId="8" hidden="1">'Generators'!$A$1:$H$3</definedName>
    <definedName name="_xlnm._FilterDatabase" localSheetId="9" hidden="1">'DC_Plant'!$A$1:$K$5</definedName>
    <definedName name="_xlnm._FilterDatabase" localSheetId="10" hidden="1">'Cooling_Units'!$A$1:$I$18</definedName>
    <definedName name="_xlnm._FilterDatabase" localSheetId="11" hidden="1">'CDUs'!$A$1:$H$2</definedName>
    <definedName name="_xlnm._FilterDatabase" localSheetId="12" hidden="1">'Sensors'!$A$1:$F$9</definedName>
    <definedName name="_xlnm._FilterDatabase" localSheetId="13" hidden="1">'Devices'!$A$1:$T$184</definedName>
    <definedName name="_xlnm._FilterDatabase" localSheetId="14" hidden="1">'Modules'!$A$1:$D$304</definedName>
    <definedName name="_xlnm._FilterDatabase" localSheetId="15" hidden="1">'Interfaces'!$A$1:$G$1379</definedName>
    <definedName name="_xlnm._FilterDatabase" localSheetId="16" hidden="1">'Links'!$A$1:$M$188</definedName>
    <definedName name="_xlnm._FilterDatabase" localSheetId="17" hidden="1">'Rack_PDUs'!$A$1:$M$65</definedName>
    <definedName name="_xlnm._FilterDatabase" localSheetId="18" hidden="1">'Power_Connections'!$A$1:$F$313</definedName>
    <definedName name="_xlnm._FilterDatabase" localSheetId="19" hidden="1">'Patch_Panels'!$A$1:$G$17</definedName>
    <definedName name="_xlnm._FilterDatabase" localSheetId="20" hidden="1">'Trunk_Cables'!$A$1:$H$11</definedName>
    <definedName name="_xlnm._FilterDatabase" localSheetId="21" hidden="1">'Cable_Paths'!$A$1:$J$239</definedName>
    <definedName name="_xlnm._FilterDatabase" localSheetId="22" hidden="1">'Cooling_Coverage'!$A$1:$C$33</definedName>
    <definedName name="_xlnm._FilterDatabase" localSheetId="23" hidden="1">'GPU_Clusters'!$A$1:$I$2</definedName>
    <definedName name="_xlnm._FilterDatabase" localSheetId="24" hidden="1">'GPU_Nodes'!$A$1:$I$2</definedName>
    <definedName name="_xlnm._FilterDatabase" localSheetId="25" hidden="1">'Customers'!$A$1:$I$12</definedName>
    <definedName name="_xlnm._FilterDatabase" localSheetId="26" hidden="1">'Services'!$A$1:$O$63</definedName>
    <definedName name="_xlnm._FilterDatabase" localSheetId="27" hidden="1">'Collectors'!$A$1:$G$5</definedName>
    <definedName name="_xlnm._FilterDatabase" localSheetId="28" hidden="1">'Fire_Systems'!$A$1:$H$9</definedName>
    <definedName name="_xlnm._FilterDatabase" localSheetId="29" hidden="1">'Leak_Detection'!$A$1:$F$11</definedName>
    <definedName name="_xlnm._FilterDatabase" localSheetId="30" hidden="1">'Access_Points'!$A$1:$G$25</definedName>
    <definedName name="_xlnm._FilterDatabase" localSheetId="31" hidden="1">'Support_Contracts'!$A$1:$F$18</definedName>
    <definedName name="_xlnm._FilterDatabase" localSheetId="32" hidden="1">'Asset_Lifecycle'!$A$1:$D$64</definedName>
    <definedName name="_xlnm._FilterDatabase" localSheetId="33" hidden="1">'Model_Lifecycle'!$A$1:$D$17</definedName>
    <definedName name="_xlnm._FilterDatabase" localSheetId="34" hidden="1">'Spares'!$A$1:$E$39</definedName>
    <definedName name="_xlnm._FilterDatabase" localSheetId="35" hidden="1">'PM_Plan'!$A$1:$H$52</definedName>
    <definedName name="_xlnm._FilterDatabase" localSheetId="36" hidden="1">'On_Call'!$A$1:$F$6</definedName>
    <definedName name="_xlnm._FilterDatabase" localSheetId="37" hidden="1">'Snapshot_Alerts'!$A$1:$M$23</definedName>
    <definedName name="_xlnm._FilterDatabase" localSheetId="38" hidden="1">'Snapshot_Incidents'!$A$1:$M$7</definedName>
    <definedName name="_xlnm._FilterDatabase" localSheetId="39" hidden="1">'Snapshot_Changes'!$A$1:$K$4</definedName>
    <definedName name="_xlnm._FilterDatabase" localSheetId="40" hidden="1">'Snapshot_RMA'!$A$1:$I$3</definedName>
    <definedName name="_xlnm._FilterDatabase" localSheetId="41" hidden="1">'Snapshot_Problems'!$A$1:$J$6</definedName>
    <definedName name="_xlnm._FilterDatabase" localSheetId="42" hidden="1">'Snapshot_Orders'!$A$1:$H$42</definedName>
    <definedName name="_xlnm._FilterDatabase" localSheetId="43" hidden="1">'Field_Dictionary'!$A$1:$H$369</definedName>
  </definedNames>
  <calcPr calcId="124519" fullCalcOnLoad="1"/>
</workbook>
</file>

<file path=xl/styles.xml><?xml version="1.0" encoding="utf-8"?>
<styleSheet xmlns="http://schemas.openxmlformats.org/spreadsheetml/2006/main">
  <numFmts count="1">
    <numFmt numFmtId="164" formatCode="yyyy-mm-dd"/>
  </numFmts>
  <fonts count="10">
    <font>
      <name val="Calibri"/>
      <family val="2"/>
      <color theme="1"/>
      <sz val="11"/>
      <scheme val="minor"/>
    </font>
    <font>
      <name val="Calibri"/>
      <b val="1"/>
      <color rgb="001F3A5F"/>
      <sz val="18"/>
    </font>
    <font>
      <i val="1"/>
      <color rgb="005B6B80"/>
      <sz val="10"/>
    </font>
    <font>
      <b val="1"/>
      <color rgb="002E6BD9"/>
      <sz val="12"/>
    </font>
    <font>
      <b val="1"/>
      <color rgb="00FFFFFF"/>
    </font>
    <font>
      <color rgb="002E6BD9"/>
      <u val="single"/>
    </font>
    <font>
      <b val="1"/>
      <color rgb="001F3A5F"/>
      <sz val="16"/>
    </font>
    <font>
      <i val="1"/>
      <color rgb="005B6B80"/>
    </font>
    <font>
      <b val="1"/>
    </font>
    <font>
      <b val="1"/>
      <color rgb="002F855A"/>
    </font>
  </fonts>
  <fills count="7">
    <fill>
      <patternFill/>
    </fill>
    <fill>
      <patternFill patternType="gray125"/>
    </fill>
    <fill>
      <patternFill patternType="solid">
        <fgColor rgb="001F3A5F"/>
      </patternFill>
    </fill>
    <fill>
      <patternFill patternType="solid">
        <fgColor rgb="005B6B80"/>
      </patternFill>
    </fill>
    <fill>
      <patternFill patternType="solid">
        <fgColor rgb="00B7791F"/>
      </patternFill>
    </fill>
    <fill>
      <patternFill patternType="solid">
        <fgColor rgb="002F855A"/>
      </patternFill>
    </fill>
    <fill>
      <patternFill patternType="solid">
        <fgColor rgb="00DDF2E3"/>
      </patternFill>
    </fill>
  </fills>
  <borders count="2">
    <border>
      <left/>
      <right/>
      <top/>
      <bottom/>
      <diagonal/>
    </border>
    <border>
      <left style="thin">
        <color rgb="00C9D2DE"/>
      </left>
      <right style="thin">
        <color rgb="00C9D2DE"/>
      </right>
      <top style="thin">
        <color rgb="00C9D2DE"/>
      </top>
      <bottom style="thin">
        <color rgb="00C9D2DE"/>
      </bottom>
    </border>
  </borders>
  <cellStyleXfs count="1">
    <xf numFmtId="0" fontId="0" fillId="0" borderId="0"/>
  </cellStyleXfs>
  <cellXfs count="2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0" borderId="0" pivotButton="0" quotePrefix="0" xfId="0"/>
    <xf numFmtId="0" fontId="4" fillId="2" borderId="0" pivotButton="0" quotePrefix="0" xfId="0"/>
    <xf numFmtId="0" fontId="5" fillId="0" borderId="1" applyAlignment="1" pivotButton="0" quotePrefix="0" xfId="0">
      <alignment vertical="top" wrapText="1"/>
    </xf>
    <xf numFmtId="0" fontId="0" fillId="0" borderId="1" applyAlignment="1" pivotButton="0" quotePrefix="0" xfId="0">
      <alignment vertical="top" wrapText="1"/>
    </xf>
    <xf numFmtId="0" fontId="5" fillId="0" borderId="1" pivotButton="0" quotePrefix="0" xfId="0"/>
    <xf numFmtId="0" fontId="0" fillId="0" borderId="1" pivotButton="0" quotePrefix="0" xfId="0"/>
    <xf numFmtId="0" fontId="6" fillId="0" borderId="0" pivotButton="0" quotePrefix="0" xfId="0"/>
    <xf numFmtId="0" fontId="7" fillId="0" borderId="0" pivotButton="0" quotePrefix="0" xfId="0"/>
    <xf numFmtId="0" fontId="4" fillId="2" borderId="1" pivotButton="0" quotePrefix="0" xfId="0"/>
    <xf numFmtId="3" fontId="0" fillId="0" borderId="1" pivotButton="0" quotePrefix="0" xfId="0"/>
    <xf numFmtId="3" fontId="8" fillId="0" borderId="1" pivotButton="0" quotePrefix="0" xfId="0"/>
    <xf numFmtId="0" fontId="9" fillId="0" borderId="1" pivotButton="0" quotePrefix="0" xfId="0"/>
    <xf numFmtId="0" fontId="4" fillId="2" borderId="1" applyAlignment="1" pivotButton="0" quotePrefix="0" xfId="0">
      <alignment vertical="center" wrapText="1"/>
    </xf>
    <xf numFmtId="0" fontId="4" fillId="3" borderId="1" applyAlignment="1" pivotButton="0" quotePrefix="0" xfId="0">
      <alignment vertical="center" wrapText="1"/>
    </xf>
    <xf numFmtId="164" fontId="0" fillId="0" borderId="0" pivotButton="0" quotePrefix="0" xfId="0"/>
    <xf numFmtId="0" fontId="4" fillId="4" borderId="1" applyAlignment="1" pivotButton="0" quotePrefix="0" xfId="0">
      <alignment vertical="center" wrapText="1"/>
    </xf>
    <xf numFmtId="0" fontId="4" fillId="5" borderId="1" applyAlignment="1" pivotButton="0" quotePrefix="0" xfId="0">
      <alignment vertical="center" wrapText="1"/>
    </xf>
    <xf numFmtId="0" fontId="0" fillId="6" borderId="0" pivotButton="0" quotePrefix="0" xfId="0"/>
    <xf numFmtId="3" fontId="0" fillId="6" borderId="0" pivotButton="0" quotePrefix="0" xfId="0"/>
    <xf numFmtId="3" fontId="4" fillId="2" borderId="1" applyAlignment="1" pivotButton="0" quotePrefix="0" xfId="0">
      <alignment vertical="center" wrapText="1"/>
    </xf>
    <xf numFmtId="3"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styles" Target="styles.xml" Id="rId46" /><Relationship Type="http://schemas.openxmlformats.org/officeDocument/2006/relationships/theme" Target="theme/theme1.xml" Id="rId47" /></Relationships>
</file>

<file path=xl/comments/comment1.xml><?xml version="1.0" encoding="utf-8"?>
<comments xmlns="http://schemas.openxmlformats.org/spreadsheetml/2006/main">
  <authors>
    <author>DCO template</author>
  </authors>
  <commentList>
    <comment ref="A1" authorId="0" shapeId="0">
      <text>
        <t>Unique site code, format XX-DC-NNN (XX = state code). Every other sheet points to it.
Required: yes
Type: text
System field: Datacenter.id / Location.id</t>
      </text>
    </comment>
    <comment ref="B1" authorId="0" shapeId="0">
      <text>
        <t>Display name.
Required: yes
Type: text
System field: Datacenter.name</t>
      </text>
    </comment>
    <comment ref="C1" authorId="0" shapeId="0">
      <text>
        <t>Owning company. Not shown in the tool today.
Required: no
Type: text
System field: (reference only)</t>
      </text>
    </comment>
    <comment ref="D1" authorId="0" shapeId="0">
      <text>
        <t>Sets vocabulary and rack contents: colocation, neocloud (GPU as a service), cloud, enterprise, network (telco).
Required: yes
Type: list (from business_model)
System field: Persona</t>
      </text>
    </comment>
    <comment ref="E1" authorId="0" shapeId="0">
      <text>
        <t>on-air = live; in-progress = being built; planned; failed.
Required: yes
Type: list (from site_status)
System field: Datacenter.status</t>
      </text>
    </comment>
    <comment ref="F1" authorId="0" shapeId="0">
      <text>
        <t>Uptime tier.
Required: yes
Type: list (from tier)
System field: Datacenter.tier</t>
      </text>
    </comment>
    <comment ref="G1" authorId="0" shapeId="0">
      <text>
        <t>Central / Regional / Edge.
Required: yes
Type: list (from site_category)
System field: Datacenter.category</t>
      </text>
    </comment>
    <comment ref="H1" authorId="0" shapeId="0">
      <text>
        <t>For example West, South, North, East, Central.
Required: yes
Type: text
System field: Region.name / Datacenter.regionId</t>
      </text>
    </comment>
    <comment ref="I1" authorId="0" shapeId="0">
      <text>
        <t>State or province.
Required: yes
Type: text
System field: Datacenter.state</t>
      </text>
    </comment>
    <comment ref="J1" authorId="0" shapeId="0">
      <text>
        <t>City.
Required: yes
Type: text
System field: Datacenter.city</t>
      </text>
    </comment>
    <comment ref="K1" authorId="0" shapeId="0">
      <text>
        <t>Postal address.
Required: yes
Type: text
System field: Datacenter.address</t>
      </text>
    </comment>
    <comment ref="L1" authorId="0" shapeId="0">
      <text>
        <t>Decimal degrees (WGS84). Places the pin on the estate map.
Required: yes
Type: decimal
System field: Datacenter.lat</t>
      </text>
    </comment>
    <comment ref="M1" authorId="0" shapeId="0">
      <text>
        <t>Decimal degrees (WGS84).
Required: yes
Type: decimal
System field: Datacenter.lng</t>
      </text>
    </comment>
    <comment ref="N1" authorId="0" shapeId="0">
      <text>
        <t>Date the site went live.
Required: no
Type: date
System field: Datacenter.commissionedOn</t>
      </text>
    </comment>
    <comment ref="O1" authorId="0" shapeId="0">
      <text>
        <t>Design IT load (kW) the site is built for.
Required: yes
Type: decimal
System field: Datacenter.power.capacityKw</t>
      </text>
    </comment>
    <comment ref="P1" authorId="0" shapeId="0">
      <text>
        <t>Design PUE. Live PUE comes from the BMS.
Required: no
Type: decimal
System field: Datacenter.power.pue</t>
      </text>
    </comment>
    <comment ref="Q1" authorId="0" shapeId="0">
      <text>
        <t>Total installed cooling capacity (kW).
Required: yes
Type: decimal
System field: Datacenter.cooling.capacityKw</t>
      </text>
    </comment>
    <comment ref="R1" authorId="0" shapeId="0">
      <text>
        <t>N / N+1 / 2N.
Required: yes
Type: list (from redundancy)
System field: Datacenter.cooling.redundancy</t>
      </text>
    </comment>
    <comment ref="S1" authorId="0" shapeId="0">
      <text>
        <t>IANA timezone, for example Asia/Kolkata.
Required: no
Type: text
System field: (reference only)</t>
      </text>
    </comment>
  </commentList>
</comments>
</file>

<file path=xl/comments/comment2.xml><?xml version="1.0" encoding="utf-8"?>
<comments xmlns="http://schemas.openxmlformats.org/spreadsheetml/2006/main">
  <authors>
    <author>DCO template</author>
  </authors>
  <commentList>
    <comment ref="A1" authorId="0" shapeId="0">
      <text>
        <t>Must exist in Sites.
Required: yes
Type: ref (from Sites)
System field: Datacenter.id</t>
      </text>
    </comment>
    <comment ref="B1" authorId="0" shapeId="0">
      <text>
        <t>Unique within the workbook, for example MP-DC-001-F0.
Required: yes
Type: text
System field: (key)</t>
      </text>
    </comment>
    <comment ref="C1" authorId="0" shapeId="0">
      <text>
        <t>As staff call it: Ground, 1st floor…
Required: yes
Type: text
System field: Datacenter.floors[].name</t>
      </text>
    </comment>
    <comment ref="D1" authorId="0" shapeId="0">
      <text>
        <t>0 = ground, 1 = first floor…, −1 = basement.
Required: yes
Type: integer
System field: (order in the 3D twin)</t>
      </text>
    </comment>
  </commentList>
</comments>
</file>

<file path=xl/comments/comment3.xml><?xml version="1.0" encoding="utf-8"?>
<comments xmlns="http://schemas.openxmlformats.org/spreadsheetml/2006/main">
  <authors>
    <author>DCO template</author>
  </authors>
  <commentList>
    <comment ref="A1" authorId="0" shapeId="0">
      <text>
        <t>Required: yes
Type: ref (from Sites)
System field: Datacenter.id</t>
      </text>
    </comment>
    <comment ref="B1" authorId="0" shapeId="0">
      <text>
        <t>Must exist in Floors.
Required: yes
Type: ref (from Floors)
System field: (key)</t>
      </text>
    </comment>
    <comment ref="C1" authorId="0" shapeId="0">
      <text>
        <t>Unique within the workbook.
Required: yes
Type: text
System field: (key)</t>
      </text>
    </comment>
    <comment ref="D1" authorId="0" shapeId="0">
      <text>
        <t>Shown in the twin, the racks list and alarm locations.
Required: yes
Type: text
System field: Datacenter.floors[].rooms[] / Rack.room</t>
      </text>
    </comment>
    <comment ref="E1" authorId="0" shapeId="0">
      <text>
        <t>Plant / UPS / battery rooms hold the power plant; halls hold racks.
Required: yes
Type: list (from room_type)
System field: (twin layout)</t>
      </text>
    </comment>
    <comment ref="F1" authorId="0" shapeId="0">
      <text>
        <t>Floor area.
Required: no
Type: decimal
System field: (reference only)</t>
      </text>
    </comment>
    <comment ref="G1" authorId="0" shapeId="0">
      <text>
        <t>Number of rack rows; racks face each other in pairs.
Required: no
Type: integer
System field: (twin layout)</t>
      </text>
    </comment>
    <comment ref="H1" authorId="0" shapeId="0">
      <text>
        <t>Aisle containment.
Required: no
Type: list (from containment)
System field: (twin layout)</t>
      </text>
    </comment>
    <comment ref="I1" authorId="0" shapeId="0">
      <text>
        <t>Air, Liquid or Hybrid.
Required: no
Type: list (from cooling_method)
System field: Rack.liquid</t>
      </text>
    </comment>
  </commentList>
</comments>
</file>

<file path=xl/comments/comment4.xml><?xml version="1.0" encoding="utf-8"?>
<comments xmlns="http://schemas.openxmlformats.org/spreadsheetml/2006/main">
  <authors>
    <author>DCO template</author>
  </authors>
  <commentList>
    <comment ref="A1" authorId="0" shapeId="0">
      <text>
        <t>Unique, for example MP-DC-001-A01.
Required: yes
Type: text
System field: Rack.id</t>
      </text>
    </comment>
    <comment ref="B1" authorId="0" shapeId="0">
      <text>
        <t>Required: yes
Type: ref (from Sites)
System field: Rack.dcId</t>
      </text>
    </comment>
    <comment ref="C1" authorId="0" shapeId="0">
      <text>
        <t>Floor and room come from the Rooms row.
Required: yes
Type: ref (from Rooms)
System field: Rack.floor / Rack.room</t>
      </text>
    </comment>
    <comment ref="D1" authorId="0" shapeId="0">
      <text>
        <t>Label on the cabinet (shown on the 3D twin).
Required: yes
Type: text
System field: Rack.name</t>
      </text>
    </comment>
    <comment ref="E1" authorId="0" shapeId="0">
      <text>
        <t>Row letter or number.
Required: no
Type: text
System field: (twin layout)</t>
      </text>
    </comment>
    <comment ref="F1" authorId="0" shapeId="0">
      <text>
        <t>Position in the row, 1…n.
Required: no
Type: integer
System field: (twin layout)</t>
      </text>
    </comment>
    <comment ref="G1" authorId="0" shapeId="0">
      <text>
        <t>What the cabinet is for.
Required: yes
Type: list (from rack_role)
System field: Rack.role</t>
      </text>
    </comment>
    <comment ref="H1" authorId="0" shapeId="0">
      <text>
        <t>Usable rack units (42, 45, 48…).
Required: yes
Type: integer
System field: Rack.heightU</t>
      </text>
    </comment>
    <comment ref="I1" authorId="0" shapeId="0">
      <text>
        <t>Provisioned power (kW). Live draw comes from the PDUs.
Required: yes
Type: decimal
System field: Rack.budgetKw</t>
      </text>
    </comment>
    <comment ref="J1" authorId="0" shapeId="0">
      <text>
        <t>operator, or tenant (a leased cabinet: the operator sees power and environment only).
Required: yes
Type: list (from owner)
System field: Rack.owner</t>
      </text>
    </comment>
    <comment ref="K1" authorId="0" shapeId="0">
      <text>
        <t>Required when owner = tenant.
Required: in some cases
Type: ref (from Customers)
System field: Rack.tenantId</t>
      </text>
    </comment>
    <comment ref="L1" authorId="0" shapeId="0">
      <text>
        <t>Required when owner = tenant: the power the tenant has bought.
Required: in some cases
Type: decimal
System field: Rack.contractedKw</t>
      </text>
    </comment>
    <comment ref="M1" authorId="0" shapeId="0">
      <text>
        <t>ai = high-density GPU rack or AI cage.
Required: no
Type: list (from density)
System field: Rack.density</t>
      </text>
    </comment>
    <comment ref="N1" authorId="0" shapeId="0">
      <text>
        <t>Y = direct liquid cooling.
Required: no
Type: list (from yes_no)
System field: Rack.liquid</t>
      </text>
    </comment>
    <comment ref="O1" authorId="0" shapeId="0">
      <text>
        <t>Required when liquid_cooled = Y.
Required: in some cases
Type: ref (from CDUs)
System field: AiCage.cduId / Cdu.racks</t>
      </text>
    </comment>
    <comment ref="P1" authorId="0" shapeId="0">
      <text>
        <t>Feed powering the A-side PDU.
Required: no
Type: ref (from Power_Feeds)
System field: (power path)</t>
      </text>
    </comment>
    <comment ref="Q1" authorId="0" shapeId="0">
      <text>
        <t>Feed powering the B-side PDU.
Required: no
Type: ref (from Power_Feeds)
System field: (power path)</t>
      </text>
    </comment>
    <comment ref="R1" authorId="0" shapeId="0">
      <text>
        <t>Calculated: the sum of u_size of the devices in this rack. Don't type it.
Required: calculated
Type: formula
System field: Rack.usedU</t>
      </text>
    </comment>
  </commentList>
</comments>
</file>

<file path=xl/comments/comment5.xml><?xml version="1.0" encoding="utf-8"?>
<comments xmlns="http://schemas.openxmlformats.org/spreadsheetml/2006/main">
  <authors>
    <author>DCO template</author>
  </authors>
  <commentList>
    <comment ref="A1" authorId="0" shapeId="0">
      <text>
        <t>Unique, for example MP-DC-001-AC-1.
Required: yes
Type: text
System field: PowerFeed.id</t>
      </text>
    </comment>
    <comment ref="B1" authorId="0" shapeId="0">
      <text>
        <t>Required: yes
Type: ref (from Sites)
System field: Datacenter.id</t>
      </text>
    </comment>
    <comment ref="C1" authorId="0" shapeId="0">
      <text>
        <t>AC or DC.
Required: yes
Type: list (from feed_type)
System field: PowerFeed.type</t>
      </text>
    </comment>
    <comment ref="D1" authorId="0" shapeId="0">
      <text>
        <t>For example "Utility feed A", "Rectifier RECT-01".
Required: yes
Type: text
System field: PowerFeed.source</t>
      </text>
    </comment>
    <comment ref="E1" authorId="0" shapeId="0">
      <text>
        <t>For example "630 A · 415 V" or "48 V · 2400 A".
Required: yes
Type: text
System field: PowerFeed.rating</t>
      </text>
    </comment>
    <comment ref="F1" authorId="0" shapeId="0">
      <text>
        <t>Required: yes
Type: decimal
System field: PowerFeed.capacityKw</t>
      </text>
    </comment>
    <comment ref="G1" authorId="0" shapeId="0">
      <text>
        <t>Active, or Standby (picked up by the ATS).
Required: no
Type: list (from feed_role)
System field: (ATS story)</t>
      </text>
    </comment>
    <comment ref="H1" authorId="0" shapeId="0">
      <text>
        <t>Utility connection / account number.
Required: no
Type: text
System field: (reference only)</t>
      </text>
    </comment>
  </commentList>
</comments>
</file>

<file path=xl/comments/comment6.xml><?xml version="1.0" encoding="utf-8"?>
<comments xmlns="http://schemas.openxmlformats.org/spreadsheetml/2006/main">
  <authors>
    <author>DCO template</author>
  </authors>
  <commentList>
    <comment ref="A1" authorId="0" shapeId="0">
      <text>
        <t>Required: yes
Type: text
System field: UpsUnit.id</t>
      </text>
    </comment>
    <comment ref="B1" authorId="0" shapeId="0">
      <text>
        <t>Required: yes
Type: ref (from Sites)
System field: Datacenter.id</t>
      </text>
    </comment>
    <comment ref="C1" authorId="0" shapeId="0">
      <text>
        <t>Room the UPS stands in (shown and clickable in the realistic twin).
Required: no
Type: ref (from Rooms)
System field: (twin placement)</t>
      </text>
    </comment>
    <comment ref="D1" authorId="0" shapeId="0">
      <text>
        <t>For example UPS-1.
Required: yes
Type: text
System field: UpsUnit.name</t>
      </text>
    </comment>
    <comment ref="E1" authorId="0" shapeId="0">
      <text>
        <t>Required: no
Type: text
System field: (reference only)</t>
      </text>
    </comment>
    <comment ref="F1" authorId="0" shapeId="0">
      <text>
        <t>Required: no
Type: text
System field: (reference only)</t>
      </text>
    </comment>
    <comment ref="G1" authorId="0" shapeId="0">
      <text>
        <t>Required: no
Type: text
System field: (reference only)</t>
      </text>
    </comment>
    <comment ref="H1" authorId="0" shapeId="0">
      <text>
        <t>Required: yes
Type: decimal
System field: UpsUnit.capacityKw</t>
      </text>
    </comment>
    <comment ref="I1" authorId="0" shapeId="0">
      <text>
        <t>Required: yes
Type: list (from redundancy)
System field: UpsUnit.redundancy</t>
      </text>
    </comment>
    <comment ref="J1" authorId="0" shapeId="0">
      <text>
        <t>Design autonomy at full load (minutes).
Required: yes
Type: integer
System field: UpsUnit.batteryMin</t>
      </text>
    </comment>
  </commentList>
</comments>
</file>

<file path=xl/comments/comment7.xml><?xml version="1.0" encoding="utf-8"?>
<comments xmlns="http://schemas.openxmlformats.org/spreadsheetml/2006/main">
  <authors>
    <author>DCO template</author>
  </authors>
  <commentList>
    <comment ref="A1" authorId="0" shapeId="0">
      <text>
        <t>Required: yes
Type: text
System field: (key)</t>
      </text>
    </comment>
    <comment ref="B1" authorId="0" shapeId="0">
      <text>
        <t>Required: yes
Type: ref (from Sites)
System field: Datacenter.id</t>
      </text>
    </comment>
    <comment ref="C1" authorId="0" shapeId="0">
      <text>
        <t>Required: yes
Type: text
System field: (label)</t>
      </text>
    </comment>
    <comment ref="D1" authorId="0" shapeId="0">
      <text>
        <t>Rating (kVA).
Required: yes
Type: decimal
System field: power.dg.kva</t>
      </text>
    </comment>
    <comment ref="E1" authorId="0" shapeId="0">
      <text>
        <t>Required: no
Type: decimal
System field: (fuel hours)</t>
      </text>
    </comment>
    <comment ref="F1" authorId="0" shapeId="0">
      <text>
        <t>Hours on a full tank at full load.
Required: yes
Type: decimal
System field: power.dg.runtimeH</t>
      </text>
    </comment>
    <comment ref="G1" authorId="0" shapeId="0">
      <text>
        <t>Required: no
Type: date
System field: power.dg.lastTest</t>
      </text>
    </comment>
    <comment ref="H1" authorId="0" shapeId="0">
      <text>
        <t>Required: no
Type: list (from test_result)
System field: power.dg.result</t>
      </text>
    </comment>
  </commentList>
</comments>
</file>

<file path=xl/comments/comment8.xml><?xml version="1.0" encoding="utf-8"?>
<comments xmlns="http://schemas.openxmlformats.org/spreadsheetml/2006/main">
  <authors>
    <author>DCO template</author>
  </authors>
  <commentList>
    <comment ref="A1" authorId="0" shapeId="0">
      <text>
        <t>Required: yes
Type: text
System field: (key)</t>
      </text>
    </comment>
    <comment ref="B1" authorId="0" shapeId="0">
      <text>
        <t>Required: yes
Type: ref (from Sites)
System field: Datacenter.id</t>
      </text>
    </comment>
    <comment ref="C1" authorId="0" shapeId="0">
      <text>
        <t>Required: no
Type: ref (from Rooms)
System field: (twin placement)</t>
      </text>
    </comment>
    <comment ref="D1" authorId="0" shapeId="0">
      <text>
        <t>Required: yes
Type: list (from plant_kind)
System field: (rectifier / battery)</t>
      </text>
    </comment>
    <comment ref="E1" authorId="0" shapeId="0">
      <text>
        <t>For example RECT-01, BATT-01.
Required: yes
Type: text
System field: (label)</t>
      </text>
    </comment>
    <comment ref="F1" authorId="0" shapeId="0">
      <text>
        <t>Battery banks: nominal voltage.
Required: in some cases
Type: decimal
System field: power.battery.volts</t>
      </text>
    </comment>
    <comment ref="G1" authorId="0" shapeId="0">
      <text>
        <t>Battery banks: capacity (Ah).
Required: in some cases
Type: decimal
System field: power.battery.ah</t>
      </text>
    </comment>
    <comment ref="H1" authorId="0" shapeId="0">
      <text>
        <t>Rectifiers: for example "48 V · 2400 A".
Required: in some cases
Type: text
System field: PowerFeed.rating (DC)</t>
      </text>
    </comment>
    <comment ref="I1" authorId="0" shapeId="0">
      <text>
        <t>Rectifiers: DC output (kW).
Required: in some cases
Type: decimal
System field: PowerFeed.capacityKw (DC)</t>
      </text>
    </comment>
    <comment ref="J1" authorId="0" shapeId="0">
      <text>
        <t>Battery banks: design autonomy (hours).
Required: in some cases
Type: decimal
System field: power.battery.runtimeH</t>
      </text>
    </comment>
    <comment ref="K1" authorId="0" shapeId="0">
      <text>
        <t>Required: no
Type: date
System field: power.battery.lastTest</t>
      </text>
    </comment>
  </commentList>
</comments>
</file>

<file path=xl/comments/comment9.xml><?xml version="1.0" encoding="utf-8"?>
<comments xmlns="http://schemas.openxmlformats.org/spreadsheetml/2006/main">
  <authors>
    <author>DCO template</author>
  </authors>
  <commentList>
    <comment ref="A1" authorId="0" shapeId="0">
      <text>
        <t>Required: yes
Type: text
System field: CoolingUnit.id</t>
      </text>
    </comment>
    <comment ref="B1" authorId="0" shapeId="0">
      <text>
        <t>Required: yes
Type: ref (from Sites)
System field: Datacenter.id</t>
      </text>
    </comment>
    <comment ref="C1" authorId="0" shapeId="0">
      <text>
        <t>The zone is "&lt;floor&gt; · &lt;room&gt;".
Required: yes
Type: ref (from Rooms)
System field: CoolingUnit.zone</t>
      </text>
    </comment>
    <comment ref="D1" authorId="0" shapeId="0">
      <text>
        <t>For example CRAH-11.
Required: yes
Type: text
System field: CoolingUnit.name</t>
      </text>
    </comment>
    <comment ref="E1" authorId="0" shapeId="0">
      <text>
        <t>Required: yes
Type: list (from cooling_type)
System field: CoolingUnit.type</t>
      </text>
    </comment>
    <comment ref="F1" authorId="0" shapeId="0">
      <text>
        <t>Required: no
Type: text
System field: (reference only)</t>
      </text>
    </comment>
    <comment ref="G1" authorId="0" shapeId="0">
      <text>
        <t>Required: no
Type: text
System field: (reference only)</t>
      </text>
    </comment>
    <comment ref="H1" authorId="0" shapeId="0">
      <text>
        <t>Rated cooling capacity.
Required: yes
Type: decimal
System field: CoolingUnit.capacityKw</t>
      </text>
    </comment>
    <comment ref="I1" authorId="0" shapeId="0">
      <text>
        <t>Supply air / coolant setpoint.
Required: no
Type: decimal
System field: CoolingUnit.supplyC (setpoint)</t>
      </text>
    </comment>
  </commentList>
</comments>
</file>

<file path=xl/comments/comment10.xml><?xml version="1.0" encoding="utf-8"?>
<comments xmlns="http://schemas.openxmlformats.org/spreadsheetml/2006/main">
  <authors>
    <author>DCO template</author>
  </authors>
  <commentList>
    <comment ref="A1" authorId="0" shapeId="0">
      <text>
        <t>Required: yes
Type: text
System field: Cdu.id</t>
      </text>
    </comment>
    <comment ref="B1" authorId="0" shapeId="0">
      <text>
        <t>Required: yes
Type: ref (from Sites)
System field: Cdu.dcId</t>
      </text>
    </comment>
    <comment ref="C1" authorId="0" shapeId="0">
      <text>
        <t>Required: yes
Type: ref (from Rooms)
System field: Cdu.room</t>
      </text>
    </comment>
    <comment ref="D1" authorId="0" shapeId="0">
      <text>
        <t>Required: yes
Type: text
System field: Cdu.name</t>
      </text>
    </comment>
    <comment ref="E1" authorId="0" shapeId="0">
      <text>
        <t>Required: yes
Type: decimal
System field: Cdu.capacityKw</t>
      </text>
    </comment>
    <comment ref="F1" authorId="0" shapeId="0">
      <text>
        <t>Design coolant flow (litres per minute).
Required: yes
Type: decimal
System field: Cdu.flowNominal</t>
      </text>
    </comment>
    <comment ref="G1" authorId="0" shapeId="0">
      <text>
        <t>Required: no
Type: decimal
System field: Cdu.supplyC (setpoint)</t>
      </text>
    </comment>
    <comment ref="H1" authorId="0" shapeId="0">
      <text>
        <t>Calculated from Racks.cdu_id.
Required: calculated
Type: formula
System field: Cdu.racks</t>
      </text>
    </comment>
  </commentList>
</comments>
</file>

<file path=xl/comments/comment11.xml><?xml version="1.0" encoding="utf-8"?>
<comments xmlns="http://schemas.openxmlformats.org/spreadsheetml/2006/main">
  <authors>
    <author>DCO template</author>
  </authors>
  <commentList>
    <comment ref="A1" authorId="0" shapeId="0">
      <text>
        <t>Required: yes
Type: text
System field: EnvSensor.id</t>
      </text>
    </comment>
    <comment ref="B1" authorId="0" shapeId="0">
      <text>
        <t>Required: yes
Type: ref (from Sites)
System field: Datacenter.id</t>
      </text>
    </comment>
    <comment ref="C1" authorId="0" shapeId="0">
      <text>
        <t>Required: yes
Type: ref (from Rooms)
System field: EnvSensor.zone</t>
      </text>
    </comment>
    <comment ref="D1" authorId="0" shapeId="0">
      <text>
        <t>Required: yes
Type: list (from sensor_kind)
System field: EnvSensor (temp / humidity / smoke / leak)</t>
      </text>
    </comment>
    <comment ref="E1" authorId="0" shapeId="0">
      <text>
        <t>For example "Cold aisle 1, rack A03".
Required: no
Type: text
System field: (reference only)</t>
      </text>
    </comment>
    <comment ref="F1" authorId="0" shapeId="0">
      <text>
        <t>BMS / Modbus / BACnet point name, so live readings can be matched.
Required: no
Type: text
System field: (collector mapping)</t>
      </text>
    </comment>
  </commentList>
</comments>
</file>

<file path=xl/comments/comment12.xml><?xml version="1.0" encoding="utf-8"?>
<comments xmlns="http://schemas.openxmlformats.org/spreadsheetml/2006/main">
  <authors>
    <author>DCO template</author>
  </authors>
  <commentList>
    <comment ref="A1" authorId="0" shapeId="0">
      <text>
        <t>Unique, for example MP-DC-001-BDR-01.
Required: yes
Type: text
System field: NetworkElement.id</t>
      </text>
    </comment>
    <comment ref="B1" authorId="0" shapeId="0">
      <text>
        <t>Required: yes
Type: ref (from Sites)
System field: NetworkElement.dcId</t>
      </text>
    </comment>
    <comment ref="C1" authorId="0" shapeId="0">
      <text>
        <t>As configured on the device (used to match SNMP / LLDP).
Required: yes
Type: text
System field: NetworkElement.name</t>
      </text>
    </comment>
    <comment ref="D1" authorId="0" shapeId="0">
      <text>
        <t>Tenant gear = an opaque block of customer equipment (never polled).
Required: yes
Type: list (from device_role)
System field: NetworkElement.role</t>
      </text>
    </comment>
    <comment ref="E1" authorId="0" shapeId="0">
      <text>
        <t>core / spine / leaf / access. For hosts use access.
Required: yes
Type: list (from layer)
System field: NetworkElement.layer</t>
      </text>
    </comment>
    <comment ref="F1" authorId="0" shapeId="0">
      <text>
        <t>Tenant gear: "Tenant".
Required: yes
Type: text
System field: NetworkElement.vendor</t>
      </text>
    </comment>
    <comment ref="G1" authorId="0" shapeId="0">
      <text>
        <t>Required: yes
Type: text
System field: NetworkElement.model</t>
      </text>
    </comment>
    <comment ref="H1" authorId="0" shapeId="0">
      <text>
        <t>Required: no
Type: text
System field: NetworkElement.os</t>
      </text>
    </comment>
    <comment ref="I1" authorId="0" shapeId="0">
      <text>
        <t>Required for operator devices; must be unique.
Required: in some cases
Type: text
System field: NetworkElement.serial</t>
      </text>
    </comment>
    <comment ref="J1" authorId="0" shapeId="0">
      <text>
        <t>Required for monitored devices.
Required: in some cases
Type: ip
System field: NetworkElement.ip</t>
      </text>
    </comment>
    <comment ref="K1" authorId="0" shapeId="0">
      <text>
        <t>Required: no
Type: text
System field: NetworkElement.mac</t>
      </text>
    </comment>
    <comment ref="L1" authorId="0" shapeId="0">
      <text>
        <t>Required: yes
Type: ref (from Racks)
System field: NetworkElement.rackId</t>
      </text>
    </comment>
    <comment ref="M1" authorId="0" shapeId="0">
      <text>
        <t>Lowest U the device occupies (1 = bottom).
Required: yes
Type: integer
System field: NetworkElement.u</t>
      </text>
    </comment>
    <comment ref="N1" authorId="0" shapeId="0">
      <text>
        <t>Height in U.
Required: yes
Type: integer
System field: NetworkElement.uSize</t>
      </text>
    </comment>
    <comment ref="O1" authorId="0" shapeId="0">
      <text>
        <t>Planned = reserved rack space, not installed.
Required: yes
Type: list (from lifecycle)
System field: NetworkElement.lifecycle</t>
      </text>
    </comment>
    <comment ref="P1" authorId="0" shapeId="0">
      <text>
        <t>Required: yes
Type: list (from owner)
System field: OpsState tenant-owned</t>
      </text>
    </comment>
    <comment ref="Q1" authorId="0" shapeId="0">
      <text>
        <t>Required when owner = tenant.
Required: in some cases
Type: ref (from Customers)
System field: NetworkElement.tenantId</t>
      </text>
    </comment>
    <comment ref="R1" authorId="0" shapeId="0">
      <text>
        <t>N = in the rack but not polled.
Required: yes
Type: list (from yes_no)
System field: OpsState in-service / unmonitored</t>
      </text>
    </comment>
    <comment ref="S1" authorId="0" shapeId="0">
      <text>
        <t>Required when monitored = Y.
Required: in some cases
Type: ref (from Collectors)
System field: NetworkElement.collector</t>
      </text>
    </comment>
    <comment ref="T1" authorId="0" shapeId="0">
      <text>
        <t>Y = border / PE router carrying the site's backhaul.
Required: no
Type: list (from yes_no)
System field: NetworkElement.isPe</t>
      </text>
    </comment>
  </commentList>
</comments>
</file>

<file path=xl/comments/comment13.xml><?xml version="1.0" encoding="utf-8"?>
<comments xmlns="http://schemas.openxmlformats.org/spreadsheetml/2006/main">
  <authors>
    <author>DCO template</author>
  </authors>
  <commentList>
    <comment ref="A1" authorId="0" shapeId="0">
      <text>
        <t>Required: yes
Type: ref (from Devices)
System field: NetworkElement.id</t>
      </text>
    </comment>
    <comment ref="B1" authorId="0" shapeId="0">
      <text>
        <t>For example "FPC 0", "PSU 1".
Required: yes
Type: text
System field: modules[].slot</t>
      </text>
    </comment>
    <comment ref="C1" authorId="0" shapeId="0">
      <text>
        <t>Part description.
Required: yes
Type: text
System field: modules[].name</t>
      </text>
    </comment>
    <comment ref="D1" authorId="0" shapeId="0">
      <text>
        <t>Required: no
Type: text
System field: modules[].serial</t>
      </text>
    </comment>
  </commentList>
</comments>
</file>

<file path=xl/comments/comment14.xml><?xml version="1.0" encoding="utf-8"?>
<comments xmlns="http://schemas.openxmlformats.org/spreadsheetml/2006/main">
  <authors>
    <author>DCO template</author>
  </authors>
  <commentList>
    <comment ref="A1" authorId="0" shapeId="0">
      <text>
        <t>Required: yes
Type: ref (from Devices)
System field: Interface.neId</t>
      </text>
    </comment>
    <comment ref="B1" authorId="0" shapeId="0">
      <text>
        <t>As the device names it (et-0/0/1, Ethernet1/1, swp1, ib0…).
Required: yes
Type: text
System field: Interface.name</t>
      </text>
    </comment>
    <comment ref="C1" authorId="0" shapeId="0">
      <text>
        <t>For example 100GE, 400G NDR, 1GE.
Required: yes
Type: text
System field: Interface.type</t>
      </text>
    </comment>
    <comment ref="D1" authorId="0" shapeId="0">
      <text>
        <t>Required: yes
Type: integer
System field: Interface.speedMbps</t>
      </text>
    </comment>
    <comment ref="E1" authorId="0" shapeId="0">
      <text>
        <t>up, admin-down or reserved. Operational up / down comes live.
Required: yes
Type: list (from if_admin)
System field: Interface.state</t>
      </text>
    </comment>
    <comment ref="F1" authorId="0" shapeId="0">
      <text>
        <t>Required: no
Type: text
System field: Interface.description</t>
      </text>
    </comment>
    <comment ref="G1" authorId="0" shapeId="0">
      <text>
        <t>Transceiver part.
Required: no
Type: text
System field: Interface.optics.model</t>
      </text>
    </comment>
  </commentList>
</comments>
</file>

<file path=xl/comments/comment15.xml><?xml version="1.0" encoding="utf-8"?>
<comments xmlns="http://schemas.openxmlformats.org/spreadsheetml/2006/main">
  <authors>
    <author>DCO template</author>
  </authors>
  <commentList>
    <comment ref="A1" authorId="0" shapeId="0">
      <text>
        <t>Required: yes
Type: text
System field: Link.id</t>
      </text>
    </comment>
    <comment ref="B1" authorId="0" shapeId="0">
      <text>
        <t>Required: yes
Type: ref (from Devices)
System field: Link.aNe</t>
      </text>
    </comment>
    <comment ref="C1" authorId="0" shapeId="0">
      <text>
        <t>Must exist in Interfaces for a_device_id.
Required: yes
Type: text
System field: Link.aIf</t>
      </text>
    </comment>
    <comment ref="D1" authorId="0" shapeId="0">
      <text>
        <t>May be at another site (backhaul).
Required: yes
Type: ref (from Devices)
System field: Link.zNe</t>
      </text>
    </comment>
    <comment ref="E1" authorId="0" shapeId="0">
      <text>
        <t>Required: yes
Type: text
System field: Link.zIf</t>
      </text>
    </comment>
    <comment ref="F1" authorId="0" shapeId="0">
      <text>
        <t>Fabric (inside a fabric), Uplink, Backhaul (leaves the site), Peering, Access (to a host / customer).
Required: yes
Type: list (from link_role)
System field: Link.role</t>
      </text>
    </comment>
    <comment ref="G1" authorId="0" shapeId="0">
      <text>
        <t>Default LLDP (physical). Add BGP / OSPF rows for routing adjacencies if needed.
Required: no
Type: list (from protocol)
System field: Link.protocol</t>
      </text>
    </comment>
    <comment ref="H1" authorId="0" shapeId="0">
      <text>
        <t>Required: yes
Type: integer
System field: Link.capacityMbps</t>
      </text>
    </comment>
    <comment ref="I1" authorId="0" shapeId="0">
      <text>
        <t>Cross-connect jumper or cable label. The full patching of each end goes in Cable_Paths.
Required: no
Type: text
System field: Link.physical.cable</t>
      </text>
    </comment>
    <comment ref="J1" authorId="0" shapeId="0">
      <text>
        <t>Fibre strand or pair.
Required: no
Type: text
System field: Link.physical.strand</t>
      </text>
    </comment>
    <comment ref="K1" authorId="0" shapeId="0">
      <text>
        <t>Older exports only: superseded by Cable_Paths.
Required: no
Type: text
System field: Link.physical.aPort</t>
      </text>
    </comment>
    <comment ref="L1" authorId="0" shapeId="0">
      <text>
        <t>Older exports only: superseded by Cable_Paths.
Required: no
Type: text
System field: Link.physical.zPort</t>
      </text>
    </comment>
    <comment ref="M1" authorId="0" shapeId="0">
      <text>
        <t>Backhaul: the carrier's circuit ID.
Required: in some cases
Type: text
System field: (reference only)</t>
      </text>
    </comment>
  </commentList>
</comments>
</file>

<file path=xl/comments/comment16.xml><?xml version="1.0" encoding="utf-8"?>
<comments xmlns="http://schemas.openxmlformats.org/spreadsheetml/2006/main">
  <authors>
    <author>DCO template</author>
  </authors>
  <commentList>
    <comment ref="A1" authorId="0" shapeId="0">
      <text>
        <t>Unique, for example MP-DC-001-A01-PDU-A.
Required: yes
Type: text
System field: RackPdu.id</t>
      </text>
    </comment>
    <comment ref="B1" authorId="0" shapeId="0">
      <text>
        <t>Required: yes
Type: ref (from Sites)
System field: RackPdu.dcId</t>
      </text>
    </comment>
    <comment ref="C1" authorId="0" shapeId="0">
      <text>
        <t>Required: yes
Type: ref (from Racks)
System field: RackPdu.rackId</t>
      </text>
    </comment>
    <comment ref="D1" authorId="0" shapeId="0">
      <text>
        <t>A or B. Each side should be rated for the whole cabinet, so the cabinet survives the loss of either side.
Required: yes
Type: list (from pdu_side)
System field: RackPdu.side</t>
      </text>
    </comment>
    <comment ref="E1" authorId="0" shapeId="0">
      <text>
        <t>AC rack PDU, or DC fuse panel fed from the rectifier plant.
Required: yes
Type: list (from pdu_kind)
System field: RackPdu.kind</t>
      </text>
    </comment>
    <comment ref="F1" authorId="0" shapeId="0">
      <text>
        <t>Vendor and model, for example "Raritan PX3-5902V".
Required: no
Type: text
System field: RackPdu.model</t>
      </text>
    </comment>
    <comment ref="G1" authorId="0" shapeId="0">
      <text>
        <t>230, 400 (3-phase) or 48 (DC).
Required: yes
Type: decimal
System field: RackPdu.volts</t>
      </text>
    </comment>
    <comment ref="H1" authorId="0" shapeId="0">
      <text>
        <t>1 or 3.
Required: yes
Type: integer
System field: RackPdu.phases</t>
      </text>
    </comment>
    <comment ref="I1" authorId="0" shapeId="0">
      <text>
        <t>Input breaker rating per phase (A).
Required: yes
Type: decimal
System field: RackPdu.ratingA</t>
      </text>
    </comment>
    <comment ref="J1" authorId="0" shapeId="0">
      <text>
        <t>What one side can carry. The tool checks the cabinet's draw against it for failover.
Required: yes
Type: decimal
System field: RackPdu.capacityKw</t>
      </text>
    </comment>
    <comment ref="K1" authorId="0" shapeId="0">
      <text>
        <t>Number of outlets (C13 / C19).
Required: yes
Type: integer
System field: RackPdu.outlets</t>
      </text>
    </comment>
    <comment ref="L1" authorId="0" shapeId="0">
      <text>
        <t>The UPS module (AC) or rectifier (DC) feeding this PDU: this is how a UPS fault is traced to devices.
Required: yes
Type: ref (from UPS / DC_Plant)
System field: RackPdu.upstreamId</t>
      </text>
    </comment>
    <comment ref="M1" authorId="0" shapeId="0">
      <text>
        <t>Utility feed behind that UPS.
Required: yes
Type: ref (from Power_Feeds)
System field: RackPdu.feedId</t>
      </text>
    </comment>
  </commentList>
</comments>
</file>

<file path=xl/comments/comment17.xml><?xml version="1.0" encoding="utf-8"?>
<comments xmlns="http://schemas.openxmlformats.org/spreadsheetml/2006/main">
  <authors>
    <author>DCO template</author>
  </authors>
  <commentList>
    <comment ref="A1" authorId="0" shapeId="0">
      <text>
        <t>Required: yes
Type: ref (from Devices)
System field: PowerCord.neId</t>
      </text>
    </comment>
    <comment ref="B1" authorId="0" shapeId="0">
      <text>
        <t>As the device names it (PSU1, PEM0). Tenant gear: Feed A / Feed B.
Required: yes
Type: text
System field: PowerCord.psu</t>
      </text>
    </comment>
    <comment ref="C1" authorId="0" shapeId="0">
      <text>
        <t>A PDU in the same rack as the device.
Required: yes
Type: ref (from Rack_PDUs)
System field: PowerCord.pduId</t>
      </text>
    </comment>
    <comment ref="D1" authorId="0" shapeId="0">
      <text>
        <t>Outlet number on that PDU.
Required: yes
Type: integer
System field: PowerCord.outlet</t>
      </text>
    </comment>
    <comment ref="E1" authorId="0" shapeId="0">
      <text>
        <t>Phase or bank (L1, L2, L3). Leave blank to derive it from the outlet.
Required: no
Type: text
System field: PowerCord.bankId</t>
      </text>
    </comment>
    <comment ref="F1" authorId="0" shapeId="0">
      <text>
        <t>Nameplate rating of the supply.
Required: no
Type: decimal
System field: (reference only)</t>
      </text>
    </comment>
  </commentList>
</comments>
</file>

<file path=xl/comments/comment18.xml><?xml version="1.0" encoding="utf-8"?>
<comments xmlns="http://schemas.openxmlformats.org/spreadsheetml/2006/main">
  <authors>
    <author>DCO template</author>
  </authors>
  <commentList>
    <comment ref="A1" authorId="0" shapeId="0">
      <text>
        <t>Unique, for example MP-DC-001-A01-PP-F1.
Required: yes
Type: text
System field: PatchPanel.id</t>
      </text>
    </comment>
    <comment ref="B1" authorId="0" shapeId="0">
      <text>
        <t>Required: yes
Type: ref (from Sites)
System field: PatchPanel.dcId</t>
      </text>
    </comment>
    <comment ref="C1" authorId="0" shapeId="0">
      <text>
        <t>Required: yes
Type: ref (from Racks)
System field: PatchPanel.rackId</t>
      </text>
    </comment>
    <comment ref="D1" authorId="0" shapeId="0">
      <text>
        <t>Label on the panel.
Required: yes
Type: text
System field: PatchPanel.name</t>
      </text>
    </comment>
    <comment ref="E1" authorId="0" shapeId="0">
      <text>
        <t>LC duplex (fibre), MPO (high-density fibre) or RJ45 (copper).
Required: yes
Type: list (from panel_kind)
System field: PatchPanel.kind</t>
      </text>
    </comment>
    <comment ref="F1" authorId="0" shapeId="0">
      <text>
        <t>rack = top of a cabinet; odf = in the site's patching / main distribution rack.
Required: yes
Type: list (from panel_role)
System field: PatchPanel.role</t>
      </text>
    </comment>
    <comment ref="G1" authorId="0" shapeId="0">
      <text>
        <t>Required: yes
Type: integer
System field: PatchPanel.ports</t>
      </text>
    </comment>
  </commentList>
</comments>
</file>

<file path=xl/comments/comment19.xml><?xml version="1.0" encoding="utf-8"?>
<comments xmlns="http://schemas.openxmlformats.org/spreadsheetml/2006/main">
  <authors>
    <author>DCO template</author>
  </authors>
  <commentList>
    <comment ref="A1" authorId="0" shapeId="0">
      <text>
        <t>Required: yes
Type: text
System field: Trunk.id</t>
      </text>
    </comment>
    <comment ref="B1" authorId="0" shapeId="0">
      <text>
        <t>Required: yes
Type: ref (from Sites)
System field: Trunk.dcId</t>
      </text>
    </comment>
    <comment ref="C1" authorId="0" shapeId="0">
      <text>
        <t>Required: yes
Type: ref (from Patch_Panels)
System field: Trunk.aPanel</t>
      </text>
    </comment>
    <comment ref="D1" authorId="0" shapeId="0">
      <text>
        <t>Required: yes
Type: ref (from Patch_Panels)
System field: Trunk.zPanel</t>
      </text>
    </comment>
    <comment ref="E1" authorId="0" shapeId="0">
      <text>
        <t>For example "MPO-24 OM4 trunk" or "Cat6A 24-cable bundle".
Required: yes
Type: text
System field: Trunk.kind</t>
      </text>
    </comment>
    <comment ref="F1" authorId="0" shapeId="0">
      <text>
        <t>Duplex pairs (fibre) or cables (copper).
Required: yes
Type: integer
System field: Trunk.pairs</t>
      </text>
    </comment>
    <comment ref="G1" authorId="0" shapeId="0">
      <text>
        <t>Tray route. Two diverse routes let dual-homed devices survive one cut tray.
Required: yes
Type: list (from tray_route)
System field: Trunk.route</t>
      </text>
    </comment>
    <comment ref="H1" authorId="0" shapeId="0">
      <text>
        <t>Required: no
Type: decimal
System field: Trunk.lengthM</t>
      </text>
    </comment>
  </commentList>
</comments>
</file>

<file path=xl/comments/comment20.xml><?xml version="1.0" encoding="utf-8"?>
<comments xmlns="http://schemas.openxmlformats.org/spreadsheetml/2006/main">
  <authors>
    <author>DCO template</author>
  </authors>
  <commentList>
    <comment ref="A1" authorId="0" shapeId="0">
      <text>
        <t>Required: yes
Type: ref (from Links)
System field: CablePath.linkId</t>
      </text>
    </comment>
    <comment ref="B1" authorId="0" shapeId="0">
      <text>
        <t>A = the a_device of the link, Z = the z_device.
Required: yes
Type: list (from link_end)
System field: (A / Z end)</t>
      </text>
    </comment>
    <comment ref="C1" authorId="0" shapeId="0">
      <text>
        <t>Required: yes
Type: ref (from Devices)
System field: CableHop (port)</t>
      </text>
    </comment>
    <comment ref="D1" authorId="0" shapeId="0">
      <text>
        <t>Label on the patch cord or DAC / AOC cable.
Required: no
Type: text
System field: CableHop (cord)</t>
      </text>
    </comment>
    <comment ref="E1" authorId="0" shapeId="0">
      <text>
        <t>Required when the cable leaves the cabinet: the cabinet's patch panel.
Required: in some cases
Type: ref (from Patch_Panels)
System field: CableHop (panel)</t>
      </text>
    </comment>
    <comment ref="F1" authorId="0" shapeId="0">
      <text>
        <t>Required: in some cases
Type: integer
System field: CableHop (panel)</t>
      </text>
    </comment>
    <comment ref="G1" authorId="0" shapeId="0">
      <text>
        <t>Trunk from that panel to the ODF.
Required: in some cases
Type: ref (from Trunk_Cables)
System field: CableHop (trunk)</t>
      </text>
    </comment>
    <comment ref="H1" authorId="0" shapeId="0">
      <text>
        <t>ODF panel where the trunk lands; the cross-connect jumper is patched here.
Required: in some cases
Type: ref (from Patch_Panels)
System field: CableHop (panel)</t>
      </text>
    </comment>
    <comment ref="I1" authorId="0" shapeId="0">
      <text>
        <t>Required: in some cases
Type: integer
System field: CableHop (panel)</t>
      </text>
    </comment>
    <comment ref="J1" authorId="0" shapeId="0">
      <text>
        <t>Backhaul only: core of the outside-plant cable on the ODF.
Required: in some cases
Type: integer
System field: CableHop (osp)</t>
      </text>
    </comment>
  </commentList>
</comments>
</file>

<file path=xl/comments/comment21.xml><?xml version="1.0" encoding="utf-8"?>
<comments xmlns="http://schemas.openxmlformats.org/spreadsheetml/2006/main">
  <authors>
    <author>DCO template</author>
  </authors>
  <commentList>
    <comment ref="A1" authorId="0" shapeId="0">
      <text>
        <t>Required: yes
Type: ref (from Racks)
System field: RackCooling.rackId</t>
      </text>
    </comment>
    <comment ref="B1" authorId="0" shapeId="0">
      <text>
        <t>The CRAH / CRAC this rack depends on first.
Required: yes
Type: ref (from Cooling_Units)
System field: RackCooling.primaryId</t>
      </text>
    </comment>
    <comment ref="C1" authorId="0" shapeId="0">
      <text>
        <t>Liquid-cooled racks.
Required: in some cases
Type: ref (from CDUs)
System field: RackCooling.cduId</t>
      </text>
    </comment>
  </commentList>
</comments>
</file>

<file path=xl/comments/comment22.xml><?xml version="1.0" encoding="utf-8"?>
<comments xmlns="http://schemas.openxmlformats.org/spreadsheetml/2006/main">
  <authors>
    <author>DCO template</author>
  </authors>
  <commentList>
    <comment ref="A1" authorId="0" shapeId="0">
      <text>
        <t>Required: yes
Type: text
System field: GpuCluster.id</t>
      </text>
    </comment>
    <comment ref="B1" authorId="0" shapeId="0">
      <text>
        <t>Required: yes
Type: ref (from Sites)
System field: GpuCluster.dcId</t>
      </text>
    </comment>
    <comment ref="C1" authorId="0" shapeId="0">
      <text>
        <t>Required: yes
Type: ref (from Rooms)
System field: GpuCluster.room</t>
      </text>
    </comment>
    <comment ref="D1" authorId="0" shapeId="0">
      <text>
        <t>Required: yes
Type: text
System field: GpuCluster.name</t>
      </text>
    </comment>
    <comment ref="E1" authorId="0" shapeId="0">
      <text>
        <t>Required: yes
Type: list (from scheduler)
System field: GpuCluster.scheduler</t>
      </text>
    </comment>
    <comment ref="F1" authorId="0" shapeId="0">
      <text>
        <t>For example "InfiniBand NDR 400G, rail-optimised".
Required: yes
Type: text
System field: GpuCluster.fabric</t>
      </text>
    </comment>
    <comment ref="G1" authorId="0" shapeId="0">
      <text>
        <t>One model per cluster.
Required: yes
Type: list (from gpu_model)
System field: GpuCluster.model</t>
      </text>
    </comment>
    <comment ref="H1" authorId="0" shapeId="0">
      <text>
        <t>Required: yes
Type: list (from air_liquid)
System field: GpuCluster.cooling</t>
      </text>
    </comment>
    <comment ref="I1" authorId="0" shapeId="0">
      <text>
        <t>Calculated from GPU_Nodes.
Required: calculated
Type: formula
System field: GpuCluster.nodes</t>
      </text>
    </comment>
  </commentList>
</comments>
</file>

<file path=xl/comments/comment23.xml><?xml version="1.0" encoding="utf-8"?>
<comments xmlns="http://schemas.openxmlformats.org/spreadsheetml/2006/main">
  <authors>
    <author>DCO template</author>
  </authors>
  <commentList>
    <comment ref="A1" authorId="0" shapeId="0">
      <text>
        <t>Required: yes
Type: ref (from Devices)
System field: GpuNode.neId</t>
      </text>
    </comment>
    <comment ref="B1" authorId="0" shapeId="0">
      <text>
        <t>Required: yes
Type: ref (from GPU_Clusters)
System field: GpuNode.clusterId</t>
      </text>
    </comment>
    <comment ref="C1" authorId="0" shapeId="0">
      <text>
        <t>Must match the cluster.
Required: yes
Type: list (from gpu_model)
System field: GpuNode.model</t>
      </text>
    </comment>
    <comment ref="D1" authorId="0" shapeId="0">
      <text>
        <t>Required: yes
Type: list (from gpu_vendor)
System field: GpuNode.vendor</t>
      </text>
    </comment>
    <comment ref="E1" authorId="0" shapeId="0">
      <text>
        <t>Usually 8.
Required: yes
Type: integer
System field: GpuNode.gpus.length</t>
      </text>
    </comment>
    <comment ref="F1" authorId="0" shapeId="0">
      <text>
        <t>Required: yes
Type: text
System field: GpuNode.server</t>
      </text>
    </comment>
    <comment ref="G1" authorId="0" shapeId="0">
      <text>
        <t>Required: yes
Type: list (from air_liquid)
System field: GpuNode.cooling</t>
      </text>
    </comment>
    <comment ref="H1" authorId="0" shapeId="0">
      <text>
        <t>Installed driver version.
Required: no
Type: text
System field: GpuNode.driver</t>
      </text>
    </comment>
    <comment ref="I1" authorId="0" shapeId="0">
      <text>
        <t>Required: no
Type: text
System field: GpuNode.firmware</t>
      </text>
    </comment>
  </commentList>
</comments>
</file>

<file path=xl/comments/comment24.xml><?xml version="1.0" encoding="utf-8"?>
<comments xmlns="http://schemas.openxmlformats.org/spreadsheetml/2006/main">
  <authors>
    <author>DCO template</author>
  </authors>
  <commentList>
    <comment ref="A1" authorId="0" shapeId="0">
      <text>
        <t>Required: yes
Type: text
System field: Customer.id</t>
      </text>
    </comment>
    <comment ref="B1" authorId="0" shapeId="0">
      <text>
        <t>Required: yes
Type: text
System field: Customer.name</t>
      </text>
    </comment>
    <comment ref="C1" authorId="0" shapeId="0">
      <text>
        <t>For example BFSI, Media, AI / ML, Healthcare.
Required: yes
Type: text
System field: Customer.segment</t>
      </text>
    </comment>
    <comment ref="D1" authorId="0" shapeId="0">
      <text>
        <t>Billing city.
Required: yes
Type: text
System field: Customer.city</t>
      </text>
    </comment>
    <comment ref="E1" authorId="0" shapeId="0">
      <text>
        <t>Required: yes
Type: text
System field: Customer.state</t>
      </text>
    </comment>
    <comment ref="F1" authorId="0" shapeId="0">
      <text>
        <t>Contract or plan name.
Required: yes
Type: text
System field: Customer.plan</t>
      </text>
    </comment>
    <comment ref="G1" authorId="0" shapeId="0">
      <text>
        <t>Y = premium SLA (counted on the Command center).
Required: yes
Type: list (from yes_no)
System field: Customer.premium</t>
      </text>
    </comment>
    <comment ref="H1" authorId="0" shapeId="0">
      <text>
        <t>Required: no
Type: text
System field: Customer.accountManager</t>
      </text>
    </comment>
    <comment ref="I1" authorId="0" shapeId="0">
      <text>
        <t>Calculated: the sum of this customer's Services. Don't type it.
Required: calculated
Type: formula
System field: Customer.revenueMonthly</t>
      </text>
    </comment>
  </commentList>
</comments>
</file>

<file path=xl/comments/comment25.xml><?xml version="1.0" encoding="utf-8"?>
<comments xmlns="http://schemas.openxmlformats.org/spreadsheetml/2006/main">
  <authors>
    <author>DCO template</author>
  </authors>
  <commentList>
    <comment ref="A1" authorId="0" shapeId="0">
      <text>
        <t>Required: yes
Type: text
System field: Service.id</t>
      </text>
    </comment>
    <comment ref="B1" authorId="0" shapeId="0">
      <text>
        <t>Required: yes
Type: ref (from Customers)
System field: Service.customerId</t>
      </text>
    </comment>
    <comment ref="C1" authorId="0" shapeId="0">
      <text>
        <t>Required: yes
Type: list (from service_type)
System field: Service.type</t>
      </text>
    </comment>
    <comment ref="D1" authorId="0" shapeId="0">
      <text>
        <t>Required: yes
Type: ref (from Sites)
System field: Service.dcId</t>
      </text>
    </comment>
    <comment ref="E1" authorId="0" shapeId="0">
      <text>
        <t>The device the service is delivered on (port, GPU node, MMR switch…).
Required: in some cases
Type: ref (from Devices)
System field: Service.neId</t>
      </text>
    </comment>
    <comment ref="F1" authorId="0" shapeId="0">
      <text>
        <t>Hand-off port for circuits and cross-connects.
Required: no
Type: text
System field: Service.ifName</t>
      </text>
    </comment>
    <comment ref="G1" authorId="0" shapeId="0">
      <text>
        <t>Cabinet leases / power circuits: rack ids, separated by ";".
Required: in some cases
Type: text
System field: Service path (racks)</t>
      </text>
    </comment>
    <comment ref="H1" authorId="0" shapeId="0">
      <text>
        <t>GPU services: GPU node device ids, separated by ";".
Required: in some cases
Type: text
System field: Service.path (job nodes)</t>
      </text>
    </comment>
    <comment ref="I1" authorId="0" shapeId="0">
      <text>
        <t>Required: yes
Type: decimal
System field: Service.qty</t>
      </text>
    </comment>
    <comment ref="J1" authorId="0" shapeId="0">
      <text>
        <t>Required: yes
Type: list (from service_unit)
System field: Service.unit</t>
      </text>
    </comment>
    <comment ref="K1" authorId="0" shapeId="0">
      <text>
        <t>Circuits and cross-connects.
Required: no
Type: integer
System field: Service.bandwidthMbps</t>
      </text>
    </comment>
    <comment ref="L1" authorId="0" shapeId="0">
      <text>
        <t>For example 99.95.
Required: yes
Type: decimal
System field: Service.slaTarget</t>
      </text>
    </comment>
    <comment ref="M1" authorId="0" shapeId="0">
      <text>
        <t>Monthly charge in the site currency (₹).
Required: yes
Type: decimal
System field: Service.revenueMonthly</t>
      </text>
    </comment>
    <comment ref="N1" authorId="0" shapeId="0">
      <text>
        <t>Y = business-critical for the customer.
Required: yes
Type: list (from yes_no)
System field: Service.critical</t>
      </text>
    </comment>
    <comment ref="O1" authorId="0" shapeId="0">
      <text>
        <t>Required: no
Type: date
System field: (reference only)</t>
      </text>
    </comment>
  </commentList>
</comments>
</file>

<file path=xl/comments/comment26.xml><?xml version="1.0" encoding="utf-8"?>
<comments xmlns="http://schemas.openxmlformats.org/spreadsheetml/2006/main">
  <authors>
    <author>DCO template</author>
  </authors>
  <commentList>
    <comment ref="A1" authorId="0" shapeId="0">
      <text>
        <t>Required: yes
Type: text
System field: collectors[].id</t>
      </text>
    </comment>
    <comment ref="B1" authorId="0" shapeId="0">
      <text>
        <t>Required: yes
Type: ref (from Sites)
System field: Datacenter.id</t>
      </text>
    </comment>
    <comment ref="C1" authorId="0" shapeId="0">
      <text>
        <t>Required: yes
Type: text
System field: collectors[].name</t>
      </text>
    </comment>
    <comment ref="D1" authorId="0" shapeId="0">
      <text>
        <t>Required: yes
Type: list (from collector_protocol)
System field: (integration)</t>
      </text>
    </comment>
    <comment ref="E1" authorId="0" shapeId="0">
      <text>
        <t>Network, Facility (BMS / EPMS), Compute (BMC), GPU (DCGM).
Required: yes
Type: list (from collector_domain)
System field: (integration)</t>
      </text>
    </comment>
    <comment ref="F1" authorId="0" shapeId="0">
      <text>
        <t>Required: no
Type: ip
System field: (integration)</t>
      </text>
    </comment>
    <comment ref="G1" authorId="0" shapeId="0">
      <text>
        <t>What it polls.
Required: no
Type: text
System field: (integration)</t>
      </text>
    </comment>
  </commentList>
</comments>
</file>

<file path=xl/comments/comment27.xml><?xml version="1.0" encoding="utf-8"?>
<comments xmlns="http://schemas.openxmlformats.org/spreadsheetml/2006/main">
  <authors>
    <author>DCO template</author>
  </authors>
  <commentList>
    <comment ref="A1" authorId="0" shapeId="0">
      <text>
        <t>Required: yes
Type: text
System field: FireZone.id</t>
      </text>
    </comment>
    <comment ref="B1" authorId="0" shapeId="0">
      <text>
        <t>Required: yes
Type: ref (from Sites)
System field: FireZone.dcId</t>
      </text>
    </comment>
    <comment ref="C1" authorId="0" shapeId="0">
      <text>
        <t>Required: yes
Type: ref (from Rooms)
System field: FireZone.zone</t>
      </text>
    </comment>
    <comment ref="D1" authorId="0" shapeId="0">
      <text>
        <t>VESDA (aspirating) in data halls; point smoke + heat elsewhere.
Required: yes
Type: list (from detection)
System field: FireZone.detection</t>
      </text>
    </comment>
    <comment ref="E1" authorId="0" shapeId="0">
      <text>
        <t>Required: yes
Type: list (from suppression)
System field: FireZone.suppression</t>
      </text>
    </comment>
    <comment ref="F1" authorId="0" shapeId="0">
      <text>
        <t>Armed (auto) in normal operation.
Required: yes
Type: list (from release_mode)
System field: FireZone.release</t>
      </text>
    </comment>
    <comment ref="G1" authorId="0" shapeId="0">
      <text>
        <t>Quarterly inspection; the tool flags it overdue after 91 days.
Required: yes
Type: date
System field: FireZone.lastInspection</t>
      </text>
    </comment>
    <comment ref="H1" authorId="0" shapeId="0">
      <text>
        <t>Fire-panel / BMS point for live detector state.
Required: no
Type: text
System field: (collector mapping)</t>
      </text>
    </comment>
  </commentList>
</comments>
</file>

<file path=xl/comments/comment28.xml><?xml version="1.0" encoding="utf-8"?>
<comments xmlns="http://schemas.openxmlformats.org/spreadsheetml/2006/main">
  <authors>
    <author>DCO template</author>
  </authors>
  <commentList>
    <comment ref="A1" authorId="0" shapeId="0">
      <text>
        <t>Required: yes
Type: text
System field: LeakZone.id</t>
      </text>
    </comment>
    <comment ref="B1" authorId="0" shapeId="0">
      <text>
        <t>Required: yes
Type: ref (from Sites)
System field: LeakZone.dcId</t>
      </text>
    </comment>
    <comment ref="C1" authorId="0" shapeId="0">
      <text>
        <t>Required: yes
Type: ref (from Rooms)
System field: LeakZone.zone</t>
      </text>
    </comment>
    <comment ref="D1" authorId="0" shapeId="0">
      <text>
        <t>What the rope runs under (CRAH-11, CDU-01 manifold…).
Required: yes
Type: text
System field: LeakZone.covers</t>
      </text>
    </comment>
    <comment ref="E1" authorId="0" shapeId="0">
      <text>
        <t>Required: no
Type: decimal
System field: LeakZone.lengthM</t>
      </text>
    </comment>
    <comment ref="F1" authorId="0" shapeId="0">
      <text>
        <t>Last wet test.
Required: no
Type: date
System field: LeakZone.lastTest</t>
      </text>
    </comment>
  </commentList>
</comments>
</file>

<file path=xl/comments/comment29.xml><?xml version="1.0" encoding="utf-8"?>
<comments xmlns="http://schemas.openxmlformats.org/spreadsheetml/2006/main">
  <authors>
    <author>DCO template</author>
  </authors>
  <commentList>
    <comment ref="A1" authorId="0" shapeId="0">
      <text>
        <t>Required: yes
Type: text
System field: AccessPoint.id</t>
      </text>
    </comment>
    <comment ref="B1" authorId="0" shapeId="0">
      <text>
        <t>Required: yes
Type: ref (from Sites)
System field: AccessPoint.dcId</t>
      </text>
    </comment>
    <comment ref="C1" authorId="0" shapeId="0">
      <text>
        <t>Required: yes
Type: text
System field: AccessPoint.name</t>
      </text>
    </comment>
    <comment ref="D1" authorId="0" shapeId="0">
      <text>
        <t>Required: no
Type: ref (from Rooms)
System field: AccessPoint.zone</t>
      </text>
    </comment>
    <comment ref="E1" authorId="0" shapeId="0">
      <text>
        <t>Required: yes
Type: list (from door_kind)
System field: AccessPoint.kind</t>
      </text>
    </comment>
    <comment ref="F1" authorId="0" shapeId="0">
      <text>
        <t>Required: yes
Type: list (from reader)
System field: AccessPoint.reader</t>
      </text>
    </comment>
    <comment ref="G1" authorId="0" shapeId="0">
      <text>
        <t>Cage doors: the tenant whose badges open it.
Required: in some cases
Type: ref (from Customers)
System field: AccessPoint.tenantId</t>
      </text>
    </comment>
  </commentList>
</comments>
</file>

<file path=xl/comments/comment30.xml><?xml version="1.0" encoding="utf-8"?>
<comments xmlns="http://schemas.openxmlformats.org/spreadsheetml/2006/main">
  <authors>
    <author>DCO template</author>
  </authors>
  <commentList>
    <comment ref="A1" authorId="0" shapeId="0">
      <text>
        <t>Required: yes
Type: text
System field: contract.id</t>
      </text>
    </comment>
    <comment ref="B1" authorId="0" shapeId="0">
      <text>
        <t>Required: yes
Type: ref (from Sites)
System field: (scope)</t>
      </text>
    </comment>
    <comment ref="C1" authorId="0" shapeId="0">
      <text>
        <t>Required: yes
Type: text
System field: (vendor)</t>
      </text>
    </comment>
    <comment ref="D1" authorId="0" shapeId="0">
      <text>
        <t>24×7×4 = 4-hour on-site response; NBD = next business day.
Required: yes
Type: list (from support_level)
System field: contract.level</t>
      </text>
    </comment>
    <comment ref="E1" authorId="0" shapeId="0">
      <text>
        <t>Required: no
Type: date
System field: (reference only)</t>
      </text>
    </comment>
    <comment ref="F1" authorId="0" shapeId="0">
      <text>
        <t>The tool flags devices whose contract ends within 90 days.
Required: yes
Type: date
System field: contract.expires</t>
      </text>
    </comment>
  </commentList>
</comments>
</file>

<file path=xl/comments/comment31.xml><?xml version="1.0" encoding="utf-8"?>
<comments xmlns="http://schemas.openxmlformats.org/spreadsheetml/2006/main">
  <authors>
    <author>DCO template</author>
  </authors>
  <commentList>
    <comment ref="A1" authorId="0" shapeId="0">
      <text>
        <t>Required: yes
Type: ref (from Devices)
System field: AssetLife.neId</t>
      </text>
    </comment>
    <comment ref="B1" authorId="0" shapeId="0">
      <text>
        <t>Required: yes
Type: date
System field: AssetLife.installed</t>
      </text>
    </comment>
    <comment ref="C1" authorId="0" shapeId="0">
      <text>
        <t>Required: yes
Type: date
System field: AssetLife.warrantyEnd</t>
      </text>
    </comment>
    <comment ref="D1" authorId="0" shapeId="0">
      <text>
        <t>Blank = warranty only.
Required: no
Type: ref (from Support_Contracts)
System field: AssetLife.contract</t>
      </text>
    </comment>
  </commentList>
</comments>
</file>

<file path=xl/comments/comment32.xml><?xml version="1.0" encoding="utf-8"?>
<comments xmlns="http://schemas.openxmlformats.org/spreadsheetml/2006/main">
  <authors>
    <author>DCO template</author>
  </authors>
  <commentList>
    <comment ref="A1" authorId="0" shapeId="0">
      <text>
        <t>Required: yes
Type: text
System field: AssetLife.vendor</t>
      </text>
    </comment>
    <comment ref="B1" authorId="0" shapeId="0">
      <text>
        <t>Exactly as in Devices.model.
Required: yes
Type: text
System field: AssetLife.model</t>
      </text>
    </comment>
    <comment ref="C1" authorId="0" shapeId="0">
      <text>
        <t>Required: yes
Type: date
System field: AssetLife.endOfSale</t>
      </text>
    </comment>
    <comment ref="D1" authorId="0" shapeId="0">
      <text>
        <t>Past this date the device is flagged End of support.
Required: yes
Type: date
System field: AssetLife.endOfSupport</t>
      </text>
    </comment>
  </commentList>
</comments>
</file>

<file path=xl/comments/comment33.xml><?xml version="1.0" encoding="utf-8"?>
<comments xmlns="http://schemas.openxmlformats.org/spreadsheetml/2006/main">
  <authors>
    <author>DCO template</author>
  </authors>
  <commentList>
    <comment ref="A1" authorId="0" shapeId="0">
      <text>
        <t>Required: yes
Type: ref (from Sites)
System field: SparePart.dcId</t>
      </text>
    </comment>
    <comment ref="B1" authorId="0" shapeId="0">
      <text>
        <t>Part family, for example "DELL power supply", "SFP-10G-LR", "H200 SXM 141 GB board".
Required: yes
Type: text
System field: SparePart.part</t>
      </text>
    </comment>
    <comment ref="C1" authorId="0" shapeId="0">
      <text>
        <t>Required: no
Type: text
System field: SparePart.fits</t>
      </text>
    </comment>
    <comment ref="D1" authorId="0" shapeId="0">
      <text>
        <t>Required: yes
Type: integer
System field: SparePart.onHand</t>
      </text>
    </comment>
    <comment ref="E1" authorId="0" shapeId="0">
      <text>
        <t>The tool flags Low when the free count falls below it.
Required: yes
Type: integer
System field: SparePart.min</t>
      </text>
    </comment>
  </commentList>
</comments>
</file>

<file path=xl/comments/comment34.xml><?xml version="1.0" encoding="utf-8"?>
<comments xmlns="http://schemas.openxmlformats.org/spreadsheetml/2006/main">
  <authors>
    <author>DCO template</author>
  </authors>
  <commentList>
    <comment ref="A1" authorId="0" shapeId="0">
      <text>
        <t>Required: yes
Type: text
System field: PmTask.id</t>
      </text>
    </comment>
    <comment ref="B1" authorId="0" shapeId="0">
      <text>
        <t>Required: yes
Type: ref (from Sites)
System field: PmTask.dcId</t>
      </text>
    </comment>
    <comment ref="C1" authorId="0" shapeId="0">
      <text>
        <t>UPS, cooling unit, fire zone, DG… id from the sheets above.
Required: yes
Type: text
System field: PmTask.assetId</t>
      </text>
    </comment>
    <comment ref="D1" authorId="0" shapeId="0">
      <text>
        <t>Required: yes
Type: list (from pm_kind)
System field: PmTask.kind</t>
      </text>
    </comment>
    <comment ref="E1" authorId="0" shapeId="0">
      <text>
        <t>Required: yes
Type: text
System field: PmTask.task</t>
      </text>
    </comment>
    <comment ref="F1" authorId="0" shapeId="0">
      <text>
        <t>Required: yes
Type: integer
System field: PmTask.intervalDays</t>
      </text>
    </comment>
    <comment ref="G1" authorId="0" shapeId="0">
      <text>
        <t>Next due = last done + interval.
Required: yes
Type: date
System field: PmTask.lastDone</t>
      </text>
    </comment>
    <comment ref="H1" authorId="0" shapeId="0">
      <text>
        <t>Required: no
Type: text
System field: PmTask.owner</t>
      </text>
    </comment>
  </commentList>
</comments>
</file>

<file path=xl/comments/comment35.xml><?xml version="1.0" encoding="utf-8"?>
<comments xmlns="http://schemas.openxmlformats.org/spreadsheetml/2006/main">
  <authors>
    <author>DCO template</author>
  </authors>
  <commentList>
    <comment ref="A1" authorId="0" shapeId="0">
      <text>
        <t>Region as in Sites.region.
Required: yes
Type: text
System field: Region.name</t>
      </text>
    </comment>
    <comment ref="B1" authorId="0" shapeId="0">
      <text>
        <t>Required: yes
Type: list (from oncall_role)
System field: OnCall.role</t>
      </text>
    </comment>
    <comment ref="C1" authorId="0" shapeId="0">
      <text>
        <t>Required: yes
Type: text
System field: OnCall.name</t>
      </text>
    </comment>
    <comment ref="D1" authorId="0" shapeId="0">
      <text>
        <t>1, 2 or 3.
Required: yes
Type: integer
System field: OnCall.tier</t>
      </text>
    </comment>
    <comment ref="E1" authorId="0" shapeId="0">
      <text>
        <t>Minutes before an unacknowledged page escalates.
Required: yes
Type: integer
System field: OnCall.escalateAfterMin</t>
      </text>
    </comment>
    <comment ref="F1" authorId="0" shapeId="0">
      <text>
        <t>Required: no
Type: text
System field: (paging)</t>
      </text>
    </comment>
  </commentList>
</comments>
</file>

<file path=xl/comments/comment36.xml><?xml version="1.0" encoding="utf-8"?>
<comments xmlns="http://schemas.openxmlformats.org/spreadsheetml/2006/main">
  <authors>
    <author>DCO template</author>
  </authors>
  <commentList>
    <comment ref="A1" authorId="0" shapeId="0">
      <text>
        <t>Required: no
Type: text
System field: Alert.id</t>
      </text>
    </comment>
    <comment ref="B1" authorId="0" shapeId="0">
      <text>
        <t>Required: no
Type: text
System field: Alert.dcId</t>
      </text>
    </comment>
    <comment ref="C1" authorId="0" shapeId="0">
      <text>
        <t>Required: no
Type: text
System field: Alert.severity</t>
      </text>
    </comment>
    <comment ref="D1" authorId="0" shapeId="0">
      <text>
        <t>Required: no
Type: text
System field: Alert.state</t>
      </text>
    </comment>
    <comment ref="E1" authorId="0" shapeId="0">
      <text>
        <t>Required: no
Type: text
System field: Alert.title</t>
      </text>
    </comment>
    <comment ref="F1" authorId="0" shapeId="0">
      <text>
        <t>Required: no
Type: text
System field: Alert.source</t>
      </text>
    </comment>
    <comment ref="G1" authorId="0" shapeId="0">
      <text>
        <t>Required: no
Type: text
System field: Alert.category</t>
      </text>
    </comment>
    <comment ref="H1" authorId="0" shapeId="0">
      <text>
        <t>Required: no
Type: text
System field: Alert.scope</t>
      </text>
    </comment>
    <comment ref="I1" authorId="0" shapeId="0">
      <text>
        <t>Required: no
Type: text
System field: Alert.neId / node</t>
      </text>
    </comment>
    <comment ref="J1" authorId="0" shapeId="0">
      <text>
        <t>Required: no
Type: text
System field: Alert.ifName</t>
      </text>
    </comment>
    <comment ref="K1" authorId="0" shapeId="0">
      <text>
        <t>Required: no
Type: text
System field: Alert.linkId / rackId</t>
      </text>
    </comment>
    <comment ref="L1" authorId="0" shapeId="0">
      <text>
        <t>Required: no
Type: text
System field: Alert.start</t>
      </text>
    </comment>
    <comment ref="M1" authorId="0" shapeId="0">
      <text>
        <t>Required: no
Type: text
System field: Alert.incidentId</t>
      </text>
    </comment>
  </commentList>
</comments>
</file>

<file path=xl/comments/comment37.xml><?xml version="1.0" encoding="utf-8"?>
<comments xmlns="http://schemas.openxmlformats.org/spreadsheetml/2006/main">
  <authors>
    <author>DCO template</author>
  </authors>
  <commentList>
    <comment ref="A1" authorId="0" shapeId="0">
      <text>
        <t>Required: no
Type: text
System field: Incident.id</t>
      </text>
    </comment>
    <comment ref="B1" authorId="0" shapeId="0">
      <text>
        <t>Required: no
Type: text
System field: Incident.dcId</t>
      </text>
    </comment>
    <comment ref="C1" authorId="0" shapeId="0">
      <text>
        <t>Required: no
Type: text
System field: Incident.sev</t>
      </text>
    </comment>
    <comment ref="D1" authorId="0" shapeId="0">
      <text>
        <t>Required: no
Type: text
System field: Incident.status</t>
      </text>
    </comment>
    <comment ref="E1" authorId="0" shapeId="0">
      <text>
        <t>Required: no
Type: text
System field: Incident.type</t>
      </text>
    </comment>
    <comment ref="F1" authorId="0" shapeId="0">
      <text>
        <t>Required: no
Type: text
System field: Incident.title</t>
      </text>
    </comment>
    <comment ref="G1" authorId="0" shapeId="0">
      <text>
        <t>Required: no
Type: text
System field: Incident.owner</t>
      </text>
    </comment>
    <comment ref="H1" authorId="0" shapeId="0">
      <text>
        <t>Required: no
Type: text
System field: Incident.detected</t>
      </text>
    </comment>
    <comment ref="I1" authorId="0" shapeId="0">
      <text>
        <t>Required: no
Type: text
System field: Incident.resolved</t>
      </text>
    </comment>
    <comment ref="J1" authorId="0" shapeId="0">
      <text>
        <t>Required: no
Type: text
System field: Incident.alertIds</t>
      </text>
    </comment>
    <comment ref="K1" authorId="0" shapeId="0">
      <text>
        <t>Required: no
Type: text
System field: impact.services</t>
      </text>
    </comment>
    <comment ref="L1" authorId="0" shapeId="0">
      <text>
        <t>Required: no
Type: text
System field: impact.customers</t>
      </text>
    </comment>
    <comment ref="M1" authorId="0" shapeId="0">
      <text>
        <t>Required: no
Type: text
System field: impact.revenueAtRisk</t>
      </text>
    </comment>
  </commentList>
</comments>
</file>

<file path=xl/comments/comment38.xml><?xml version="1.0" encoding="utf-8"?>
<comments xmlns="http://schemas.openxmlformats.org/spreadsheetml/2006/main">
  <authors>
    <author>DCO template</author>
  </authors>
  <commentList>
    <comment ref="A1" authorId="0" shapeId="0">
      <text>
        <t>Required: no
Type: text
System field: Change.id</t>
      </text>
    </comment>
    <comment ref="B1" authorId="0" shapeId="0">
      <text>
        <t>Required: no
Type: text
System field: Change.dcId</t>
      </text>
    </comment>
    <comment ref="C1" authorId="0" shapeId="0">
      <text>
        <t>Required: no
Type: text
System field: Change.kind</t>
      </text>
    </comment>
    <comment ref="D1" authorId="0" shapeId="0">
      <text>
        <t>Required: no
Type: text
System field: Change.title</t>
      </text>
    </comment>
    <comment ref="E1" authorId="0" shapeId="0">
      <text>
        <t>Required: no
Type: text
System field: Change.status</t>
      </text>
    </comment>
    <comment ref="F1" authorId="0" shapeId="0">
      <text>
        <t>Required: no
Type: text
System field: Change.risk</t>
      </text>
    </comment>
    <comment ref="G1" authorId="0" shapeId="0">
      <text>
        <t>Required: no
Type: text
System field: Change.windowStart</t>
      </text>
    </comment>
    <comment ref="H1" authorId="0" shapeId="0">
      <text>
        <t>Required: no
Type: text
System field: Change.windowEnd</t>
      </text>
    </comment>
    <comment ref="I1" authorId="0" shapeId="0">
      <text>
        <t>Required: no
Type: text
System field: Change.requester</t>
      </text>
    </comment>
    <comment ref="J1" authorId="0" shapeId="0">
      <text>
        <t>Required: no
Type: text
System field: Change.approver</t>
      </text>
    </comment>
    <comment ref="K1" authorId="0" shapeId="0">
      <text>
        <t>Required: no
Type: text
System field: Change.scope</t>
      </text>
    </comment>
  </commentList>
</comments>
</file>

<file path=xl/comments/comment39.xml><?xml version="1.0" encoding="utf-8"?>
<comments xmlns="http://schemas.openxmlformats.org/spreadsheetml/2006/main">
  <authors>
    <author>DCO template</author>
  </authors>
  <commentList>
    <comment ref="A1" authorId="0" shapeId="0">
      <text>
        <t>Required: no
Type: text
System field: RmaCase.id</t>
      </text>
    </comment>
    <comment ref="B1" authorId="0" shapeId="0">
      <text>
        <t>Required: no
Type: text
System field: RmaCase.dcId</t>
      </text>
    </comment>
    <comment ref="C1" authorId="0" shapeId="0">
      <text>
        <t>Required: no
Type: text
System field: RmaCase.neId</t>
      </text>
    </comment>
    <comment ref="D1" authorId="0" shapeId="0">
      <text>
        <t>Required: no
Type: text
System field: RmaCase.slot</t>
      </text>
    </comment>
    <comment ref="E1" authorId="0" shapeId="0">
      <text>
        <t>Required: no
Type: text
System field: RmaCase.part</t>
      </text>
    </comment>
    <comment ref="F1" authorId="0" shapeId="0">
      <text>
        <t>Required: no
Type: text
System field: RmaCase.ref</t>
      </text>
    </comment>
    <comment ref="G1" authorId="0" shapeId="0">
      <text>
        <t>Required: no
Type: text
System field: RmaCase.status</t>
      </text>
    </comment>
    <comment ref="H1" authorId="0" shapeId="0">
      <text>
        <t>Required: no
Type: text
System field: RmaCase.opened</t>
      </text>
    </comment>
    <comment ref="I1" authorId="0" shapeId="0">
      <text>
        <t>Required: no
Type: text
System field: RmaCase.spareOnSite</t>
      </text>
    </comment>
  </commentList>
</comments>
</file>

<file path=xl/comments/comment40.xml><?xml version="1.0" encoding="utf-8"?>
<comments xmlns="http://schemas.openxmlformats.org/spreadsheetml/2006/main">
  <authors>
    <author>DCO template</author>
  </authors>
  <commentList>
    <comment ref="A1" authorId="0" shapeId="0">
      <text>
        <t>Required: no
Type: text
System field: Problem.id</t>
      </text>
    </comment>
    <comment ref="B1" authorId="0" shapeId="0">
      <text>
        <t>Required: no
Type: text
System field: Problem.title</t>
      </text>
    </comment>
    <comment ref="C1" authorId="0" shapeId="0">
      <text>
        <t>Required: no
Type: text
System field: Problem.type</t>
      </text>
    </comment>
    <comment ref="D1" authorId="0" shapeId="0">
      <text>
        <t>Required: no
Type: text
System field: Problem.state</t>
      </text>
    </comment>
    <comment ref="E1" authorId="0" shapeId="0">
      <text>
        <t>Required: no
Type: text
System field: Problem.incidents</t>
      </text>
    </comment>
    <comment ref="F1" authorId="0" shapeId="0">
      <text>
        <t>Required: no
Type: text
System field: Problem.open</t>
      </text>
    </comment>
    <comment ref="G1" authorId="0" shapeId="0">
      <text>
        <t>Required: no
Type: text
System field: Problem.sites</t>
      </text>
    </comment>
    <comment ref="H1" authorId="0" shapeId="0">
      <text>
        <t>Required: no
Type: text
System field: Problem.workaround</t>
      </text>
    </comment>
    <comment ref="I1" authorId="0" shapeId="0">
      <text>
        <t>Required: no
Type: text
System field: Problem.fix</t>
      </text>
    </comment>
    <comment ref="J1" authorId="0" shapeId="0">
      <text>
        <t>Required: no
Type: text
System field: Problem.owner</t>
      </text>
    </comment>
  </commentList>
</comments>
</file>

<file path=xl/comments/comment41.xml><?xml version="1.0" encoding="utf-8"?>
<comments xmlns="http://schemas.openxmlformats.org/spreadsheetml/2006/main">
  <authors>
    <author>DCO template</author>
  </authors>
  <commentList>
    <comment ref="A1" authorId="0" shapeId="0">
      <text>
        <t>Required: no
Type: text
System field: id</t>
      </text>
    </comment>
    <comment ref="B1" authorId="0" shapeId="0">
      <text>
        <t>Required: no
Type: text
System field: Cross-connect / Remote hands</t>
      </text>
    </comment>
    <comment ref="C1" authorId="0" shapeId="0">
      <text>
        <t>Required: no
Type: text
System field: dcId</t>
      </text>
    </comment>
    <comment ref="D1" authorId="0" shapeId="0">
      <text>
        <t>Required: no
Type: text
System field: customerId</t>
      </text>
    </comment>
    <comment ref="E1" authorId="0" shapeId="0">
      <text>
        <t>Required: no
Type: text
System field: route or task</t>
      </text>
    </comment>
    <comment ref="F1" authorId="0" shapeId="0">
      <text>
        <t>Required: no
Type: text
System field: state</t>
      </text>
    </comment>
    <comment ref="G1" authorId="0" shapeId="0">
      <text>
        <t>Required: no
Type: text
System field: ordered / opened</t>
      </text>
    </comment>
    <comment ref="H1" authorId="0" shapeId="0">
      <text>
        <t>Required: no
Type: text
System field: due / minutes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Sites'!A1" TargetMode="External" Id="rId1" /><Relationship Type="http://schemas.openxmlformats.org/officeDocument/2006/relationships/hyperlink" Target="#'Floors'!A1" TargetMode="External" Id="rId2" /><Relationship Type="http://schemas.openxmlformats.org/officeDocument/2006/relationships/hyperlink" Target="#'Rooms'!A1" TargetMode="External" Id="rId3" /><Relationship Type="http://schemas.openxmlformats.org/officeDocument/2006/relationships/hyperlink" Target="#'Racks'!A1" TargetMode="External" Id="rId4" /><Relationship Type="http://schemas.openxmlformats.org/officeDocument/2006/relationships/hyperlink" Target="#'Power_Feeds'!A1" TargetMode="External" Id="rId5" /><Relationship Type="http://schemas.openxmlformats.org/officeDocument/2006/relationships/hyperlink" Target="#'UPS'!A1" TargetMode="External" Id="rId6" /><Relationship Type="http://schemas.openxmlformats.org/officeDocument/2006/relationships/hyperlink" Target="#'Generators'!A1" TargetMode="External" Id="rId7" /><Relationship Type="http://schemas.openxmlformats.org/officeDocument/2006/relationships/hyperlink" Target="#'DC_Plant'!A1" TargetMode="External" Id="rId8" /><Relationship Type="http://schemas.openxmlformats.org/officeDocument/2006/relationships/hyperlink" Target="#'Cooling_Units'!A1" TargetMode="External" Id="rId9" /><Relationship Type="http://schemas.openxmlformats.org/officeDocument/2006/relationships/hyperlink" Target="#'CDUs'!A1" TargetMode="External" Id="rId10" /><Relationship Type="http://schemas.openxmlformats.org/officeDocument/2006/relationships/hyperlink" Target="#'Sensors'!A1" TargetMode="External" Id="rId11" /><Relationship Type="http://schemas.openxmlformats.org/officeDocument/2006/relationships/hyperlink" Target="#'Devices'!A1" TargetMode="External" Id="rId12" /><Relationship Type="http://schemas.openxmlformats.org/officeDocument/2006/relationships/hyperlink" Target="#'Modules'!A1" TargetMode="External" Id="rId13" /><Relationship Type="http://schemas.openxmlformats.org/officeDocument/2006/relationships/hyperlink" Target="#'Interfaces'!A1" TargetMode="External" Id="rId14" /><Relationship Type="http://schemas.openxmlformats.org/officeDocument/2006/relationships/hyperlink" Target="#'Links'!A1" TargetMode="External" Id="rId15" /><Relationship Type="http://schemas.openxmlformats.org/officeDocument/2006/relationships/hyperlink" Target="#'Rack_PDUs'!A1" TargetMode="External" Id="rId16" /><Relationship Type="http://schemas.openxmlformats.org/officeDocument/2006/relationships/hyperlink" Target="#'Power_Connections'!A1" TargetMode="External" Id="rId17" /><Relationship Type="http://schemas.openxmlformats.org/officeDocument/2006/relationships/hyperlink" Target="#'Patch_Panels'!A1" TargetMode="External" Id="rId18" /><Relationship Type="http://schemas.openxmlformats.org/officeDocument/2006/relationships/hyperlink" Target="#'Trunk_Cables'!A1" TargetMode="External" Id="rId19" /><Relationship Type="http://schemas.openxmlformats.org/officeDocument/2006/relationships/hyperlink" Target="#'Cable_Paths'!A1" TargetMode="External" Id="rId20" /><Relationship Type="http://schemas.openxmlformats.org/officeDocument/2006/relationships/hyperlink" Target="#'Cooling_Coverage'!A1" TargetMode="External" Id="rId21" /><Relationship Type="http://schemas.openxmlformats.org/officeDocument/2006/relationships/hyperlink" Target="#'GPU_Clusters'!A1" TargetMode="External" Id="rId22" /><Relationship Type="http://schemas.openxmlformats.org/officeDocument/2006/relationships/hyperlink" Target="#'GPU_Nodes'!A1" TargetMode="External" Id="rId23" /><Relationship Type="http://schemas.openxmlformats.org/officeDocument/2006/relationships/hyperlink" Target="#'Customers'!A1" TargetMode="External" Id="rId24" /><Relationship Type="http://schemas.openxmlformats.org/officeDocument/2006/relationships/hyperlink" Target="#'Services'!A1" TargetMode="External" Id="rId25" /><Relationship Type="http://schemas.openxmlformats.org/officeDocument/2006/relationships/hyperlink" Target="#'Collectors'!A1" TargetMode="External" Id="rId26" /><Relationship Type="http://schemas.openxmlformats.org/officeDocument/2006/relationships/hyperlink" Target="#'Fire_Systems'!A1" TargetMode="External" Id="rId27" /><Relationship Type="http://schemas.openxmlformats.org/officeDocument/2006/relationships/hyperlink" Target="#'Leak_Detection'!A1" TargetMode="External" Id="rId28" /><Relationship Type="http://schemas.openxmlformats.org/officeDocument/2006/relationships/hyperlink" Target="#'Access_Points'!A1" TargetMode="External" Id="rId29" /><Relationship Type="http://schemas.openxmlformats.org/officeDocument/2006/relationships/hyperlink" Target="#'Support_Contracts'!A1" TargetMode="External" Id="rId30" /><Relationship Type="http://schemas.openxmlformats.org/officeDocument/2006/relationships/hyperlink" Target="#'Asset_Lifecycle'!A1" TargetMode="External" Id="rId31" /><Relationship Type="http://schemas.openxmlformats.org/officeDocument/2006/relationships/hyperlink" Target="#'Model_Lifecycle'!A1" TargetMode="External" Id="rId32" /><Relationship Type="http://schemas.openxmlformats.org/officeDocument/2006/relationships/hyperlink" Target="#'Spares'!A1" TargetMode="External" Id="rId33" /><Relationship Type="http://schemas.openxmlformats.org/officeDocument/2006/relationships/hyperlink" Target="#'PM_Plan'!A1" TargetMode="External" Id="rId34" /><Relationship Type="http://schemas.openxmlformats.org/officeDocument/2006/relationships/hyperlink" Target="#'On_Call'!A1" TargetMode="External" Id="rId35" /><Relationship Type="http://schemas.openxmlformats.org/officeDocument/2006/relationships/hyperlink" Target="#'Snapshot_Alerts'!A1" TargetMode="External" Id="rId36" /><Relationship Type="http://schemas.openxmlformats.org/officeDocument/2006/relationships/hyperlink" Target="#'Snapshot_Incidents'!A1" TargetMode="External" Id="rId37" /><Relationship Type="http://schemas.openxmlformats.org/officeDocument/2006/relationships/hyperlink" Target="#'Snapshot_Changes'!A1" TargetMode="External" Id="rId38" /><Relationship Type="http://schemas.openxmlformats.org/officeDocument/2006/relationships/hyperlink" Target="#'Snapshot_RMA'!A1" TargetMode="External" Id="rId39" /><Relationship Type="http://schemas.openxmlformats.org/officeDocument/2006/relationships/hyperlink" Target="#'Snapshot_Problems'!A1" TargetMode="External" Id="rId40" /><Relationship Type="http://schemas.openxmlformats.org/officeDocument/2006/relationships/hyperlink" Target="#'Snapshot_Orders'!A1" TargetMode="External" Id="rId41" /><Relationship Type="http://schemas.openxmlformats.org/officeDocument/2006/relationships/hyperlink" Target="#'Summary'!A1" TargetMode="External" Id="rId42" /><Relationship Type="http://schemas.openxmlformats.org/officeDocument/2006/relationships/hyperlink" Target="#'Field_Dictionary'!A1" TargetMode="External" Id="rId43" /><Relationship Type="http://schemas.openxmlformats.org/officeDocument/2006/relationships/hyperlink" Target="#'Lookups'!A1" TargetMode="External" Id="rId44" /></Relationships>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7.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8.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9.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0.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1.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2.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3.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4.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5.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16.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17.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18.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19.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0.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1.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2.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3.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4.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25.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26.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_rels/sheet27.xml.rels><Relationships xmlns="http://schemas.openxmlformats.org/package/2006/relationships"><Relationship Type="http://schemas.openxmlformats.org/officeDocument/2006/relationships/comments" Target="/xl/comments/comment25.xml" Id="comments" /><Relationship Type="http://schemas.openxmlformats.org/officeDocument/2006/relationships/vmlDrawing" Target="/xl/drawings/commentsDrawing25.vml" Id="anysvml" /></Relationships>
</file>

<file path=xl/worksheets/_rels/sheet28.xml.rels><Relationships xmlns="http://schemas.openxmlformats.org/package/2006/relationships"><Relationship Type="http://schemas.openxmlformats.org/officeDocument/2006/relationships/comments" Target="/xl/comments/comment26.xml" Id="comments" /><Relationship Type="http://schemas.openxmlformats.org/officeDocument/2006/relationships/vmlDrawing" Target="/xl/drawings/commentsDrawing26.vml" Id="anysvml" /></Relationships>
</file>

<file path=xl/worksheets/_rels/sheet29.xml.rels><Relationships xmlns="http://schemas.openxmlformats.org/package/2006/relationships"><Relationship Type="http://schemas.openxmlformats.org/officeDocument/2006/relationships/comments" Target="/xl/comments/comment27.xml" Id="comments" /><Relationship Type="http://schemas.openxmlformats.org/officeDocument/2006/relationships/vmlDrawing" Target="/xl/drawings/commentsDrawing27.vml" Id="anysvml" /></Relationships>
</file>

<file path=xl/worksheets/_rels/sheet30.xml.rels><Relationships xmlns="http://schemas.openxmlformats.org/package/2006/relationships"><Relationship Type="http://schemas.openxmlformats.org/officeDocument/2006/relationships/comments" Target="/xl/comments/comment28.xml" Id="comments" /><Relationship Type="http://schemas.openxmlformats.org/officeDocument/2006/relationships/vmlDrawing" Target="/xl/drawings/commentsDrawing28.vml" Id="anysvml" /></Relationships>
</file>

<file path=xl/worksheets/_rels/sheet31.xml.rels><Relationships xmlns="http://schemas.openxmlformats.org/package/2006/relationships"><Relationship Type="http://schemas.openxmlformats.org/officeDocument/2006/relationships/comments" Target="/xl/comments/comment29.xml" Id="comments" /><Relationship Type="http://schemas.openxmlformats.org/officeDocument/2006/relationships/vmlDrawing" Target="/xl/drawings/commentsDrawing29.vml" Id="anysvml" /></Relationships>
</file>

<file path=xl/worksheets/_rels/sheet32.xml.rels><Relationships xmlns="http://schemas.openxmlformats.org/package/2006/relationships"><Relationship Type="http://schemas.openxmlformats.org/officeDocument/2006/relationships/comments" Target="/xl/comments/comment30.xml" Id="comments" /><Relationship Type="http://schemas.openxmlformats.org/officeDocument/2006/relationships/vmlDrawing" Target="/xl/drawings/commentsDrawing30.vml" Id="anysvml" /></Relationships>
</file>

<file path=xl/worksheets/_rels/sheet33.xml.rels><Relationships xmlns="http://schemas.openxmlformats.org/package/2006/relationships"><Relationship Type="http://schemas.openxmlformats.org/officeDocument/2006/relationships/comments" Target="/xl/comments/comment31.xml" Id="comments" /><Relationship Type="http://schemas.openxmlformats.org/officeDocument/2006/relationships/vmlDrawing" Target="/xl/drawings/commentsDrawing31.vml" Id="anysvml" /></Relationships>
</file>

<file path=xl/worksheets/_rels/sheet34.xml.rels><Relationships xmlns="http://schemas.openxmlformats.org/package/2006/relationships"><Relationship Type="http://schemas.openxmlformats.org/officeDocument/2006/relationships/comments" Target="/xl/comments/comment32.xml" Id="comments" /><Relationship Type="http://schemas.openxmlformats.org/officeDocument/2006/relationships/vmlDrawing" Target="/xl/drawings/commentsDrawing32.vml" Id="anysvml" /></Relationships>
</file>

<file path=xl/worksheets/_rels/sheet35.xml.rels><Relationships xmlns="http://schemas.openxmlformats.org/package/2006/relationships"><Relationship Type="http://schemas.openxmlformats.org/officeDocument/2006/relationships/comments" Target="/xl/comments/comment33.xml" Id="comments" /><Relationship Type="http://schemas.openxmlformats.org/officeDocument/2006/relationships/vmlDrawing" Target="/xl/drawings/commentsDrawing33.vml" Id="anysvml" /></Relationships>
</file>

<file path=xl/worksheets/_rels/sheet36.xml.rels><Relationships xmlns="http://schemas.openxmlformats.org/package/2006/relationships"><Relationship Type="http://schemas.openxmlformats.org/officeDocument/2006/relationships/comments" Target="/xl/comments/comment34.xml" Id="comments" /><Relationship Type="http://schemas.openxmlformats.org/officeDocument/2006/relationships/vmlDrawing" Target="/xl/drawings/commentsDrawing34.vml" Id="anysvml" /></Relationships>
</file>

<file path=xl/worksheets/_rels/sheet37.xml.rels><Relationships xmlns="http://schemas.openxmlformats.org/package/2006/relationships"><Relationship Type="http://schemas.openxmlformats.org/officeDocument/2006/relationships/comments" Target="/xl/comments/comment35.xml" Id="comments" /><Relationship Type="http://schemas.openxmlformats.org/officeDocument/2006/relationships/vmlDrawing" Target="/xl/drawings/commentsDrawing35.vml" Id="anysvml" /></Relationships>
</file>

<file path=xl/worksheets/_rels/sheet38.xml.rels><Relationships xmlns="http://schemas.openxmlformats.org/package/2006/relationships"><Relationship Type="http://schemas.openxmlformats.org/officeDocument/2006/relationships/comments" Target="/xl/comments/comment36.xml" Id="comments" /><Relationship Type="http://schemas.openxmlformats.org/officeDocument/2006/relationships/vmlDrawing" Target="/xl/drawings/commentsDrawing36.vml" Id="anysvml" /></Relationships>
</file>

<file path=xl/worksheets/_rels/sheet39.xml.rels><Relationships xmlns="http://schemas.openxmlformats.org/package/2006/relationships"><Relationship Type="http://schemas.openxmlformats.org/officeDocument/2006/relationships/comments" Target="/xl/comments/comment37.xml" Id="comments" /><Relationship Type="http://schemas.openxmlformats.org/officeDocument/2006/relationships/vmlDrawing" Target="/xl/drawings/commentsDrawing37.vml" Id="anysvml" /></Relationships>
</file>

<file path=xl/worksheets/_rels/sheet40.xml.rels><Relationships xmlns="http://schemas.openxmlformats.org/package/2006/relationships"><Relationship Type="http://schemas.openxmlformats.org/officeDocument/2006/relationships/comments" Target="/xl/comments/comment38.xml" Id="comments" /><Relationship Type="http://schemas.openxmlformats.org/officeDocument/2006/relationships/vmlDrawing" Target="/xl/drawings/commentsDrawing38.vml" Id="anysvml" /></Relationships>
</file>

<file path=xl/worksheets/_rels/sheet41.xml.rels><Relationships xmlns="http://schemas.openxmlformats.org/package/2006/relationships"><Relationship Type="http://schemas.openxmlformats.org/officeDocument/2006/relationships/comments" Target="/xl/comments/comment39.xml" Id="comments" /><Relationship Type="http://schemas.openxmlformats.org/officeDocument/2006/relationships/vmlDrawing" Target="/xl/drawings/commentsDrawing39.vml" Id="anysvml" /></Relationships>
</file>

<file path=xl/worksheets/_rels/sheet42.xml.rels><Relationships xmlns="http://schemas.openxmlformats.org/package/2006/relationships"><Relationship Type="http://schemas.openxmlformats.org/officeDocument/2006/relationships/comments" Target="/xl/comments/comment40.xml" Id="comments" /><Relationship Type="http://schemas.openxmlformats.org/officeDocument/2006/relationships/vmlDrawing" Target="/xl/drawings/commentsDrawing40.vml" Id="anysvml" /></Relationships>
</file>

<file path=xl/worksheets/_rels/sheet43.xml.rels><Relationships xmlns="http://schemas.openxmlformats.org/package/2006/relationships"><Relationship Type="http://schemas.openxmlformats.org/officeDocument/2006/relationships/comments" Target="/xl/comments/comment41.xml" Id="comments" /><Relationship Type="http://schemas.openxmlformats.org/officeDocument/2006/relationships/vmlDrawing" Target="/xl/drawings/commentsDrawing41.vml" Id="anysvml" /></Relationships>
</file>

<file path=xl/worksheets/sheet1.xml><?xml version="1.0" encoding="utf-8"?>
<worksheet xmlns="http://schemas.openxmlformats.org/spreadsheetml/2006/main">
  <sheetPr>
    <tabColor rgb="001F3A5F"/>
    <outlinePr summaryBelow="1" summaryRight="1"/>
    <pageSetUpPr/>
  </sheetPr>
  <dimension ref="A1:D69"/>
  <sheetViews>
    <sheetView showGridLines="0" workbookViewId="0">
      <selection activeCell="A1" sqref="A1"/>
    </sheetView>
  </sheetViews>
  <sheetFormatPr baseColWidth="8" defaultRowHeight="15"/>
  <cols>
    <col width="22" customWidth="1" min="1" max="1"/>
    <col width="38" customWidth="1" min="2" max="2"/>
    <col width="90" customWidth="1" min="3" max="3"/>
    <col width="13" customWidth="1" min="4" max="4"/>
  </cols>
  <sheetData>
    <row r="1">
      <c r="A1" s="1" t="inlineStr">
        <is>
          <t>SynapseDC · Sample data for two datacenters · Colocation · India · MH-DC-001, MH-DC-002</t>
        </is>
      </c>
    </row>
    <row r="2" ht="32" customHeight="1">
      <c r="A2" s="2" t="inlineStr">
        <is>
          <t>A complete, end-to-end export of MH-DC-001, MH-DC-002 as the platform holds them (data clock 2026-10-01 07:50 UTC): the two sites, their floors, rooms, racks, power and cooling plant, every device with its ports, the cables between them, GPU clusters, the customers served there and their services, plus the physical, safety, lifecycle and maintenance records. Only links whose two ends are in these sites and only customers who buy something there are included. Use it as the worked example for the import template: every sheet is filled exactly the way the customer should fill it for their own datacenters, the Summary sheet shows what the platform will then display. Snapshot_* sheets keep the alarms, incidents and changes of that moment for the record; they are not imported.</t>
        </is>
      </c>
    </row>
    <row r="3">
      <c r="A3" s="3" t="inlineStr">
        <is>
          <t>Version 1.0 · 12-Oct-2026 · matches the DCO data model (app/src/api/types.ts)</t>
        </is>
      </c>
    </row>
    <row r="4">
      <c r="A4" t="inlineStr"/>
    </row>
    <row r="5">
      <c r="A5" s="4" t="inlineStr">
        <is>
          <t>What this workbook is for</t>
        </is>
      </c>
    </row>
    <row r="6" ht="32" customHeight="1">
      <c r="A6" s="2" t="inlineStr">
        <is>
          <t>Use it to collect everything the DCO platform needs to know about a customer's datacenters BEFORE monitoring is switched on: sites, floors, rooms, racks, power and cooling plant, sensors, every racked device, its ports and cables, GPU clusters, customers and the services they buy, and the monitoring sources.</t>
        </is>
      </c>
    </row>
    <row r="7">
      <c r="A7" t="inlineStr"/>
    </row>
    <row r="8">
      <c r="A8" s="4" t="inlineStr">
        <is>
          <t>How to fill it</t>
        </is>
      </c>
    </row>
    <row r="9" ht="32" customHeight="1">
      <c r="A9" s="2" t="inlineStr">
        <is>
          <t>1. Fill the sheets in tab order. A sheet can only point at IDs that exist in the sheets before it (Sites → Floors → Rooms → Racks → … → Services).</t>
        </is>
      </c>
    </row>
    <row r="10" ht="32" customHeight="1">
      <c r="A10" s="2" t="inlineStr">
        <is>
          <t>2. Row 1 holds the import keys. Don't rename, reorder or delete columns. Hover over a header for its meaning; the Field_Dictionary sheet lists every field.</t>
        </is>
      </c>
    </row>
    <row r="11" ht="32" customHeight="1">
      <c r="A11" s="2" t="inlineStr">
        <is>
          <t>3. Header colours: dark blue = required · amber = required in some cases (see the note) · grey = optional · green = calculated by a formula (don't type it).</t>
        </is>
      </c>
    </row>
    <row r="12" ht="32" customHeight="1">
      <c r="A12" s="2" t="inlineStr">
        <is>
          <t>4. Columns with a fixed set of values have a dropdown (from the Lookups sheet). Dates use YYYY-MM-DD. Numbers are plain, with no units in the cell. Lists inside a cell use ";".</t>
        </is>
      </c>
    </row>
    <row r="13" ht="32" customHeight="1">
      <c r="A13" s="2" t="inlineStr">
        <is>
          <t>5. IDs must be unique and stable: the system keys every alarm, incident and revenue figure on them. Recommended: site XX-DC-NNN, then &lt;site&gt;-&lt;object&gt; (MP-DC-001-A01).</t>
        </is>
      </c>
    </row>
    <row r="14" ht="32" customHeight="1">
      <c r="A14" s="2" t="inlineStr">
        <is>
          <t>6. Check the Summary sheet when you finish. Every count must match what the customer expects, and the checks column must say OK.</t>
        </is>
      </c>
    </row>
    <row r="15">
      <c r="A15" t="inlineStr"/>
    </row>
    <row r="16">
      <c r="A16" s="4" t="inlineStr">
        <is>
          <t>What to ask the customer for (and where it usually lives)</t>
        </is>
      </c>
    </row>
    <row r="17" ht="32" customHeight="1">
      <c r="A17" s="2" t="inlineStr">
        <is>
          <t>Sites, floors, rooms: facility master list, floor plans (DCIM or CAD).  ·  Racks: DCIM rack elevations or the space-and-power schedule.  ·  Power and cooling plant: single-line diagram, BMS / EPMS asset register, maintenance contracts.</t>
        </is>
      </c>
    </row>
    <row r="18" ht="32" customHeight="1">
      <c r="A18" s="2" t="inlineStr">
        <is>
          <t>Devices, modules: CMDB or DCIM asset export (hostname, serial, rack, U).  ·  Interfaces, links: cabling schedule or patch-panel / ODF records, plus LLDP exports for verification.  ·  GPU clusters: scheduler config (Slurm partitions / Kubernetes node pools).</t>
        </is>
      </c>
    </row>
    <row r="19" ht="32" customHeight="1">
      <c r="A19" s="2" t="inlineStr">
        <is>
          <t>Customers, services: CRM or billing (contract, monthly charge, SLA, premium flag).  ·  Collectors: the NOC's monitoring design (SNMP / gNMI pollers, BMS gateway, Redfish, DCGM exporter).</t>
        </is>
      </c>
    </row>
    <row r="20">
      <c r="A20" t="inlineStr"/>
    </row>
    <row r="21">
      <c r="A21" s="4" t="inlineStr">
        <is>
          <t>What NOT to put here (it arrives live from the collectors)</t>
        </is>
      </c>
    </row>
    <row r="22" ht="32" customHeight="1">
      <c r="A22" s="2" t="inlineStr">
        <is>
          <t>Current power draw, UPS load %, battery state, temperatures, humidity, CDU flow, interface up / down, utilisation, errors, optics levels, CPU / memory, GPU telemetry (DCGM), alarms, incidents and job state. The template carries only the static master data those readings attach to.</t>
        </is>
      </c>
    </row>
    <row r="23">
      <c r="A23" t="inlineStr"/>
    </row>
    <row r="24">
      <c r="A24" s="4" t="inlineStr">
        <is>
          <t>Sheet order and the system object each one fills</t>
        </is>
      </c>
    </row>
    <row r="25">
      <c r="A25" s="5" t="inlineStr">
        <is>
          <t>Sheet</t>
        </is>
      </c>
      <c r="B25" s="5" t="inlineStr">
        <is>
          <t>System object</t>
        </is>
      </c>
      <c r="C25" s="5" t="inlineStr">
        <is>
          <t>What goes in it</t>
        </is>
      </c>
      <c r="D25" s="5" t="inlineStr">
        <is>
          <t>Example rows</t>
        </is>
      </c>
    </row>
    <row r="26">
      <c r="A26" s="6" t="inlineStr">
        <is>
          <t>Sites</t>
        </is>
      </c>
      <c r="B26" s="7" t="inlineStr">
        <is>
          <t>Datacenter + Location</t>
        </is>
      </c>
      <c r="C26" s="7" t="inlineStr">
        <is>
          <t>One row per datacenter.</t>
        </is>
      </c>
      <c r="D26" s="7" t="n">
        <v>2</v>
      </c>
    </row>
    <row r="27">
      <c r="A27" s="6" t="inlineStr">
        <is>
          <t>Floors</t>
        </is>
      </c>
      <c r="B27" s="7" t="inlineStr">
        <is>
          <t>Datacenter.floors[]</t>
        </is>
      </c>
      <c r="C27" s="7" t="inlineStr">
        <is>
          <t>One row per floor.</t>
        </is>
      </c>
      <c r="D27" s="7" t="n">
        <v>4</v>
      </c>
    </row>
    <row r="28">
      <c r="A28" s="6" t="inlineStr">
        <is>
          <t>Rooms</t>
        </is>
      </c>
      <c r="B28" s="7" t="inlineStr">
        <is>
          <t>Datacenter.floors[].rooms[]</t>
        </is>
      </c>
      <c r="C28" s="7" t="inlineStr">
        <is>
          <t>One row per room / hall.</t>
        </is>
      </c>
      <c r="D28" s="7" t="n">
        <v>8</v>
      </c>
    </row>
    <row r="29">
      <c r="A29" s="6" t="inlineStr">
        <is>
          <t>Racks</t>
        </is>
      </c>
      <c r="B29" s="7" t="inlineStr">
        <is>
          <t>Rack</t>
        </is>
      </c>
      <c r="C29" s="7" t="inlineStr">
        <is>
          <t>One row per cabinet, including tenant cabinets and AI cages.</t>
        </is>
      </c>
      <c r="D29" s="7" t="n">
        <v>32</v>
      </c>
    </row>
    <row r="30">
      <c r="A30" s="6" t="inlineStr">
        <is>
          <t>Power_Feeds</t>
        </is>
      </c>
      <c r="B30" s="7" t="inlineStr">
        <is>
          <t>Datacenter.power.feeds[] (PowerFeed)</t>
        </is>
      </c>
      <c r="C30" s="7" t="inlineStr">
        <is>
          <t>Utility, DG and DC-plant feeds.</t>
        </is>
      </c>
      <c r="D30" s="7" t="n">
        <v>6</v>
      </c>
    </row>
    <row r="31">
      <c r="A31" s="6" t="inlineStr">
        <is>
          <t>UPS</t>
        </is>
      </c>
      <c r="B31" s="7" t="inlineStr">
        <is>
          <t>Datacenter.power.ups[] (UpsUnit)</t>
        </is>
      </c>
      <c r="C31" s="7" t="inlineStr">
        <is>
          <t>One row per UPS module or system.</t>
        </is>
      </c>
      <c r="D31" s="7" t="n">
        <v>8</v>
      </c>
    </row>
    <row r="32">
      <c r="A32" s="6" t="inlineStr">
        <is>
          <t>Generators</t>
        </is>
      </c>
      <c r="B32" s="7" t="inlineStr">
        <is>
          <t>Datacenter.power.dg</t>
        </is>
      </c>
      <c r="C32" s="7" t="inlineStr">
        <is>
          <t>Diesel generator sets.</t>
        </is>
      </c>
      <c r="D32" s="7" t="n">
        <v>2</v>
      </c>
    </row>
    <row r="33">
      <c r="A33" s="6" t="inlineStr">
        <is>
          <t>DC_Plant</t>
        </is>
      </c>
      <c r="B33" s="7" t="inlineStr">
        <is>
          <t>Datacenter.power.battery + rectifier</t>
        </is>
      </c>
      <c r="C33" s="7" t="inlineStr">
        <is>
          <t>48 V DC plant: rectifiers and battery banks.</t>
        </is>
      </c>
      <c r="D33" s="7" t="n">
        <v>4</v>
      </c>
    </row>
    <row r="34">
      <c r="A34" s="6" t="inlineStr">
        <is>
          <t>Cooling_Units</t>
        </is>
      </c>
      <c r="B34" s="7" t="inlineStr">
        <is>
          <t>Datacenter.cooling.units[] (CoolingUnit)</t>
        </is>
      </c>
      <c r="C34" s="7" t="inlineStr">
        <is>
          <t>CRAH, CRAC and CDU units.</t>
        </is>
      </c>
      <c r="D34" s="7" t="n">
        <v>17</v>
      </c>
    </row>
    <row r="35">
      <c r="A35" s="6" t="inlineStr">
        <is>
          <t>CDUs</t>
        </is>
      </c>
      <c r="B35" s="7" t="inlineStr">
        <is>
          <t>Cdu</t>
        </is>
      </c>
      <c r="C35" s="7" t="inlineStr">
        <is>
          <t>Liquid-cooling loops (only for liquid-cooled racks).</t>
        </is>
      </c>
      <c r="D35" s="7" t="n">
        <v>1</v>
      </c>
    </row>
    <row r="36">
      <c r="A36" s="6" t="inlineStr">
        <is>
          <t>Sensors</t>
        </is>
      </c>
      <c r="B36" s="7" t="inlineStr">
        <is>
          <t>Datacenter.cooling.sensors[] (EnvSensor)</t>
        </is>
      </c>
      <c r="C36" s="7" t="inlineStr">
        <is>
          <t>Environment sensors.</t>
        </is>
      </c>
      <c r="D36" s="7" t="n">
        <v>8</v>
      </c>
    </row>
    <row r="37">
      <c r="A37" s="6" t="inlineStr">
        <is>
          <t>Devices</t>
        </is>
      </c>
      <c r="B37" s="7" t="inlineStr">
        <is>
          <t>NetworkElement</t>
        </is>
      </c>
      <c r="C37" s="7" t="inlineStr">
        <is>
          <t>Every racked device: network, servers, storage, GPU nodes, and opaque tenant gear blocks.</t>
        </is>
      </c>
      <c r="D37" s="7" t="n">
        <v>183</v>
      </c>
    </row>
    <row r="38">
      <c r="A38" s="6" t="inlineStr">
        <is>
          <t>Modules</t>
        </is>
      </c>
      <c r="B38" s="7" t="inlineStr">
        <is>
          <t>NetworkElement.modules[]</t>
        </is>
      </c>
      <c r="C38" s="7" t="inlineStr">
        <is>
          <t>Optional: line cards, PSUs, fans, supervisors.</t>
        </is>
      </c>
      <c r="D38" s="7" t="n">
        <v>303</v>
      </c>
    </row>
    <row r="39">
      <c r="A39" s="6" t="inlineStr">
        <is>
          <t>Interfaces</t>
        </is>
      </c>
      <c r="B39" s="7" t="inlineStr">
        <is>
          <t>Interface</t>
        </is>
      </c>
      <c r="C39" s="7" t="inlineStr">
        <is>
          <t>Physical ports in use or reserved (including host NICs). Spare ports can be left out.</t>
        </is>
      </c>
      <c r="D39" s="7" t="n">
        <v>1378</v>
      </c>
    </row>
    <row r="40">
      <c r="A40" s="6" t="inlineStr">
        <is>
          <t>Links</t>
        </is>
      </c>
      <c r="B40" s="7" t="inlineStr">
        <is>
          <t>Link</t>
        </is>
      </c>
      <c r="C40" s="7" t="inlineStr">
        <is>
          <t>One row per cable or circuit between two interfaces.</t>
        </is>
      </c>
      <c r="D40" s="7" t="n">
        <v>187</v>
      </c>
    </row>
    <row r="41">
      <c r="A41" s="6" t="inlineStr">
        <is>
          <t>Rack_PDUs</t>
        </is>
      </c>
      <c r="B41" s="7" t="inlineStr">
        <is>
          <t>RackPdu</t>
        </is>
      </c>
      <c r="C41" s="7" t="inlineStr">
        <is>
          <t>Two per cabinet, A side and B side. −48 V fuse panels (BDFB) for DC-powered gear count as DC PDUs.</t>
        </is>
      </c>
      <c r="D41" s="7" t="n">
        <v>64</v>
      </c>
    </row>
    <row r="42">
      <c r="A42" s="6" t="inlineStr">
        <is>
          <t>Power_Connections</t>
        </is>
      </c>
      <c r="B42" s="7" t="inlineStr">
        <is>
          <t>PowerCord</t>
        </is>
      </c>
      <c r="C42" s="7" t="inlineStr">
        <is>
          <t>One row per power cord: which PDU outlet each device power supply plugs into.</t>
        </is>
      </c>
      <c r="D42" s="7" t="n">
        <v>312</v>
      </c>
    </row>
    <row r="43">
      <c r="A43" s="6" t="inlineStr">
        <is>
          <t>Patch_Panels</t>
        </is>
      </c>
      <c r="B43" s="7" t="inlineStr">
        <is>
          <t>PatchPanel</t>
        </is>
      </c>
      <c r="C43" s="7" t="inlineStr">
        <is>
          <t>Every patch panel and ODF panel.</t>
        </is>
      </c>
      <c r="D43" s="7" t="n">
        <v>16</v>
      </c>
    </row>
    <row r="44">
      <c r="A44" s="6" t="inlineStr">
        <is>
          <t>Trunk_Cables</t>
        </is>
      </c>
      <c r="B44" s="7" t="inlineStr">
        <is>
          <t>Trunk</t>
        </is>
      </c>
      <c r="C44" s="7" t="inlineStr">
        <is>
          <t>Permanent cables between a cabinet patch panel and the ODF (or between two ODFs).</t>
        </is>
      </c>
      <c r="D44" s="7" t="n">
        <v>10</v>
      </c>
    </row>
    <row r="45">
      <c r="A45" s="6" t="inlineStr">
        <is>
          <t>Cable_Paths</t>
        </is>
      </c>
      <c r="B45" s="7" t="inlineStr">
        <is>
          <t>CablePath (one row per link end)</t>
        </is>
      </c>
      <c r="C45" s="7" t="inlineStr">
        <is>
          <t>How each end of a link is patched. An in-rack cable needs only the patch cord.</t>
        </is>
      </c>
      <c r="D45" s="7" t="n">
        <v>238</v>
      </c>
    </row>
    <row r="46">
      <c r="A46" s="6" t="inlineStr">
        <is>
          <t>Cooling_Coverage</t>
        </is>
      </c>
      <c r="B46" s="7" t="inlineStr">
        <is>
          <t>RackCooling</t>
        </is>
      </c>
      <c r="C46" s="7" t="inlineStr">
        <is>
          <t>Optional: the cooling unit nearest each rack. Without it the system uses the units in the rack's room.</t>
        </is>
      </c>
      <c r="D46" s="7" t="n">
        <v>32</v>
      </c>
    </row>
    <row r="47">
      <c r="A47" s="6" t="inlineStr">
        <is>
          <t>GPU_Clusters</t>
        </is>
      </c>
      <c r="B47" s="7" t="inlineStr">
        <is>
          <t>GpuCluster</t>
        </is>
      </c>
      <c r="C47" s="7" t="inlineStr">
        <is>
          <t>Only for GPU estates.</t>
        </is>
      </c>
      <c r="D47" s="7" t="n">
        <v>0</v>
      </c>
    </row>
    <row r="48">
      <c r="A48" s="6" t="inlineStr">
        <is>
          <t>GPU_Nodes</t>
        </is>
      </c>
      <c r="B48" s="7" t="inlineStr">
        <is>
          <t>GpuNode</t>
        </is>
      </c>
      <c r="C48" s="7" t="inlineStr">
        <is>
          <t>One row per GPU server in service; it must also be in Devices with role = GPU. A GPU host that is racked but not yet commissioned into a cluster (lifecycle Planned / Ready, monitored N) has no row yet.</t>
        </is>
      </c>
      <c r="D48" s="7" t="n">
        <v>0</v>
      </c>
    </row>
    <row r="49">
      <c r="A49" s="6" t="inlineStr">
        <is>
          <t>Customers</t>
        </is>
      </c>
      <c r="B49" s="7" t="inlineStr">
        <is>
          <t>Customer</t>
        </is>
      </c>
      <c r="C49" s="7" t="inlineStr">
        <is>
          <t>Customers or tenants served from these sites.</t>
        </is>
      </c>
      <c r="D49" s="7" t="n">
        <v>11</v>
      </c>
    </row>
    <row r="50">
      <c r="A50" s="6" t="inlineStr">
        <is>
          <t>Services</t>
        </is>
      </c>
      <c r="B50" s="7" t="inlineStr">
        <is>
          <t>Service</t>
        </is>
      </c>
      <c r="C50" s="7" t="inlineStr">
        <is>
          <t>What each customer buys and where it is delivered. This drives impact and revenue at risk.</t>
        </is>
      </c>
      <c r="D50" s="7" t="n">
        <v>62</v>
      </c>
    </row>
    <row r="51">
      <c r="A51" s="6" t="inlineStr">
        <is>
          <t>Collectors</t>
        </is>
      </c>
      <c r="B51" s="7" t="inlineStr">
        <is>
          <t>Datacenter.collectors[]</t>
        </is>
      </c>
      <c r="C51" s="7" t="inlineStr">
        <is>
          <t>Monitoring sources the system will receive live data from.</t>
        </is>
      </c>
      <c r="D51" s="7" t="n">
        <v>4</v>
      </c>
    </row>
    <row r="52">
      <c r="A52" s="6" t="inlineStr">
        <is>
          <t>Fire_Systems</t>
        </is>
      </c>
      <c r="B52" s="7" t="inlineStr">
        <is>
          <t>FireZone</t>
        </is>
      </c>
      <c r="C52" s="7" t="inlineStr">
        <is>
          <t>Fire detection and suppression, one row per protected room.</t>
        </is>
      </c>
      <c r="D52" s="7" t="n">
        <v>8</v>
      </c>
    </row>
    <row r="53">
      <c r="A53" s="6" t="inlineStr">
        <is>
          <t>Leak_Detection</t>
        </is>
      </c>
      <c r="B53" s="7" t="inlineStr">
        <is>
          <t>LeakZone</t>
        </is>
      </c>
      <c r="C53" s="7" t="inlineStr">
        <is>
          <t>Leak-detection rope zones under cooling units, CDUs and liquid racks.</t>
        </is>
      </c>
      <c r="D53" s="7" t="n">
        <v>10</v>
      </c>
    </row>
    <row r="54">
      <c r="A54" s="6" t="inlineStr">
        <is>
          <t>Access_Points</t>
        </is>
      </c>
      <c r="B54" s="7" t="inlineStr">
        <is>
          <t>AccessPoint</t>
        </is>
      </c>
      <c r="C54" s="7" t="inlineStr">
        <is>
          <t>Every access-controlled door: building entry, room doors, tenant cage doors.</t>
        </is>
      </c>
      <c r="D54" s="7" t="n">
        <v>24</v>
      </c>
    </row>
    <row r="55">
      <c r="A55" s="6" t="inlineStr">
        <is>
          <t>Support_Contracts</t>
        </is>
      </c>
      <c r="B55" s="7" t="inlineStr">
        <is>
          <t>AssetLife.contract</t>
        </is>
      </c>
      <c r="C55" s="7" t="inlineStr">
        <is>
          <t>Vendor support / AMC contracts.</t>
        </is>
      </c>
      <c r="D55" s="7" t="n">
        <v>17</v>
      </c>
    </row>
    <row r="56">
      <c r="A56" s="6" t="inlineStr">
        <is>
          <t>Asset_Lifecycle</t>
        </is>
      </c>
      <c r="B56" s="7" t="inlineStr">
        <is>
          <t>AssetLife</t>
        </is>
      </c>
      <c r="C56" s="7" t="inlineStr">
        <is>
          <t>Per device: install date, warranty and which contract covers it.</t>
        </is>
      </c>
      <c r="D56" s="7" t="n">
        <v>63</v>
      </c>
    </row>
    <row r="57">
      <c r="A57" s="6" t="inlineStr">
        <is>
          <t>Model_Lifecycle</t>
        </is>
      </c>
      <c r="B57" s="7" t="inlineStr">
        <is>
          <t>modelDates()</t>
        </is>
      </c>
      <c r="C57" s="7" t="inlineStr">
        <is>
          <t>Vendor end-of-sale / end-of-support dates per model (one row per model).</t>
        </is>
      </c>
      <c r="D57" s="7" t="n">
        <v>16</v>
      </c>
    </row>
    <row r="58">
      <c r="A58" s="6" t="inlineStr">
        <is>
          <t>Spares</t>
        </is>
      </c>
      <c r="B58" s="7" t="inlineStr">
        <is>
          <t>SparePart</t>
        </is>
      </c>
      <c r="C58" s="7" t="inlineStr">
        <is>
          <t>Field-replaceable spares held on site.</t>
        </is>
      </c>
      <c r="D58" s="7" t="n">
        <v>38</v>
      </c>
    </row>
    <row r="59">
      <c r="A59" s="6" t="inlineStr">
        <is>
          <t>PM_Plan</t>
        </is>
      </c>
      <c r="B59" s="7" t="inlineStr">
        <is>
          <t>PmTask</t>
        </is>
      </c>
      <c r="C59" s="7" t="inlineStr">
        <is>
          <t>Preventive-maintenance plan of the plant (UPS, batteries, DG, cooling, CDU, fire, switchgear).</t>
        </is>
      </c>
      <c r="D59" s="7" t="n">
        <v>51</v>
      </c>
    </row>
    <row r="60">
      <c r="A60" s="6" t="inlineStr">
        <is>
          <t>On_Call</t>
        </is>
      </c>
      <c r="B60" s="7" t="inlineStr">
        <is>
          <t>OnCall</t>
        </is>
      </c>
      <c r="C60" s="7" t="inlineStr">
        <is>
          <t>On-call rota: who answers per region and role.</t>
        </is>
      </c>
      <c r="D60" s="7" t="n">
        <v>5</v>
      </c>
    </row>
    <row r="61">
      <c r="A61" s="6" t="inlineStr">
        <is>
          <t>Snapshot_Alerts</t>
        </is>
      </c>
      <c r="B61" s="7" t="inlineStr">
        <is>
          <t>Alert (snapshot, not imported)</t>
        </is>
      </c>
      <c r="C61" s="7" t="inlineStr">
        <is>
          <t>Alarms at the time of the backup. Live data: kept for the record, not for import.</t>
        </is>
      </c>
      <c r="D61" s="7" t="n">
        <v>22</v>
      </c>
    </row>
    <row r="62">
      <c r="A62" s="6" t="inlineStr">
        <is>
          <t>Snapshot_Incidents</t>
        </is>
      </c>
      <c r="B62" s="7" t="inlineStr">
        <is>
          <t>Incident (snapshot, not imported)</t>
        </is>
      </c>
      <c r="C62" s="7" t="inlineStr">
        <is>
          <t>Incidents at the time of the backup.</t>
        </is>
      </c>
      <c r="D62" s="7" t="n">
        <v>6</v>
      </c>
    </row>
    <row r="63">
      <c r="A63" s="6" t="inlineStr">
        <is>
          <t>Snapshot_Changes</t>
        </is>
      </c>
      <c r="B63" s="7" t="inlineStr">
        <is>
          <t>Change (snapshot, not imported)</t>
        </is>
      </c>
      <c r="C63" s="7" t="inlineStr">
        <is>
          <t>Changes and maintenance windows at the time of the backup.</t>
        </is>
      </c>
      <c r="D63" s="7" t="n">
        <v>3</v>
      </c>
    </row>
    <row r="64">
      <c r="A64" s="6" t="inlineStr">
        <is>
          <t>Snapshot_RMA</t>
        </is>
      </c>
      <c r="B64" s="7" t="inlineStr">
        <is>
          <t>RmaCase (snapshot, not imported)</t>
        </is>
      </c>
      <c r="C64" s="7" t="inlineStr">
        <is>
          <t>Open RMA cases at the time of the backup.</t>
        </is>
      </c>
      <c r="D64" s="7" t="n">
        <v>2</v>
      </c>
    </row>
    <row r="65">
      <c r="A65" s="6" t="inlineStr">
        <is>
          <t>Snapshot_Problems</t>
        </is>
      </c>
      <c r="B65" s="7" t="inlineStr">
        <is>
          <t>Problem (snapshot, not imported)</t>
        </is>
      </c>
      <c r="C65" s="7" t="inlineStr">
        <is>
          <t>Problem records grouping recurring incidents.</t>
        </is>
      </c>
      <c r="D65" s="7" t="n">
        <v>5</v>
      </c>
    </row>
    <row r="66">
      <c r="A66" s="6" t="inlineStr">
        <is>
          <t>Snapshot_Orders</t>
        </is>
      </c>
      <c r="B66" s="7" t="inlineStr">
        <is>
          <t>CrossConnectOrder + RemoteHandsTicket (snapshot)</t>
        </is>
      </c>
      <c r="C66" s="7" t="inlineStr">
        <is>
          <t>Colocation cross-connect orders and remote-hands tickets.</t>
        </is>
      </c>
      <c r="D66" s="7" t="n">
        <v>41</v>
      </c>
    </row>
    <row r="67">
      <c r="A67" s="8" t="inlineStr">
        <is>
          <t>Summary</t>
        </is>
      </c>
      <c r="B67" s="9" t="inlineStr">
        <is>
          <t>—</t>
        </is>
      </c>
      <c r="C67" s="9" t="inlineStr">
        <is>
          <t>Counts per site and the reconciliation checks (formulas).</t>
        </is>
      </c>
      <c r="D67" s="9" t="inlineStr"/>
    </row>
    <row r="68">
      <c r="A68" s="8" t="inlineStr">
        <is>
          <t>Field_Dictionary</t>
        </is>
      </c>
      <c r="B68" s="9" t="inlineStr">
        <is>
          <t>—</t>
        </is>
      </c>
      <c r="C68" s="9" t="inlineStr">
        <is>
          <t>Every column: required, type, allowed values, the system field it maps to.</t>
        </is>
      </c>
      <c r="D68" s="9" t="inlineStr"/>
    </row>
    <row r="69">
      <c r="A69" s="8" t="inlineStr">
        <is>
          <t>Lookups</t>
        </is>
      </c>
      <c r="B69" s="9" t="inlineStr">
        <is>
          <t>—</t>
        </is>
      </c>
      <c r="C69" s="9" t="inlineStr">
        <is>
          <t>Allowed values behind the dropdowns.</t>
        </is>
      </c>
      <c r="D69" s="9" t="inlineStr"/>
    </row>
  </sheetData>
  <mergeCells count="24">
    <mergeCell ref="A5:D5"/>
    <mergeCell ref="A17:D17"/>
    <mergeCell ref="A23:D23"/>
    <mergeCell ref="A8:D8"/>
    <mergeCell ref="A22:D22"/>
    <mergeCell ref="A4:D4"/>
    <mergeCell ref="A20:D20"/>
    <mergeCell ref="A19:D19"/>
    <mergeCell ref="A10:D10"/>
    <mergeCell ref="A13:D13"/>
    <mergeCell ref="A9:D9"/>
    <mergeCell ref="A15:D15"/>
    <mergeCell ref="A24:D24"/>
    <mergeCell ref="A11:D11"/>
    <mergeCell ref="A1:D1"/>
    <mergeCell ref="A6:D6"/>
    <mergeCell ref="A7:D7"/>
    <mergeCell ref="A16:D16"/>
    <mergeCell ref="A18:D18"/>
    <mergeCell ref="A12:D12"/>
    <mergeCell ref="A3:D3"/>
    <mergeCell ref="A21:D21"/>
    <mergeCell ref="A2:D2"/>
    <mergeCell ref="A14:D14"/>
  </mergeCells>
  <hyperlinks>
    <hyperlink xmlns:r="http://schemas.openxmlformats.org/officeDocument/2006/relationships" ref="A26" r:id="rId1"/>
    <hyperlink xmlns:r="http://schemas.openxmlformats.org/officeDocument/2006/relationships" ref="A27" r:id="rId2"/>
    <hyperlink xmlns:r="http://schemas.openxmlformats.org/officeDocument/2006/relationships" ref="A28" r:id="rId3"/>
    <hyperlink xmlns:r="http://schemas.openxmlformats.org/officeDocument/2006/relationships" ref="A29" r:id="rId4"/>
    <hyperlink xmlns:r="http://schemas.openxmlformats.org/officeDocument/2006/relationships" ref="A30" r:id="rId5"/>
    <hyperlink xmlns:r="http://schemas.openxmlformats.org/officeDocument/2006/relationships" ref="A31" r:id="rId6"/>
    <hyperlink xmlns:r="http://schemas.openxmlformats.org/officeDocument/2006/relationships" ref="A32" r:id="rId7"/>
    <hyperlink xmlns:r="http://schemas.openxmlformats.org/officeDocument/2006/relationships" ref="A33" r:id="rId8"/>
    <hyperlink xmlns:r="http://schemas.openxmlformats.org/officeDocument/2006/relationships" ref="A34" r:id="rId9"/>
    <hyperlink xmlns:r="http://schemas.openxmlformats.org/officeDocument/2006/relationships" ref="A35" r:id="rId10"/>
    <hyperlink xmlns:r="http://schemas.openxmlformats.org/officeDocument/2006/relationships" ref="A36" r:id="rId11"/>
    <hyperlink xmlns:r="http://schemas.openxmlformats.org/officeDocument/2006/relationships" ref="A37" r:id="rId12"/>
    <hyperlink xmlns:r="http://schemas.openxmlformats.org/officeDocument/2006/relationships" ref="A38" r:id="rId13"/>
    <hyperlink xmlns:r="http://schemas.openxmlformats.org/officeDocument/2006/relationships" ref="A39" r:id="rId14"/>
    <hyperlink xmlns:r="http://schemas.openxmlformats.org/officeDocument/2006/relationships" ref="A40" r:id="rId15"/>
    <hyperlink xmlns:r="http://schemas.openxmlformats.org/officeDocument/2006/relationships" ref="A41" r:id="rId16"/>
    <hyperlink xmlns:r="http://schemas.openxmlformats.org/officeDocument/2006/relationships" ref="A42" r:id="rId17"/>
    <hyperlink xmlns:r="http://schemas.openxmlformats.org/officeDocument/2006/relationships" ref="A43" r:id="rId18"/>
    <hyperlink xmlns:r="http://schemas.openxmlformats.org/officeDocument/2006/relationships" ref="A44" r:id="rId19"/>
    <hyperlink xmlns:r="http://schemas.openxmlformats.org/officeDocument/2006/relationships" ref="A45" r:id="rId20"/>
    <hyperlink xmlns:r="http://schemas.openxmlformats.org/officeDocument/2006/relationships" ref="A46" r:id="rId21"/>
    <hyperlink xmlns:r="http://schemas.openxmlformats.org/officeDocument/2006/relationships" ref="A47" r:id="rId22"/>
    <hyperlink xmlns:r="http://schemas.openxmlformats.org/officeDocument/2006/relationships" ref="A48" r:id="rId23"/>
    <hyperlink xmlns:r="http://schemas.openxmlformats.org/officeDocument/2006/relationships" ref="A49" r:id="rId24"/>
    <hyperlink xmlns:r="http://schemas.openxmlformats.org/officeDocument/2006/relationships" ref="A50" r:id="rId25"/>
    <hyperlink xmlns:r="http://schemas.openxmlformats.org/officeDocument/2006/relationships" ref="A51" r:id="rId26"/>
    <hyperlink xmlns:r="http://schemas.openxmlformats.org/officeDocument/2006/relationships" ref="A52" r:id="rId27"/>
    <hyperlink xmlns:r="http://schemas.openxmlformats.org/officeDocument/2006/relationships" ref="A53" r:id="rId28"/>
    <hyperlink xmlns:r="http://schemas.openxmlformats.org/officeDocument/2006/relationships" ref="A54" r:id="rId29"/>
    <hyperlink xmlns:r="http://schemas.openxmlformats.org/officeDocument/2006/relationships" ref="A55" r:id="rId30"/>
    <hyperlink xmlns:r="http://schemas.openxmlformats.org/officeDocument/2006/relationships" ref="A56" r:id="rId31"/>
    <hyperlink xmlns:r="http://schemas.openxmlformats.org/officeDocument/2006/relationships" ref="A57" r:id="rId32"/>
    <hyperlink xmlns:r="http://schemas.openxmlformats.org/officeDocument/2006/relationships" ref="A58" r:id="rId33"/>
    <hyperlink xmlns:r="http://schemas.openxmlformats.org/officeDocument/2006/relationships" ref="A59" r:id="rId34"/>
    <hyperlink xmlns:r="http://schemas.openxmlformats.org/officeDocument/2006/relationships" ref="A60" r:id="rId35"/>
    <hyperlink xmlns:r="http://schemas.openxmlformats.org/officeDocument/2006/relationships" ref="A61" r:id="rId36"/>
    <hyperlink xmlns:r="http://schemas.openxmlformats.org/officeDocument/2006/relationships" ref="A62" r:id="rId37"/>
    <hyperlink xmlns:r="http://schemas.openxmlformats.org/officeDocument/2006/relationships" ref="A63" r:id="rId38"/>
    <hyperlink xmlns:r="http://schemas.openxmlformats.org/officeDocument/2006/relationships" ref="A64" r:id="rId39"/>
    <hyperlink xmlns:r="http://schemas.openxmlformats.org/officeDocument/2006/relationships" ref="A65" r:id="rId40"/>
    <hyperlink xmlns:r="http://schemas.openxmlformats.org/officeDocument/2006/relationships" ref="A66" r:id="rId41"/>
    <hyperlink xmlns:r="http://schemas.openxmlformats.org/officeDocument/2006/relationships" ref="A67" r:id="rId42"/>
    <hyperlink xmlns:r="http://schemas.openxmlformats.org/officeDocument/2006/relationships" ref="A68" r:id="rId43"/>
    <hyperlink xmlns:r="http://schemas.openxmlformats.org/officeDocument/2006/relationships" ref="A69" r:id="rId44"/>
  </hyperlinks>
  <pageMargins left="0.75" right="0.75" top="1" bottom="1" header="0.5" footer="0.5"/>
</worksheet>
</file>

<file path=xl/worksheets/sheet2.xml><?xml version="1.0" encoding="utf-8"?>
<worksheet xmlns="http://schemas.openxmlformats.org/spreadsheetml/2006/main">
  <sheetPr>
    <tabColor rgb="002F855A"/>
    <outlinePr summaryBelow="1" summaryRight="1"/>
    <pageSetUpPr/>
  </sheetPr>
  <dimension ref="A1:H44"/>
  <sheetViews>
    <sheetView showGridLines="0"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0" t="inlineStr">
        <is>
          <t>Summary and reconciliation checks</t>
        </is>
      </c>
    </row>
    <row r="2">
      <c r="A2" s="11" t="inlineStr">
        <is>
          <t>Every figure is a formula over the data sheets. Check it with the customer: these are the numbers the platform will show.</t>
        </is>
      </c>
    </row>
    <row r="4">
      <c r="A4" s="12" t="inlineStr">
        <is>
          <t>Measure</t>
        </is>
      </c>
      <c r="B4" s="12">
        <f>IF('Sites'!A2="","(site 1)",'Sites'!A2)</f>
        <v/>
      </c>
      <c r="C4" s="12">
        <f>IF('Sites'!A3="","(site 2)",'Sites'!A3)</f>
        <v/>
      </c>
      <c r="D4" s="12">
        <f>IF('Sites'!A4="","(site 3)",'Sites'!A4)</f>
        <v/>
      </c>
      <c r="E4" s="12">
        <f>IF('Sites'!A5="","(site 4)",'Sites'!A5)</f>
        <v/>
      </c>
      <c r="F4" s="12">
        <f>IF('Sites'!A6="","(site 5)",'Sites'!A6)</f>
        <v/>
      </c>
      <c r="G4" s="12">
        <f>IF('Sites'!A7="","(site 6)",'Sites'!A7)</f>
        <v/>
      </c>
      <c r="H4" s="12" t="inlineStr">
        <is>
          <t>Total</t>
        </is>
      </c>
    </row>
    <row r="5">
      <c r="A5" s="9" t="inlineStr">
        <is>
          <t>Floors</t>
        </is>
      </c>
      <c r="B5" s="13">
        <f>IF('Sites'!$A$2="","",COUNTIF('Floors'!$A$2:$A$2000,B$4))</f>
        <v/>
      </c>
      <c r="C5" s="13">
        <f>IF('Sites'!$A$3="","",COUNTIF('Floors'!$A$2:$A$2000,C$4))</f>
        <v/>
      </c>
      <c r="D5" s="13">
        <f>IF('Sites'!$A$4="","",COUNTIF('Floors'!$A$2:$A$2000,D$4))</f>
        <v/>
      </c>
      <c r="E5" s="13">
        <f>IF('Sites'!$A$5="","",COUNTIF('Floors'!$A$2:$A$2000,E$4))</f>
        <v/>
      </c>
      <c r="F5" s="13">
        <f>IF('Sites'!$A$6="","",COUNTIF('Floors'!$A$2:$A$2000,F$4))</f>
        <v/>
      </c>
      <c r="G5" s="13">
        <f>IF('Sites'!$A$7="","",COUNTIF('Floors'!$A$2:$A$2000,G$4))</f>
        <v/>
      </c>
      <c r="H5" s="14">
        <f>SUM(B5:G5)</f>
        <v/>
      </c>
    </row>
    <row r="6">
      <c r="A6" s="9" t="inlineStr">
        <is>
          <t>Rooms</t>
        </is>
      </c>
      <c r="B6" s="13">
        <f>IF('Sites'!$A$2="","",COUNTIF('Rooms'!$A$2:$A$2000,B$4))</f>
        <v/>
      </c>
      <c r="C6" s="13">
        <f>IF('Sites'!$A$3="","",COUNTIF('Rooms'!$A$2:$A$2000,C$4))</f>
        <v/>
      </c>
      <c r="D6" s="13">
        <f>IF('Sites'!$A$4="","",COUNTIF('Rooms'!$A$2:$A$2000,D$4))</f>
        <v/>
      </c>
      <c r="E6" s="13">
        <f>IF('Sites'!$A$5="","",COUNTIF('Rooms'!$A$2:$A$2000,E$4))</f>
        <v/>
      </c>
      <c r="F6" s="13">
        <f>IF('Sites'!$A$6="","",COUNTIF('Rooms'!$A$2:$A$2000,F$4))</f>
        <v/>
      </c>
      <c r="G6" s="13">
        <f>IF('Sites'!$A$7="","",COUNTIF('Rooms'!$A$2:$A$2000,G$4))</f>
        <v/>
      </c>
      <c r="H6" s="14">
        <f>SUM(B6:G6)</f>
        <v/>
      </c>
    </row>
    <row r="7">
      <c r="A7" s="9" t="inlineStr">
        <is>
          <t>Racks</t>
        </is>
      </c>
      <c r="B7" s="13">
        <f>IF('Sites'!$A$2="","",COUNTIF('Racks'!$B$2:$B$2000,B$4))</f>
        <v/>
      </c>
      <c r="C7" s="13">
        <f>IF('Sites'!$A$3="","",COUNTIF('Racks'!$B$2:$B$2000,C$4))</f>
        <v/>
      </c>
      <c r="D7" s="13">
        <f>IF('Sites'!$A$4="","",COUNTIF('Racks'!$B$2:$B$2000,D$4))</f>
        <v/>
      </c>
      <c r="E7" s="13">
        <f>IF('Sites'!$A$5="","",COUNTIF('Racks'!$B$2:$B$2000,E$4))</f>
        <v/>
      </c>
      <c r="F7" s="13">
        <f>IF('Sites'!$A$6="","",COUNTIF('Racks'!$B$2:$B$2000,F$4))</f>
        <v/>
      </c>
      <c r="G7" s="13">
        <f>IF('Sites'!$A$7="","",COUNTIF('Racks'!$B$2:$B$2000,G$4))</f>
        <v/>
      </c>
      <c r="H7" s="14">
        <f>SUM(B7:G7)</f>
        <v/>
      </c>
    </row>
    <row r="8">
      <c r="A8" s="9" t="inlineStr">
        <is>
          <t xml:space="preserve">  of which tenant cabinets</t>
        </is>
      </c>
      <c r="B8" s="13">
        <f>IF('Sites'!$A$2="","",COUNTIFS('Racks'!$B$2:$B$2000,B$4,'Racks'!$J$2:$J$2000,"tenant"))</f>
        <v/>
      </c>
      <c r="C8" s="13">
        <f>IF('Sites'!$A$3="","",COUNTIFS('Racks'!$B$2:$B$2000,C$4,'Racks'!$J$2:$J$2000,"tenant"))</f>
        <v/>
      </c>
      <c r="D8" s="13">
        <f>IF('Sites'!$A$4="","",COUNTIFS('Racks'!$B$2:$B$2000,D$4,'Racks'!$J$2:$J$2000,"tenant"))</f>
        <v/>
      </c>
      <c r="E8" s="13">
        <f>IF('Sites'!$A$5="","",COUNTIFS('Racks'!$B$2:$B$2000,E$4,'Racks'!$J$2:$J$2000,"tenant"))</f>
        <v/>
      </c>
      <c r="F8" s="13">
        <f>IF('Sites'!$A$6="","",COUNTIFS('Racks'!$B$2:$B$2000,F$4,'Racks'!$J$2:$J$2000,"tenant"))</f>
        <v/>
      </c>
      <c r="G8" s="13">
        <f>IF('Sites'!$A$7="","",COUNTIFS('Racks'!$B$2:$B$2000,G$4,'Racks'!$J$2:$J$2000,"tenant"))</f>
        <v/>
      </c>
      <c r="H8" s="14">
        <f>SUM(B8:G8)</f>
        <v/>
      </c>
    </row>
    <row r="9">
      <c r="A9" s="9" t="inlineStr">
        <is>
          <t xml:space="preserve">  of which AI / high-density</t>
        </is>
      </c>
      <c r="B9" s="13">
        <f>IF('Sites'!$A$2="","",COUNTIFS('Racks'!$B$2:$B$2000,B$4,'Racks'!$M$2:$M$2000,"ai"))</f>
        <v/>
      </c>
      <c r="C9" s="13">
        <f>IF('Sites'!$A$3="","",COUNTIFS('Racks'!$B$2:$B$2000,C$4,'Racks'!$M$2:$M$2000,"ai"))</f>
        <v/>
      </c>
      <c r="D9" s="13">
        <f>IF('Sites'!$A$4="","",COUNTIFS('Racks'!$B$2:$B$2000,D$4,'Racks'!$M$2:$M$2000,"ai"))</f>
        <v/>
      </c>
      <c r="E9" s="13">
        <f>IF('Sites'!$A$5="","",COUNTIFS('Racks'!$B$2:$B$2000,E$4,'Racks'!$M$2:$M$2000,"ai"))</f>
        <v/>
      </c>
      <c r="F9" s="13">
        <f>IF('Sites'!$A$6="","",COUNTIFS('Racks'!$B$2:$B$2000,F$4,'Racks'!$M$2:$M$2000,"ai"))</f>
        <v/>
      </c>
      <c r="G9" s="13">
        <f>IF('Sites'!$A$7="","",COUNTIFS('Racks'!$B$2:$B$2000,G$4,'Racks'!$M$2:$M$2000,"ai"))</f>
        <v/>
      </c>
      <c r="H9" s="14">
        <f>SUM(B9:G9)</f>
        <v/>
      </c>
    </row>
    <row r="10">
      <c r="A10" s="9" t="inlineStr">
        <is>
          <t>Rack power budget (kW)</t>
        </is>
      </c>
      <c r="B10" s="13">
        <f>IF('Sites'!$A$2="","",SUMIF('Racks'!$B$2:$B$2000,B$4,'Racks'!$I$2:$I$2000))</f>
        <v/>
      </c>
      <c r="C10" s="13">
        <f>IF('Sites'!$A$3="","",SUMIF('Racks'!$B$2:$B$2000,C$4,'Racks'!$I$2:$I$2000))</f>
        <v/>
      </c>
      <c r="D10" s="13">
        <f>IF('Sites'!$A$4="","",SUMIF('Racks'!$B$2:$B$2000,D$4,'Racks'!$I$2:$I$2000))</f>
        <v/>
      </c>
      <c r="E10" s="13">
        <f>IF('Sites'!$A$5="","",SUMIF('Racks'!$B$2:$B$2000,E$4,'Racks'!$I$2:$I$2000))</f>
        <v/>
      </c>
      <c r="F10" s="13">
        <f>IF('Sites'!$A$6="","",SUMIF('Racks'!$B$2:$B$2000,F$4,'Racks'!$I$2:$I$2000))</f>
        <v/>
      </c>
      <c r="G10" s="13">
        <f>IF('Sites'!$A$7="","",SUMIF('Racks'!$B$2:$B$2000,G$4,'Racks'!$I$2:$I$2000))</f>
        <v/>
      </c>
      <c r="H10" s="14">
        <f>SUM(B10:G10)</f>
        <v/>
      </c>
    </row>
    <row r="11">
      <c r="A11" s="9" t="inlineStr">
        <is>
          <t>Site IT capacity (kW)</t>
        </is>
      </c>
      <c r="B11" s="13">
        <f>IF('Sites'!$A$2="","",SUMIF('Sites'!$A$2:$A$2000,B$4,'Sites'!$O$2:$O$2000))</f>
        <v/>
      </c>
      <c r="C11" s="13">
        <f>IF('Sites'!$A$3="","",SUMIF('Sites'!$A$2:$A$2000,C$4,'Sites'!$O$2:$O$2000))</f>
        <v/>
      </c>
      <c r="D11" s="13">
        <f>IF('Sites'!$A$4="","",SUMIF('Sites'!$A$2:$A$2000,D$4,'Sites'!$O$2:$O$2000))</f>
        <v/>
      </c>
      <c r="E11" s="13">
        <f>IF('Sites'!$A$5="","",SUMIF('Sites'!$A$2:$A$2000,E$4,'Sites'!$O$2:$O$2000))</f>
        <v/>
      </c>
      <c r="F11" s="13">
        <f>IF('Sites'!$A$6="","",SUMIF('Sites'!$A$2:$A$2000,F$4,'Sites'!$O$2:$O$2000))</f>
        <v/>
      </c>
      <c r="G11" s="13">
        <f>IF('Sites'!$A$7="","",SUMIF('Sites'!$A$2:$A$2000,G$4,'Sites'!$O$2:$O$2000))</f>
        <v/>
      </c>
      <c r="H11" s="14">
        <f>SUM(B11:G11)</f>
        <v/>
      </c>
    </row>
    <row r="12">
      <c r="A12" s="9" t="inlineStr">
        <is>
          <t>Devices (all)</t>
        </is>
      </c>
      <c r="B12" s="13">
        <f>IF('Sites'!$A$2="","",COUNTIFS('Devices'!$B$2:$B$2000,B$4))</f>
        <v/>
      </c>
      <c r="C12" s="13">
        <f>IF('Sites'!$A$3="","",COUNTIFS('Devices'!$B$2:$B$2000,C$4))</f>
        <v/>
      </c>
      <c r="D12" s="13">
        <f>IF('Sites'!$A$4="","",COUNTIFS('Devices'!$B$2:$B$2000,D$4))</f>
        <v/>
      </c>
      <c r="E12" s="13">
        <f>IF('Sites'!$A$5="","",COUNTIFS('Devices'!$B$2:$B$2000,E$4))</f>
        <v/>
      </c>
      <c r="F12" s="13">
        <f>IF('Sites'!$A$6="","",COUNTIFS('Devices'!$B$2:$B$2000,F$4))</f>
        <v/>
      </c>
      <c r="G12" s="13">
        <f>IF('Sites'!$A$7="","",COUNTIFS('Devices'!$B$2:$B$2000,G$4))</f>
        <v/>
      </c>
      <c r="H12" s="14">
        <f>SUM(B12:G12)</f>
        <v/>
      </c>
    </row>
    <row r="13">
      <c r="A13" s="9" t="inlineStr">
        <is>
          <t xml:space="preserve">  operator devices</t>
        </is>
      </c>
      <c r="B13" s="13">
        <f>IF('Sites'!$A$2="","",COUNTIFS('Devices'!$B$2:$B$2000,B$4,'Devices'!$P$2:$P$2000,"operator"))</f>
        <v/>
      </c>
      <c r="C13" s="13">
        <f>IF('Sites'!$A$3="","",COUNTIFS('Devices'!$B$2:$B$2000,C$4,'Devices'!$P$2:$P$2000,"operator"))</f>
        <v/>
      </c>
      <c r="D13" s="13">
        <f>IF('Sites'!$A$4="","",COUNTIFS('Devices'!$B$2:$B$2000,D$4,'Devices'!$P$2:$P$2000,"operator"))</f>
        <v/>
      </c>
      <c r="E13" s="13">
        <f>IF('Sites'!$A$5="","",COUNTIFS('Devices'!$B$2:$B$2000,E$4,'Devices'!$P$2:$P$2000,"operator"))</f>
        <v/>
      </c>
      <c r="F13" s="13">
        <f>IF('Sites'!$A$6="","",COUNTIFS('Devices'!$B$2:$B$2000,F$4,'Devices'!$P$2:$P$2000,"operator"))</f>
        <v/>
      </c>
      <c r="G13" s="13">
        <f>IF('Sites'!$A$7="","",COUNTIFS('Devices'!$B$2:$B$2000,G$4,'Devices'!$P$2:$P$2000,"operator"))</f>
        <v/>
      </c>
      <c r="H13" s="14">
        <f>SUM(B13:G13)</f>
        <v/>
      </c>
    </row>
    <row r="14">
      <c r="A14" s="9" t="inlineStr">
        <is>
          <t xml:space="preserve">  tenant gear blocks</t>
        </is>
      </c>
      <c r="B14" s="13">
        <f>IF('Sites'!$A$2="","",COUNTIFS('Devices'!$B$2:$B$2000,B$4,'Devices'!$P$2:$P$2000,"tenant"))</f>
        <v/>
      </c>
      <c r="C14" s="13">
        <f>IF('Sites'!$A$3="","",COUNTIFS('Devices'!$B$2:$B$2000,C$4,'Devices'!$P$2:$P$2000,"tenant"))</f>
        <v/>
      </c>
      <c r="D14" s="13">
        <f>IF('Sites'!$A$4="","",COUNTIFS('Devices'!$B$2:$B$2000,D$4,'Devices'!$P$2:$P$2000,"tenant"))</f>
        <v/>
      </c>
      <c r="E14" s="13">
        <f>IF('Sites'!$A$5="","",COUNTIFS('Devices'!$B$2:$B$2000,E$4,'Devices'!$P$2:$P$2000,"tenant"))</f>
        <v/>
      </c>
      <c r="F14" s="13">
        <f>IF('Sites'!$A$6="","",COUNTIFS('Devices'!$B$2:$B$2000,F$4,'Devices'!$P$2:$P$2000,"tenant"))</f>
        <v/>
      </c>
      <c r="G14" s="13">
        <f>IF('Sites'!$A$7="","",COUNTIFS('Devices'!$B$2:$B$2000,G$4,'Devices'!$P$2:$P$2000,"tenant"))</f>
        <v/>
      </c>
      <c r="H14" s="14">
        <f>SUM(B14:G14)</f>
        <v/>
      </c>
    </row>
    <row r="15">
      <c r="A15" s="9" t="inlineStr">
        <is>
          <t xml:space="preserve">  GPU nodes</t>
        </is>
      </c>
      <c r="B15" s="13">
        <f>IF('Sites'!$A$2="","",COUNTIFS('Devices'!$B$2:$B$2000,B$4,'Devices'!$D$2:$D$2000,"GPU"))</f>
        <v/>
      </c>
      <c r="C15" s="13">
        <f>IF('Sites'!$A$3="","",COUNTIFS('Devices'!$B$2:$B$2000,C$4,'Devices'!$D$2:$D$2000,"GPU"))</f>
        <v/>
      </c>
      <c r="D15" s="13">
        <f>IF('Sites'!$A$4="","",COUNTIFS('Devices'!$B$2:$B$2000,D$4,'Devices'!$D$2:$D$2000,"GPU"))</f>
        <v/>
      </c>
      <c r="E15" s="13">
        <f>IF('Sites'!$A$5="","",COUNTIFS('Devices'!$B$2:$B$2000,E$4,'Devices'!$D$2:$D$2000,"GPU"))</f>
        <v/>
      </c>
      <c r="F15" s="13">
        <f>IF('Sites'!$A$6="","",COUNTIFS('Devices'!$B$2:$B$2000,F$4,'Devices'!$D$2:$D$2000,"GPU"))</f>
        <v/>
      </c>
      <c r="G15" s="13">
        <f>IF('Sites'!$A$7="","",COUNTIFS('Devices'!$B$2:$B$2000,G$4,'Devices'!$D$2:$D$2000,"GPU"))</f>
        <v/>
      </c>
      <c r="H15" s="14">
        <f>SUM(B15:G15)</f>
        <v/>
      </c>
    </row>
    <row r="16">
      <c r="A16" s="9" t="inlineStr">
        <is>
          <t xml:space="preserve">  network (routers, firewalls, switches)</t>
        </is>
      </c>
      <c r="B16" s="13">
        <f>IF('Sites'!$A$2="","",COUNTIFS('Devices'!$B$2:$B$2000,B$4,'Devices'!$D$2:$D$2000,"Router")+COUNTIFS('Devices'!$B$2:$B$2000,B$4,'Devices'!$D$2:$D$2000,"Firewall")+COUNTIFS('Devices'!$B$2:$B$2000,B$4,'Devices'!$D$2:$D$2000,"Switch"))</f>
        <v/>
      </c>
      <c r="C16" s="13">
        <f>IF('Sites'!$A$3="","",COUNTIFS('Devices'!$B$2:$B$2000,C$4,'Devices'!$D$2:$D$2000,"Router")+COUNTIFS('Devices'!$B$2:$B$2000,C$4,'Devices'!$D$2:$D$2000,"Firewall")+COUNTIFS('Devices'!$B$2:$B$2000,C$4,'Devices'!$D$2:$D$2000,"Switch"))</f>
        <v/>
      </c>
      <c r="D16" s="13">
        <f>IF('Sites'!$A$4="","",COUNTIFS('Devices'!$B$2:$B$2000,D$4,'Devices'!$D$2:$D$2000,"Router")+COUNTIFS('Devices'!$B$2:$B$2000,D$4,'Devices'!$D$2:$D$2000,"Firewall")+COUNTIFS('Devices'!$B$2:$B$2000,D$4,'Devices'!$D$2:$D$2000,"Switch"))</f>
        <v/>
      </c>
      <c r="E16" s="13">
        <f>IF('Sites'!$A$5="","",COUNTIFS('Devices'!$B$2:$B$2000,E$4,'Devices'!$D$2:$D$2000,"Router")+COUNTIFS('Devices'!$B$2:$B$2000,E$4,'Devices'!$D$2:$D$2000,"Firewall")+COUNTIFS('Devices'!$B$2:$B$2000,E$4,'Devices'!$D$2:$D$2000,"Switch"))</f>
        <v/>
      </c>
      <c r="F16" s="13">
        <f>IF('Sites'!$A$6="","",COUNTIFS('Devices'!$B$2:$B$2000,F$4,'Devices'!$D$2:$D$2000,"Router")+COUNTIFS('Devices'!$B$2:$B$2000,F$4,'Devices'!$D$2:$D$2000,"Firewall")+COUNTIFS('Devices'!$B$2:$B$2000,F$4,'Devices'!$D$2:$D$2000,"Switch"))</f>
        <v/>
      </c>
      <c r="G16" s="13">
        <f>IF('Sites'!$A$7="","",COUNTIFS('Devices'!$B$2:$B$2000,G$4,'Devices'!$D$2:$D$2000,"Router")+COUNTIFS('Devices'!$B$2:$B$2000,G$4,'Devices'!$D$2:$D$2000,"Firewall")+COUNTIFS('Devices'!$B$2:$B$2000,G$4,'Devices'!$D$2:$D$2000,"Switch"))</f>
        <v/>
      </c>
      <c r="H16" s="14">
        <f>SUM(B16:G16)</f>
        <v/>
      </c>
    </row>
    <row r="17">
      <c r="A17" s="9" t="inlineStr">
        <is>
          <t>UPS units</t>
        </is>
      </c>
      <c r="B17" s="13">
        <f>IF('Sites'!$A$2="","",COUNTIF('UPS'!$B$2:$B$2000,B$4))</f>
        <v/>
      </c>
      <c r="C17" s="13">
        <f>IF('Sites'!$A$3="","",COUNTIF('UPS'!$B$2:$B$2000,C$4))</f>
        <v/>
      </c>
      <c r="D17" s="13">
        <f>IF('Sites'!$A$4="","",COUNTIF('UPS'!$B$2:$B$2000,D$4))</f>
        <v/>
      </c>
      <c r="E17" s="13">
        <f>IF('Sites'!$A$5="","",COUNTIF('UPS'!$B$2:$B$2000,E$4))</f>
        <v/>
      </c>
      <c r="F17" s="13">
        <f>IF('Sites'!$A$6="","",COUNTIF('UPS'!$B$2:$B$2000,F$4))</f>
        <v/>
      </c>
      <c r="G17" s="13">
        <f>IF('Sites'!$A$7="","",COUNTIF('UPS'!$B$2:$B$2000,G$4))</f>
        <v/>
      </c>
      <c r="H17" s="14">
        <f>SUM(B17:G17)</f>
        <v/>
      </c>
    </row>
    <row r="18">
      <c r="A18" s="9" t="inlineStr">
        <is>
          <t>UPS capacity (kW)</t>
        </is>
      </c>
      <c r="B18" s="13">
        <f>IF('Sites'!$A$2="","",SUMIF('UPS'!$B$2:$B$2000,B$4,'UPS'!$H$2:$H$2000))</f>
        <v/>
      </c>
      <c r="C18" s="13">
        <f>IF('Sites'!$A$3="","",SUMIF('UPS'!$B$2:$B$2000,C$4,'UPS'!$H$2:$H$2000))</f>
        <v/>
      </c>
      <c r="D18" s="13">
        <f>IF('Sites'!$A$4="","",SUMIF('UPS'!$B$2:$B$2000,D$4,'UPS'!$H$2:$H$2000))</f>
        <v/>
      </c>
      <c r="E18" s="13">
        <f>IF('Sites'!$A$5="","",SUMIF('UPS'!$B$2:$B$2000,E$4,'UPS'!$H$2:$H$2000))</f>
        <v/>
      </c>
      <c r="F18" s="13">
        <f>IF('Sites'!$A$6="","",SUMIF('UPS'!$B$2:$B$2000,F$4,'UPS'!$H$2:$H$2000))</f>
        <v/>
      </c>
      <c r="G18" s="13">
        <f>IF('Sites'!$A$7="","",SUMIF('UPS'!$B$2:$B$2000,G$4,'UPS'!$H$2:$H$2000))</f>
        <v/>
      </c>
      <c r="H18" s="14">
        <f>SUM(B18:G18)</f>
        <v/>
      </c>
    </row>
    <row r="19">
      <c r="A19" s="9" t="inlineStr">
        <is>
          <t>Generators</t>
        </is>
      </c>
      <c r="B19" s="13">
        <f>IF('Sites'!$A$2="","",COUNTIF('Generators'!$B$2:$B$2000,B$4))</f>
        <v/>
      </c>
      <c r="C19" s="13">
        <f>IF('Sites'!$A$3="","",COUNTIF('Generators'!$B$2:$B$2000,C$4))</f>
        <v/>
      </c>
      <c r="D19" s="13">
        <f>IF('Sites'!$A$4="","",COUNTIF('Generators'!$B$2:$B$2000,D$4))</f>
        <v/>
      </c>
      <c r="E19" s="13">
        <f>IF('Sites'!$A$5="","",COUNTIF('Generators'!$B$2:$B$2000,E$4))</f>
        <v/>
      </c>
      <c r="F19" s="13">
        <f>IF('Sites'!$A$6="","",COUNTIF('Generators'!$B$2:$B$2000,F$4))</f>
        <v/>
      </c>
      <c r="G19" s="13">
        <f>IF('Sites'!$A$7="","",COUNTIF('Generators'!$B$2:$B$2000,G$4))</f>
        <v/>
      </c>
      <c r="H19" s="14">
        <f>SUM(B19:G19)</f>
        <v/>
      </c>
    </row>
    <row r="20">
      <c r="A20" s="9" t="inlineStr">
        <is>
          <t>Cooling units</t>
        </is>
      </c>
      <c r="B20" s="13">
        <f>IF('Sites'!$A$2="","",COUNTIF('Cooling_Units'!$B$2:$B$2000,B$4))</f>
        <v/>
      </c>
      <c r="C20" s="13">
        <f>IF('Sites'!$A$3="","",COUNTIF('Cooling_Units'!$B$2:$B$2000,C$4))</f>
        <v/>
      </c>
      <c r="D20" s="13">
        <f>IF('Sites'!$A$4="","",COUNTIF('Cooling_Units'!$B$2:$B$2000,D$4))</f>
        <v/>
      </c>
      <c r="E20" s="13">
        <f>IF('Sites'!$A$5="","",COUNTIF('Cooling_Units'!$B$2:$B$2000,E$4))</f>
        <v/>
      </c>
      <c r="F20" s="13">
        <f>IF('Sites'!$A$6="","",COUNTIF('Cooling_Units'!$B$2:$B$2000,F$4))</f>
        <v/>
      </c>
      <c r="G20" s="13">
        <f>IF('Sites'!$A$7="","",COUNTIF('Cooling_Units'!$B$2:$B$2000,G$4))</f>
        <v/>
      </c>
      <c r="H20" s="14">
        <f>SUM(B20:G20)</f>
        <v/>
      </c>
    </row>
    <row r="21">
      <c r="A21" s="9" t="inlineStr">
        <is>
          <t>Cooling unit capacity (kW)</t>
        </is>
      </c>
      <c r="B21" s="13">
        <f>IF('Sites'!$A$2="","",SUMIF('Cooling_Units'!$B$2:$B$2000,B$4,'Cooling_Units'!$H$2:$H$2000))</f>
        <v/>
      </c>
      <c r="C21" s="13">
        <f>IF('Sites'!$A$3="","",SUMIF('Cooling_Units'!$B$2:$B$2000,C$4,'Cooling_Units'!$H$2:$H$2000))</f>
        <v/>
      </c>
      <c r="D21" s="13">
        <f>IF('Sites'!$A$4="","",SUMIF('Cooling_Units'!$B$2:$B$2000,D$4,'Cooling_Units'!$H$2:$H$2000))</f>
        <v/>
      </c>
      <c r="E21" s="13">
        <f>IF('Sites'!$A$5="","",SUMIF('Cooling_Units'!$B$2:$B$2000,E$4,'Cooling_Units'!$H$2:$H$2000))</f>
        <v/>
      </c>
      <c r="F21" s="13">
        <f>IF('Sites'!$A$6="","",SUMIF('Cooling_Units'!$B$2:$B$2000,F$4,'Cooling_Units'!$H$2:$H$2000))</f>
        <v/>
      </c>
      <c r="G21" s="13">
        <f>IF('Sites'!$A$7="","",SUMIF('Cooling_Units'!$B$2:$B$2000,G$4,'Cooling_Units'!$H$2:$H$2000))</f>
        <v/>
      </c>
      <c r="H21" s="14">
        <f>SUM(B21:G21)</f>
        <v/>
      </c>
    </row>
    <row r="22">
      <c r="A22" s="9" t="inlineStr">
        <is>
          <t>Sensors</t>
        </is>
      </c>
      <c r="B22" s="13">
        <f>IF('Sites'!$A$2="","",COUNTIF('Sensors'!$B$2:$B$2000,B$4))</f>
        <v/>
      </c>
      <c r="C22" s="13">
        <f>IF('Sites'!$A$3="","",COUNTIF('Sensors'!$B$2:$B$2000,C$4))</f>
        <v/>
      </c>
      <c r="D22" s="13">
        <f>IF('Sites'!$A$4="","",COUNTIF('Sensors'!$B$2:$B$2000,D$4))</f>
        <v/>
      </c>
      <c r="E22" s="13">
        <f>IF('Sites'!$A$5="","",COUNTIF('Sensors'!$B$2:$B$2000,E$4))</f>
        <v/>
      </c>
      <c r="F22" s="13">
        <f>IF('Sites'!$A$6="","",COUNTIF('Sensors'!$B$2:$B$2000,F$4))</f>
        <v/>
      </c>
      <c r="G22" s="13">
        <f>IF('Sites'!$A$7="","",COUNTIF('Sensors'!$B$2:$B$2000,G$4))</f>
        <v/>
      </c>
      <c r="H22" s="14">
        <f>SUM(B22:G22)</f>
        <v/>
      </c>
    </row>
    <row r="23">
      <c r="A23" s="9" t="inlineStr">
        <is>
          <t>Collectors</t>
        </is>
      </c>
      <c r="B23" s="13">
        <f>IF('Sites'!$A$2="","",COUNTIF('Collectors'!$B$2:$B$2000,B$4))</f>
        <v/>
      </c>
      <c r="C23" s="13">
        <f>IF('Sites'!$A$3="","",COUNTIF('Collectors'!$B$2:$B$2000,C$4))</f>
        <v/>
      </c>
      <c r="D23" s="13">
        <f>IF('Sites'!$A$4="","",COUNTIF('Collectors'!$B$2:$B$2000,D$4))</f>
        <v/>
      </c>
      <c r="E23" s="13">
        <f>IF('Sites'!$A$5="","",COUNTIF('Collectors'!$B$2:$B$2000,E$4))</f>
        <v/>
      </c>
      <c r="F23" s="13">
        <f>IF('Sites'!$A$6="","",COUNTIF('Collectors'!$B$2:$B$2000,F$4))</f>
        <v/>
      </c>
      <c r="G23" s="13">
        <f>IF('Sites'!$A$7="","",COUNTIF('Collectors'!$B$2:$B$2000,G$4))</f>
        <v/>
      </c>
      <c r="H23" s="14">
        <f>SUM(B23:G23)</f>
        <v/>
      </c>
    </row>
    <row r="24">
      <c r="A24" s="9" t="inlineStr">
        <is>
          <t>Services</t>
        </is>
      </c>
      <c r="B24" s="13">
        <f>IF('Sites'!$A$2="","",COUNTIF('Services'!$D$2:$D$2000,B$4))</f>
        <v/>
      </c>
      <c r="C24" s="13">
        <f>IF('Sites'!$A$3="","",COUNTIF('Services'!$D$2:$D$2000,C$4))</f>
        <v/>
      </c>
      <c r="D24" s="13">
        <f>IF('Sites'!$A$4="","",COUNTIF('Services'!$D$2:$D$2000,D$4))</f>
        <v/>
      </c>
      <c r="E24" s="13">
        <f>IF('Sites'!$A$5="","",COUNTIF('Services'!$D$2:$D$2000,E$4))</f>
        <v/>
      </c>
      <c r="F24" s="13">
        <f>IF('Sites'!$A$6="","",COUNTIF('Services'!$D$2:$D$2000,F$4))</f>
        <v/>
      </c>
      <c r="G24" s="13">
        <f>IF('Sites'!$A$7="","",COUNTIF('Services'!$D$2:$D$2000,G$4))</f>
        <v/>
      </c>
      <c r="H24" s="14">
        <f>SUM(B24:G24)</f>
        <v/>
      </c>
    </row>
    <row r="25">
      <c r="A25" s="9" t="inlineStr">
        <is>
          <t>Services monthly revenue (₹)</t>
        </is>
      </c>
      <c r="B25" s="13">
        <f>IF('Sites'!$A$2="","",SUMIF('Services'!$D$2:$D$2000,B$4,'Services'!$M$2:$M$2000))</f>
        <v/>
      </c>
      <c r="C25" s="13">
        <f>IF('Sites'!$A$3="","",SUMIF('Services'!$D$2:$D$2000,C$4,'Services'!$M$2:$M$2000))</f>
        <v/>
      </c>
      <c r="D25" s="13">
        <f>IF('Sites'!$A$4="","",SUMIF('Services'!$D$2:$D$2000,D$4,'Services'!$M$2:$M$2000))</f>
        <v/>
      </c>
      <c r="E25" s="13">
        <f>IF('Sites'!$A$5="","",SUMIF('Services'!$D$2:$D$2000,E$4,'Services'!$M$2:$M$2000))</f>
        <v/>
      </c>
      <c r="F25" s="13">
        <f>IF('Sites'!$A$6="","",SUMIF('Services'!$D$2:$D$2000,F$4,'Services'!$M$2:$M$2000))</f>
        <v/>
      </c>
      <c r="G25" s="13">
        <f>IF('Sites'!$A$7="","",SUMIF('Services'!$D$2:$D$2000,G$4,'Services'!$M$2:$M$2000))</f>
        <v/>
      </c>
      <c r="H25" s="14">
        <f>SUM(B25:G25)</f>
        <v/>
      </c>
    </row>
    <row r="28">
      <c r="A28" s="4" t="inlineStr">
        <is>
          <t>Checks</t>
        </is>
      </c>
    </row>
    <row r="29">
      <c r="A29" s="5" t="inlineStr">
        <is>
          <t>Check</t>
        </is>
      </c>
      <c r="B29" s="5" t="inlineStr">
        <is>
          <t>Result</t>
        </is>
      </c>
      <c r="C29" s="5" t="inlineStr">
        <is>
          <t>Why it matters</t>
        </is>
      </c>
    </row>
    <row r="30">
      <c r="A30" s="9" t="inlineStr">
        <is>
          <t>Every device sits in a rack that exists</t>
        </is>
      </c>
      <c r="B30" s="15">
        <f>IF(SUMPRODUCT(--(COUNTIF('Racks'!$A$2:$A$2000,'Devices'!$L$2:$L$184)=0))=0,"OK","FIX: unknown rack_id")</f>
        <v/>
      </c>
      <c r="C30" s="9" t="inlineStr">
        <is>
          <t>The twin and rack views place devices by rack_id.</t>
        </is>
      </c>
    </row>
    <row r="31">
      <c r="A31" s="9" t="inlineStr">
        <is>
          <t>No rack is over-filled (used U ≤ height U)</t>
        </is>
      </c>
      <c r="B31" s="15">
        <f>IF(SUMPRODUCT(--('Racks'!$R$2:$R$33&gt;'Racks'!$H$2:$H$33))=0,"OK","FIX: rack over capacity")</f>
        <v/>
      </c>
      <c r="C31" s="9" t="inlineStr">
        <is>
          <t>used_u is calculated from Devices.</t>
        </is>
      </c>
    </row>
    <row r="32">
      <c r="A32" s="9" t="inlineStr">
        <is>
          <t>Device IDs are unique</t>
        </is>
      </c>
      <c r="B32" s="15">
        <f>IF(SUMPRODUCT(--(COUNTIF('Devices'!$A$2:$A$184,'Devices'!$A$2:$A$184)&gt;1))=0,"OK","FIX: duplicate device_id")</f>
        <v/>
      </c>
      <c r="C32" s="9" t="inlineStr">
        <is>
          <t>Alarms and incidents key on the device ID.</t>
        </is>
      </c>
    </row>
    <row r="33">
      <c r="A33" s="9" t="inlineStr">
        <is>
          <t>Operator serial numbers are unique</t>
        </is>
      </c>
      <c r="B33" s="15">
        <f>IF(SUMPRODUCT(('Devices'!$I$2:$I$184&lt;&gt;"")*(COUNTIF('Devices'!$I$2:$I$184,'Devices'!$I$2:$I$184)&gt;1))=0,"OK","FIX: duplicate serial")</f>
        <v/>
      </c>
      <c r="C33" s="9" t="inlineStr">
        <is>
          <t>Discovery matches the polled serial against this one.</t>
        </is>
      </c>
    </row>
    <row r="34">
      <c r="A34" s="9" t="inlineStr">
        <is>
          <t>Tenant racks name a tenant and contracted kW</t>
        </is>
      </c>
      <c r="B34" s="15">
        <f>IF(COUNTIFS('Racks'!$J$2:$J$33,"tenant",'Racks'!$K$2:$K$33,"")+COUNTIFS('Racks'!$J$2:$J$33,"tenant",'Racks'!$L$2:$L$33,"")=0,"OK","FIX: tenant rack missing data")</f>
        <v/>
      </c>
      <c r="C34" s="9" t="inlineStr">
        <is>
          <t>Colocation power-over-contract is measured against it.</t>
        </is>
      </c>
    </row>
    <row r="35">
      <c r="A35" s="9" t="inlineStr">
        <is>
          <t>Liquid racks name a CDU</t>
        </is>
      </c>
      <c r="B35" s="15">
        <f>IF(COUNTIFS('Racks'!$N$2:$N$33,"Y",'Racks'!$O$2:$O$33,"")=0,"OK","FIX: liquid rack without CDU")</f>
        <v/>
      </c>
      <c r="C35" s="9" t="inlineStr">
        <is>
          <t>A CDU fault is traced to the racks it feeds.</t>
        </is>
      </c>
    </row>
    <row r="36">
      <c r="A36" s="9" t="inlineStr">
        <is>
          <t>Rack budget fits site IT capacity</t>
        </is>
      </c>
      <c r="B36" s="15">
        <f>IF(SUMPRODUCT(--(B10:G10&gt;B11:G11))=0,"OK","CHECK: racks exceed IT capacity")</f>
        <v/>
      </c>
      <c r="C36" s="9" t="inlineStr">
        <is>
          <t>Power and space views compare the two.</t>
        </is>
      </c>
    </row>
    <row r="37">
      <c r="A37" s="9" t="inlineStr">
        <is>
          <t>GPU nodes = GPU devices in service</t>
        </is>
      </c>
      <c r="B37" s="15">
        <f>IF(COUNTA('GPU_Nodes'!$A$2:$A$2000)=COUNTIFS('Devices'!$D$2:$D$2000,"GPU",'Devices'!$R$2:$R$2000,"Y"),"OK","FIX: GPU_Nodes and Devices differ")</f>
        <v/>
      </c>
      <c r="C37" s="9" t="inlineStr">
        <is>
          <t>Each GPU node in service needs a rack position and a telemetry record; hosts not yet commissioned into a cluster have none.</t>
        </is>
      </c>
    </row>
    <row r="38">
      <c r="A38" s="9" t="inlineStr">
        <is>
          <t>Every installed device has a power connection</t>
        </is>
      </c>
      <c r="B38" s="15">
        <f>IF(SUMPRODUCT(('Devices'!$O$2:$O$184&lt;&gt;"Planned")*('Devices'!$A$2:$A$184&lt;&gt;"")*(COUNTIF('Power_Connections'!$A$2:$A$2000,'Devices'!$A$2:$A$184)=0))=0,"OK","FIX: device without a power cord")</f>
        <v/>
      </c>
      <c r="C38" s="9" t="inlineStr">
        <is>
          <t>Without it the power path, single-fed devices and UPS / PDU what-ifs cannot be traced.</t>
        </is>
      </c>
    </row>
    <row r="39">
      <c r="A39" s="9" t="inlineStr">
        <is>
          <t>Power cords point at a known PDU</t>
        </is>
      </c>
      <c r="B39" s="15">
        <f>IF(SUMPRODUCT(('Power_Connections'!$C$2:$C$2000&lt;&gt;"")*(COUNTIF('Rack_PDUs'!$A$2:$A$2000,'Power_Connections'!$C$2:$C$2000)=0))=0,"OK","FIX: unknown pdu_id")</f>
        <v/>
      </c>
      <c r="C39" s="9" t="inlineStr">
        <is>
          <t>The outlet map and failover check group cords by PDU.</t>
        </is>
      </c>
    </row>
    <row r="40">
      <c r="A40" s="9" t="inlineStr">
        <is>
          <t>Every rack has an A and a B PDU</t>
        </is>
      </c>
      <c r="B40" s="15">
        <f>IF(SUMPRODUCT(('Racks'!$A$2:$A$33&lt;&gt;"")*((COUNTIFS('Rack_PDUs'!$C$2:$C$2000,'Racks'!$A$2:$A$33,'Rack_PDUs'!$D$2:$D$2000,"A")=0)+(COUNTIFS('Rack_PDUs'!$C$2:$C$2000,'Racks'!$A$2:$A$33,'Rack_PDUs'!$D$2:$D$2000,"B")=0)))=0,"OK","CHECK: rack with one power side")</f>
        <v/>
      </c>
      <c r="C40" s="9" t="inlineStr">
        <is>
          <t>A cabinet with one side is a single point of failure for everything in it.</t>
        </is>
      </c>
    </row>
    <row r="41">
      <c r="A41" s="9" t="inlineStr">
        <is>
          <t>Cable paths name a known link</t>
        </is>
      </c>
      <c r="B41" s="15">
        <f>IF(SUMPRODUCT(('Cable_Paths'!$A$2:$A$2000&lt;&gt;"")*(COUNTIF('Links'!$A$2:$A$2000,'Cable_Paths'!$A$2:$A$2000)=0))=0,"OK","FIX: unknown link_id")</f>
        <v/>
      </c>
      <c r="C41" s="9" t="inlineStr">
        <is>
          <t>Each cable path belongs to one link end.</t>
        </is>
      </c>
    </row>
    <row r="42">
      <c r="A42" s="9" t="inlineStr">
        <is>
          <t>Every operator device has warranty / support data</t>
        </is>
      </c>
      <c r="B42" s="15">
        <f>IF(SUMPRODUCT(('Devices'!$P$2:$P$184="operator")*('Devices'!$O$2:$O$184&lt;&gt;"Planned")*(COUNTIF('Asset_Lifecycle'!$A$2:$A$2000,'Devices'!$A$2:$A$184)=0))=0,"OK","CHECK: device without lifecycle row")</f>
        <v/>
      </c>
      <c r="C42" s="9" t="inlineStr">
        <is>
          <t>Warranty, contract and end-of-support flags need it.</t>
        </is>
      </c>
    </row>
    <row r="43">
      <c r="A43" s="9" t="inlineStr">
        <is>
          <t>Every room has a fire system</t>
        </is>
      </c>
      <c r="B43" s="15">
        <f>IF(SUMPRODUCT(('Rooms'!$C$2:$C$9&lt;&gt;"")*(COUNTIF('Fire_Systems'!$C$2:$C$2000,'Rooms'!$C$2:$C$9)=0))=0,"OK","CHECK: room without fire protection")</f>
        <v/>
      </c>
      <c r="C43" s="9" t="inlineStr">
        <is>
          <t>Fire detection / suppression and its inspection plan are tracked per room.</t>
        </is>
      </c>
    </row>
    <row r="44">
      <c r="A44" s="9" t="inlineStr">
        <is>
          <t>Customer revenue = sum of services</t>
        </is>
      </c>
      <c r="B44" s="15">
        <f>IF(ROUND(SUM('Customers'!$I$2:$I$2000)-SUM('Services'!$M$2:$M$2000),0)=0,"OK","FIX: a service names an unknown customer")</f>
        <v/>
      </c>
      <c r="C44" s="9" t="inlineStr">
        <is>
          <t>Revenue impact adds up only if every service has a customer.</t>
        </is>
      </c>
    </row>
  </sheetData>
  <pageMargins left="0.75" right="0.75" top="1" bottom="1" header="0.5" footer="0.5"/>
</worksheet>
</file>

<file path=xl/worksheets/sheet3.xml><?xml version="1.0" encoding="utf-8"?>
<worksheet xmlns="http://schemas.openxmlformats.org/spreadsheetml/2006/main">
  <sheetPr>
    <tabColor rgb="002E6BD9"/>
    <outlinePr summaryBelow="1" summaryRight="1"/>
    <pageSetUpPr/>
  </sheetPr>
  <dimension ref="A1:S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3" customWidth="1" min="3" max="3"/>
    <col width="19" customWidth="1" min="4" max="4"/>
    <col width="13" customWidth="1" min="5" max="5"/>
    <col width="10" customWidth="1" min="6" max="6"/>
    <col width="13" customWidth="1" min="7" max="7"/>
    <col width="11" customWidth="1" min="8" max="8"/>
    <col width="13" customWidth="1" min="9" max="9"/>
    <col width="10" customWidth="1" min="10" max="10"/>
    <col width="16" customWidth="1" min="11" max="11"/>
    <col width="13" customWidth="1" min="12" max="12"/>
    <col width="14" customWidth="1" min="13" max="13"/>
    <col width="20" customWidth="1" min="14" max="14"/>
    <col width="19" customWidth="1" min="15" max="15"/>
    <col width="15" customWidth="1" min="16" max="16"/>
    <col width="24" customWidth="1" min="17" max="17"/>
    <col width="23" customWidth="1" min="18" max="18"/>
    <col width="14" customWidth="1" min="19" max="19"/>
  </cols>
  <sheetData>
    <row r="1" ht="30" customHeight="1">
      <c r="A1" s="16" t="inlineStr">
        <is>
          <t>site_id *</t>
        </is>
      </c>
      <c r="B1" s="16" t="inlineStr">
        <is>
          <t>site_name *</t>
        </is>
      </c>
      <c r="C1" s="17" t="inlineStr">
        <is>
          <t>operator</t>
        </is>
      </c>
      <c r="D1" s="16" t="inlineStr">
        <is>
          <t>business_model *</t>
        </is>
      </c>
      <c r="E1" s="16" t="inlineStr">
        <is>
          <t>status *</t>
        </is>
      </c>
      <c r="F1" s="16" t="inlineStr">
        <is>
          <t>tier *</t>
        </is>
      </c>
      <c r="G1" s="16" t="inlineStr">
        <is>
          <t>category *</t>
        </is>
      </c>
      <c r="H1" s="16" t="inlineStr">
        <is>
          <t>region *</t>
        </is>
      </c>
      <c r="I1" s="16" t="inlineStr">
        <is>
          <t>state *</t>
        </is>
      </c>
      <c r="J1" s="16" t="inlineStr">
        <is>
          <t>city *</t>
        </is>
      </c>
      <c r="K1" s="16" t="inlineStr">
        <is>
          <t>address *</t>
        </is>
      </c>
      <c r="L1" s="16" t="inlineStr">
        <is>
          <t>latitude *</t>
        </is>
      </c>
      <c r="M1" s="16" t="inlineStr">
        <is>
          <t>longitude *</t>
        </is>
      </c>
      <c r="N1" s="17" t="inlineStr">
        <is>
          <t>commissioned_on</t>
        </is>
      </c>
      <c r="O1" s="16" t="inlineStr">
        <is>
          <t>it_capacity_kw *</t>
        </is>
      </c>
      <c r="P1" s="17" t="inlineStr">
        <is>
          <t>design_pue</t>
        </is>
      </c>
      <c r="Q1" s="16" t="inlineStr">
        <is>
          <t>cooling_capacity_kw *</t>
        </is>
      </c>
      <c r="R1" s="16" t="inlineStr">
        <is>
          <t>cooling_redundancy *</t>
        </is>
      </c>
      <c r="S1" s="17" t="inlineStr">
        <is>
          <t>timezone</t>
        </is>
      </c>
    </row>
    <row r="2">
      <c r="A2" t="inlineStr">
        <is>
          <t>MH-DC-001</t>
        </is>
      </c>
      <c r="B2" t="inlineStr">
        <is>
          <t>MH-DC-001</t>
        </is>
      </c>
      <c r="D2" t="inlineStr">
        <is>
          <t>colocation</t>
        </is>
      </c>
      <c r="E2" t="inlineStr">
        <is>
          <t>in-progress</t>
        </is>
      </c>
      <c r="F2" t="inlineStr">
        <is>
          <t>Tier III</t>
        </is>
      </c>
      <c r="G2" t="inlineStr">
        <is>
          <t>Central</t>
        </is>
      </c>
      <c r="H2" t="inlineStr">
        <is>
          <t>West</t>
        </is>
      </c>
      <c r="I2" t="inlineStr">
        <is>
          <t>Maharashtra</t>
        </is>
      </c>
      <c r="J2" t="inlineStr">
        <is>
          <t>Pune</t>
        </is>
      </c>
      <c r="K2" t="inlineStr">
        <is>
          <t>Pune Data Park</t>
        </is>
      </c>
      <c r="L2" t="n">
        <v>18.593</v>
      </c>
      <c r="M2" t="n">
        <v>73.789</v>
      </c>
      <c r="N2" s="18" t="n"/>
      <c r="O2" t="n">
        <v>390</v>
      </c>
      <c r="P2" t="n">
        <v>1.52</v>
      </c>
      <c r="Q2" t="n">
        <v>240</v>
      </c>
      <c r="R2" t="inlineStr">
        <is>
          <t>N+1</t>
        </is>
      </c>
      <c r="S2" t="inlineStr">
        <is>
          <t>Asia/Kolkata</t>
        </is>
      </c>
    </row>
    <row r="3">
      <c r="A3" t="inlineStr">
        <is>
          <t>MH-DC-002</t>
        </is>
      </c>
      <c r="B3" t="inlineStr">
        <is>
          <t>MH-DC-002</t>
        </is>
      </c>
      <c r="D3" t="inlineStr">
        <is>
          <t>colocation</t>
        </is>
      </c>
      <c r="E3" t="inlineStr">
        <is>
          <t>on-air</t>
        </is>
      </c>
      <c r="F3" t="inlineStr">
        <is>
          <t>Tier III</t>
        </is>
      </c>
      <c r="G3" t="inlineStr">
        <is>
          <t>Central</t>
        </is>
      </c>
      <c r="H3" t="inlineStr">
        <is>
          <t>West</t>
        </is>
      </c>
      <c r="I3" t="inlineStr">
        <is>
          <t>Maharashtra</t>
        </is>
      </c>
      <c r="J3" t="inlineStr">
        <is>
          <t>Pune</t>
        </is>
      </c>
      <c r="K3" t="inlineStr">
        <is>
          <t>Pune Data Park</t>
        </is>
      </c>
      <c r="L3" t="n">
        <v>18.601</v>
      </c>
      <c r="M3" t="n">
        <v>73.762</v>
      </c>
      <c r="N3" s="18" t="n">
        <v>45000</v>
      </c>
      <c r="O3" t="n">
        <v>330</v>
      </c>
      <c r="P3" t="n">
        <v>1.59</v>
      </c>
      <c r="Q3" t="n">
        <v>190</v>
      </c>
      <c r="R3" t="inlineStr">
        <is>
          <t>N+1</t>
        </is>
      </c>
      <c r="S3" t="inlineStr">
        <is>
          <t>Asia/Kolkata</t>
        </is>
      </c>
    </row>
  </sheetData>
  <autoFilter ref="A1:S3"/>
  <dataValidations count="5">
    <dataValidation sqref="D2:D2000" showDropDown="0" showInputMessage="0" showErrorMessage="1" allowBlank="1" errorTitle="Not an allowed value" error="Pick a value from the list (Lookups → business_model)." type="list">
      <formula1>=L_business_model</formula1>
    </dataValidation>
    <dataValidation sqref="E2:E2000" showDropDown="0" showInputMessage="0" showErrorMessage="1" allowBlank="1" errorTitle="Not an allowed value" error="Pick a value from the list (Lookups → site_status)." type="list">
      <formula1>=L_site_status</formula1>
    </dataValidation>
    <dataValidation sqref="F2:F2000" showDropDown="0" showInputMessage="0" showErrorMessage="1" allowBlank="1" errorTitle="Not an allowed value" error="Pick a value from the list (Lookups → tier)." type="list">
      <formula1>=L_tier</formula1>
    </dataValidation>
    <dataValidation sqref="G2:G2000" showDropDown="0" showInputMessage="0" showErrorMessage="1" allowBlank="1" errorTitle="Not an allowed value" error="Pick a value from the list (Lookups → site_category)." type="list">
      <formula1>=L_site_category</formula1>
    </dataValidation>
    <dataValidation sqref="R2:R2000" showDropDown="0" showInputMessage="0" showErrorMessage="1" allowBlank="1" errorTitle="Not an allowed value" error="Pick a value from the list (Lookups → redundancy)." type="list">
      <formula1>=L_redundancy</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2E6BD9"/>
    <outlinePr summaryBelow="1" summaryRight="1"/>
    <pageSetUpPr/>
  </sheetPr>
  <dimension ref="A1:D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5" customWidth="1" min="3" max="3"/>
    <col width="10" customWidth="1" min="4" max="4"/>
  </cols>
  <sheetData>
    <row r="1" ht="30" customHeight="1">
      <c r="A1" s="16" t="inlineStr">
        <is>
          <t>site_id *</t>
        </is>
      </c>
      <c r="B1" s="16" t="inlineStr">
        <is>
          <t>floor_id *</t>
        </is>
      </c>
      <c r="C1" s="16" t="inlineStr">
        <is>
          <t>floor_name *</t>
        </is>
      </c>
      <c r="D1" s="16" t="inlineStr">
        <is>
          <t>level *</t>
        </is>
      </c>
    </row>
    <row r="2">
      <c r="A2" t="inlineStr">
        <is>
          <t>MH-DC-001</t>
        </is>
      </c>
      <c r="B2" t="inlineStr">
        <is>
          <t>MH-DC-001-F0</t>
        </is>
      </c>
      <c r="C2" t="inlineStr">
        <is>
          <t>Ground</t>
        </is>
      </c>
      <c r="D2" t="n">
        <v>0</v>
      </c>
    </row>
    <row r="3">
      <c r="A3" t="inlineStr">
        <is>
          <t>MH-DC-001</t>
        </is>
      </c>
      <c r="B3" t="inlineStr">
        <is>
          <t>MH-DC-001-F1</t>
        </is>
      </c>
      <c r="C3" t="inlineStr">
        <is>
          <t>1st floor</t>
        </is>
      </c>
      <c r="D3" t="n">
        <v>1</v>
      </c>
    </row>
    <row r="4">
      <c r="A4" t="inlineStr">
        <is>
          <t>MH-DC-002</t>
        </is>
      </c>
      <c r="B4" t="inlineStr">
        <is>
          <t>MH-DC-002-F0</t>
        </is>
      </c>
      <c r="C4" t="inlineStr">
        <is>
          <t>Ground</t>
        </is>
      </c>
      <c r="D4" t="n">
        <v>0</v>
      </c>
    </row>
    <row r="5">
      <c r="A5" t="inlineStr">
        <is>
          <t>MH-DC-002</t>
        </is>
      </c>
      <c r="B5" t="inlineStr">
        <is>
          <t>MH-DC-002-F1</t>
        </is>
      </c>
      <c r="C5" t="inlineStr">
        <is>
          <t>1st floor</t>
        </is>
      </c>
      <c r="D5" t="n">
        <v>1</v>
      </c>
    </row>
  </sheetData>
  <autoFilter ref="A1:D5"/>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2E6BD9"/>
    <outlinePr summaryBelow="1" summaryRight="1"/>
    <pageSetUpPr/>
  </sheetPr>
  <dimension ref="A1:I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7" customWidth="1" min="3" max="3"/>
    <col width="14" customWidth="1" min="4" max="4"/>
    <col width="14" customWidth="1" min="5" max="5"/>
    <col width="13" customWidth="1" min="6" max="6"/>
    <col width="14" customWidth="1" min="7" max="7"/>
    <col width="16" customWidth="1" min="8" max="8"/>
    <col width="19" customWidth="1" min="9" max="9"/>
  </cols>
  <sheetData>
    <row r="1" ht="30" customHeight="1">
      <c r="A1" s="16" t="inlineStr">
        <is>
          <t>site_id *</t>
        </is>
      </c>
      <c r="B1" s="16" t="inlineStr">
        <is>
          <t>floor_id *</t>
        </is>
      </c>
      <c r="C1" s="16" t="inlineStr">
        <is>
          <t>room_id *</t>
        </is>
      </c>
      <c r="D1" s="16" t="inlineStr">
        <is>
          <t>room_name *</t>
        </is>
      </c>
      <c r="E1" s="16" t="inlineStr">
        <is>
          <t>room_type *</t>
        </is>
      </c>
      <c r="F1" s="17" t="inlineStr">
        <is>
          <t>area_sqm</t>
        </is>
      </c>
      <c r="G1" s="17" t="inlineStr">
        <is>
          <t>rack_rows</t>
        </is>
      </c>
      <c r="H1" s="17" t="inlineStr">
        <is>
          <t>containment</t>
        </is>
      </c>
      <c r="I1" s="17" t="inlineStr">
        <is>
          <t>cooling_method</t>
        </is>
      </c>
    </row>
    <row r="2">
      <c r="A2" t="inlineStr">
        <is>
          <t>MH-DC-001</t>
        </is>
      </c>
      <c r="B2" t="inlineStr">
        <is>
          <t>MH-DC-001-F0</t>
        </is>
      </c>
      <c r="C2" t="inlineStr">
        <is>
          <t>MH-DC-001-F0-R1</t>
        </is>
      </c>
      <c r="D2" t="inlineStr">
        <is>
          <t>Meet-me room</t>
        </is>
      </c>
      <c r="E2" t="inlineStr">
        <is>
          <t>Meet-me room</t>
        </is>
      </c>
      <c r="G2" t="n">
        <v>1</v>
      </c>
      <c r="I2" t="inlineStr">
        <is>
          <t>Air</t>
        </is>
      </c>
    </row>
    <row r="3">
      <c r="A3" t="inlineStr">
        <is>
          <t>MH-DC-001</t>
        </is>
      </c>
      <c r="B3" t="inlineStr">
        <is>
          <t>MH-DC-001-F0</t>
        </is>
      </c>
      <c r="C3" t="inlineStr">
        <is>
          <t>MH-DC-001-F0-R2</t>
        </is>
      </c>
      <c r="D3" t="inlineStr">
        <is>
          <t>Hall A</t>
        </is>
      </c>
      <c r="E3" t="inlineStr">
        <is>
          <t>Data hall</t>
        </is>
      </c>
      <c r="G3" t="n">
        <v>1</v>
      </c>
      <c r="I3" t="inlineStr">
        <is>
          <t>Air</t>
        </is>
      </c>
    </row>
    <row r="4">
      <c r="A4" t="inlineStr">
        <is>
          <t>MH-DC-001</t>
        </is>
      </c>
      <c r="B4" t="inlineStr">
        <is>
          <t>MH-DC-001-F1</t>
        </is>
      </c>
      <c r="C4" t="inlineStr">
        <is>
          <t>MH-DC-001-F1-R1</t>
        </is>
      </c>
      <c r="D4" t="inlineStr">
        <is>
          <t>Hall B</t>
        </is>
      </c>
      <c r="E4" t="inlineStr">
        <is>
          <t>Data hall</t>
        </is>
      </c>
      <c r="G4" t="n">
        <v>1</v>
      </c>
      <c r="I4" t="inlineStr">
        <is>
          <t>Air</t>
        </is>
      </c>
    </row>
    <row r="5">
      <c r="A5" t="inlineStr">
        <is>
          <t>MH-DC-001</t>
        </is>
      </c>
      <c r="B5" t="inlineStr">
        <is>
          <t>MH-DC-001-F1</t>
        </is>
      </c>
      <c r="C5" t="inlineStr">
        <is>
          <t>MH-DC-001-F1-R2</t>
        </is>
      </c>
      <c r="D5" t="inlineStr">
        <is>
          <t>Hall C</t>
        </is>
      </c>
      <c r="E5" t="inlineStr">
        <is>
          <t>Data hall</t>
        </is>
      </c>
      <c r="G5" t="n">
        <v>1</v>
      </c>
      <c r="I5" t="inlineStr">
        <is>
          <t>Air</t>
        </is>
      </c>
    </row>
    <row r="6">
      <c r="A6" t="inlineStr">
        <is>
          <t>MH-DC-002</t>
        </is>
      </c>
      <c r="B6" t="inlineStr">
        <is>
          <t>MH-DC-002-F0</t>
        </is>
      </c>
      <c r="C6" t="inlineStr">
        <is>
          <t>MH-DC-002-F0-R1</t>
        </is>
      </c>
      <c r="D6" t="inlineStr">
        <is>
          <t>Meet-me room</t>
        </is>
      </c>
      <c r="E6" t="inlineStr">
        <is>
          <t>Meet-me room</t>
        </is>
      </c>
      <c r="G6" t="n">
        <v>1</v>
      </c>
      <c r="I6" t="inlineStr">
        <is>
          <t>Hybrid</t>
        </is>
      </c>
    </row>
    <row r="7">
      <c r="A7" t="inlineStr">
        <is>
          <t>MH-DC-002</t>
        </is>
      </c>
      <c r="B7" t="inlineStr">
        <is>
          <t>MH-DC-002-F0</t>
        </is>
      </c>
      <c r="C7" t="inlineStr">
        <is>
          <t>MH-DC-002-F0-R2</t>
        </is>
      </c>
      <c r="D7" t="inlineStr">
        <is>
          <t>Hall A</t>
        </is>
      </c>
      <c r="E7" t="inlineStr">
        <is>
          <t>Data hall</t>
        </is>
      </c>
      <c r="G7" t="n">
        <v>1</v>
      </c>
      <c r="I7" t="inlineStr">
        <is>
          <t>Air</t>
        </is>
      </c>
    </row>
    <row r="8">
      <c r="A8" t="inlineStr">
        <is>
          <t>MH-DC-002</t>
        </is>
      </c>
      <c r="B8" t="inlineStr">
        <is>
          <t>MH-DC-002-F1</t>
        </is>
      </c>
      <c r="C8" t="inlineStr">
        <is>
          <t>MH-DC-002-F1-R1</t>
        </is>
      </c>
      <c r="D8" t="inlineStr">
        <is>
          <t>Hall B</t>
        </is>
      </c>
      <c r="E8" t="inlineStr">
        <is>
          <t>Data hall</t>
        </is>
      </c>
      <c r="G8" t="n">
        <v>1</v>
      </c>
      <c r="I8" t="inlineStr">
        <is>
          <t>Hybrid</t>
        </is>
      </c>
    </row>
    <row r="9">
      <c r="A9" t="inlineStr">
        <is>
          <t>MH-DC-002</t>
        </is>
      </c>
      <c r="B9" t="inlineStr">
        <is>
          <t>MH-DC-002-F1</t>
        </is>
      </c>
      <c r="C9" t="inlineStr">
        <is>
          <t>MH-DC-002-F1-R2</t>
        </is>
      </c>
      <c r="D9" t="inlineStr">
        <is>
          <t>Hall C</t>
        </is>
      </c>
      <c r="E9" t="inlineStr">
        <is>
          <t>Data hall</t>
        </is>
      </c>
      <c r="G9" t="n">
        <v>1</v>
      </c>
      <c r="I9" t="inlineStr">
        <is>
          <t>Air</t>
        </is>
      </c>
    </row>
  </sheetData>
  <autoFilter ref="A1:I9"/>
  <dataValidations count="3">
    <dataValidation sqref="E2:E2000" showDropDown="0" showInputMessage="0" showErrorMessage="1" allowBlank="1" errorTitle="Not an allowed value" error="Pick a value from the list (Lookups → room_type)." type="list">
      <formula1>=L_room_type</formula1>
    </dataValidation>
    <dataValidation sqref="H2:H2000" showDropDown="0" showInputMessage="0" showErrorMessage="1" allowBlank="1" errorTitle="Not an allowed value" error="Pick a value from the list (Lookups → containment)." type="list">
      <formula1>=L_containment</formula1>
    </dataValidation>
    <dataValidation sqref="I2:I2000" showDropDown="0" showInputMessage="0" showErrorMessage="1" allowBlank="1" errorTitle="Not an allowed value" error="Pick a value from the list (Lookups → cooling_method)." type="list">
      <formula1>=L_cooling_method</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2E6BD9"/>
    <outlinePr summaryBelow="1" summaryRight="1"/>
    <pageSetUpPr/>
  </sheetPr>
  <dimension ref="A1:R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2" customWidth="1" min="2" max="2"/>
    <col width="17" customWidth="1" min="3" max="3"/>
    <col width="14" customWidth="1" min="4" max="4"/>
    <col width="10" customWidth="1" min="5" max="5"/>
    <col width="13" customWidth="1" min="6" max="6"/>
    <col width="18" customWidth="1" min="7" max="7"/>
    <col width="13" customWidth="1" min="8" max="8"/>
    <col width="20" customWidth="1" min="9" max="9"/>
    <col width="10" customWidth="1" min="10" max="10"/>
    <col width="23" customWidth="1" min="11" max="11"/>
    <col width="18" customWidth="1" min="12" max="12"/>
    <col width="12" customWidth="1" min="13" max="13"/>
    <col width="18" customWidth="1" min="14" max="14"/>
    <col width="17" customWidth="1" min="15" max="15"/>
    <col width="16" customWidth="1" min="16" max="16"/>
    <col width="16" customWidth="1" min="17" max="17"/>
    <col width="18" customWidth="1" min="18" max="18"/>
  </cols>
  <sheetData>
    <row r="1" ht="30" customHeight="1">
      <c r="A1" s="16" t="inlineStr">
        <is>
          <t>rack_id *</t>
        </is>
      </c>
      <c r="B1" s="16" t="inlineStr">
        <is>
          <t>site_id *</t>
        </is>
      </c>
      <c r="C1" s="16" t="inlineStr">
        <is>
          <t>room_id *</t>
        </is>
      </c>
      <c r="D1" s="16" t="inlineStr">
        <is>
          <t>rack_name *</t>
        </is>
      </c>
      <c r="E1" s="17" t="inlineStr">
        <is>
          <t>row</t>
        </is>
      </c>
      <c r="F1" s="17" t="inlineStr">
        <is>
          <t>position</t>
        </is>
      </c>
      <c r="G1" s="16" t="inlineStr">
        <is>
          <t>role *</t>
        </is>
      </c>
      <c r="H1" s="16" t="inlineStr">
        <is>
          <t>height_u *</t>
        </is>
      </c>
      <c r="I1" s="16" t="inlineStr">
        <is>
          <t>power_budget_kw *</t>
        </is>
      </c>
      <c r="J1" s="16" t="inlineStr">
        <is>
          <t>owner *</t>
        </is>
      </c>
      <c r="K1" s="19" t="inlineStr">
        <is>
          <t>tenant_customer_id</t>
        </is>
      </c>
      <c r="L1" s="19" t="inlineStr">
        <is>
          <t>contracted_kw</t>
        </is>
      </c>
      <c r="M1" s="17" t="inlineStr">
        <is>
          <t>density</t>
        </is>
      </c>
      <c r="N1" s="17" t="inlineStr">
        <is>
          <t>liquid_cooled</t>
        </is>
      </c>
      <c r="O1" s="19" t="inlineStr">
        <is>
          <t>cdu_id</t>
        </is>
      </c>
      <c r="P1" s="17" t="inlineStr">
        <is>
          <t>pdu_feed_a</t>
        </is>
      </c>
      <c r="Q1" s="17" t="inlineStr">
        <is>
          <t>pdu_feed_b</t>
        </is>
      </c>
      <c r="R1" s="20" t="inlineStr">
        <is>
          <t>used_u (calc)</t>
        </is>
      </c>
    </row>
    <row r="2">
      <c r="A2" t="inlineStr">
        <is>
          <t>MH-DC-001-RACK-A</t>
        </is>
      </c>
      <c r="B2" t="inlineStr">
        <is>
          <t>MH-DC-001</t>
        </is>
      </c>
      <c r="C2" t="inlineStr">
        <is>
          <t>MH-DC-001-F0-R1</t>
        </is>
      </c>
      <c r="D2" t="inlineStr">
        <is>
          <t>RACK-A</t>
        </is>
      </c>
      <c r="G2" t="inlineStr">
        <is>
          <t>Core</t>
        </is>
      </c>
      <c r="H2" t="n">
        <v>45</v>
      </c>
      <c r="I2" t="n">
        <v>15</v>
      </c>
      <c r="J2" t="inlineStr">
        <is>
          <t>operator</t>
        </is>
      </c>
      <c r="M2" t="inlineStr">
        <is>
          <t>standard</t>
        </is>
      </c>
      <c r="N2" t="inlineStr">
        <is>
          <t>N</t>
        </is>
      </c>
      <c r="P2" t="inlineStr">
        <is>
          <t>MH-DC-001-AC-1</t>
        </is>
      </c>
      <c r="Q2" t="inlineStr">
        <is>
          <t>MH-DC-001-AC-2</t>
        </is>
      </c>
      <c r="R2" s="21">
        <f>SUMIF('Devices'!$L$2:$L$2000,A2,'Devices'!$N$2:$N$2000)</f>
        <v/>
      </c>
    </row>
    <row r="3">
      <c r="A3" t="inlineStr">
        <is>
          <t>MH-DC-001-RACK-B</t>
        </is>
      </c>
      <c r="B3" t="inlineStr">
        <is>
          <t>MH-DC-001</t>
        </is>
      </c>
      <c r="C3" t="inlineStr">
        <is>
          <t>MH-DC-001-F0-R1</t>
        </is>
      </c>
      <c r="D3" t="inlineStr">
        <is>
          <t>RACK-B</t>
        </is>
      </c>
      <c r="G3" t="inlineStr">
        <is>
          <t>Meet-me room</t>
        </is>
      </c>
      <c r="H3" t="n">
        <v>42</v>
      </c>
      <c r="I3" t="n">
        <v>16</v>
      </c>
      <c r="J3" t="inlineStr">
        <is>
          <t>operator</t>
        </is>
      </c>
      <c r="M3" t="inlineStr">
        <is>
          <t>standard</t>
        </is>
      </c>
      <c r="N3" t="inlineStr">
        <is>
          <t>N</t>
        </is>
      </c>
      <c r="P3" t="inlineStr">
        <is>
          <t>MH-DC-001-AC-1</t>
        </is>
      </c>
      <c r="Q3" t="inlineStr">
        <is>
          <t>MH-DC-001-AC-2</t>
        </is>
      </c>
      <c r="R3" s="21">
        <f>SUMIF('Devices'!$L$2:$L$2000,A3,'Devices'!$N$2:$N$2000)</f>
        <v/>
      </c>
    </row>
    <row r="4">
      <c r="A4" t="inlineStr">
        <is>
          <t>MH-DC-001-RACK-C</t>
        </is>
      </c>
      <c r="B4" t="inlineStr">
        <is>
          <t>MH-DC-001</t>
        </is>
      </c>
      <c r="C4" t="inlineStr">
        <is>
          <t>MH-DC-001-F0-R1</t>
        </is>
      </c>
      <c r="D4" t="inlineStr">
        <is>
          <t>RACK-C</t>
        </is>
      </c>
      <c r="G4" t="inlineStr">
        <is>
          <t>Tenant cabinet</t>
        </is>
      </c>
      <c r="H4" t="n">
        <v>45</v>
      </c>
      <c r="I4" t="n">
        <v>19</v>
      </c>
      <c r="J4" t="inlineStr">
        <is>
          <t>tenant</t>
        </is>
      </c>
      <c r="K4" t="inlineStr">
        <is>
          <t>CUST-7349</t>
        </is>
      </c>
      <c r="L4" t="n">
        <v>19</v>
      </c>
      <c r="M4" t="inlineStr">
        <is>
          <t>standard</t>
        </is>
      </c>
      <c r="N4" t="inlineStr">
        <is>
          <t>N</t>
        </is>
      </c>
      <c r="P4" t="inlineStr">
        <is>
          <t>MH-DC-001-AC-1</t>
        </is>
      </c>
      <c r="Q4" t="inlineStr">
        <is>
          <t>MH-DC-001-AC-2</t>
        </is>
      </c>
      <c r="R4" s="21">
        <f>SUMIF('Devices'!$L$2:$L$2000,A4,'Devices'!$N$2:$N$2000)</f>
        <v/>
      </c>
    </row>
    <row r="5">
      <c r="A5" t="inlineStr">
        <is>
          <t>MH-DC-001-RACK-D</t>
        </is>
      </c>
      <c r="B5" t="inlineStr">
        <is>
          <t>MH-DC-001</t>
        </is>
      </c>
      <c r="C5" t="inlineStr">
        <is>
          <t>MH-DC-001-F0-R1</t>
        </is>
      </c>
      <c r="D5" t="inlineStr">
        <is>
          <t>RACK-D</t>
        </is>
      </c>
      <c r="G5" t="inlineStr">
        <is>
          <t>Tenant cabinet</t>
        </is>
      </c>
      <c r="H5" t="n">
        <v>45</v>
      </c>
      <c r="I5" t="n">
        <v>15</v>
      </c>
      <c r="J5" t="inlineStr">
        <is>
          <t>tenant</t>
        </is>
      </c>
      <c r="K5" t="inlineStr">
        <is>
          <t>CUST-2954</t>
        </is>
      </c>
      <c r="L5" t="n">
        <v>15</v>
      </c>
      <c r="M5" t="inlineStr">
        <is>
          <t>standard</t>
        </is>
      </c>
      <c r="N5" t="inlineStr">
        <is>
          <t>N</t>
        </is>
      </c>
      <c r="P5" t="inlineStr">
        <is>
          <t>MH-DC-001-AC-1</t>
        </is>
      </c>
      <c r="Q5" t="inlineStr">
        <is>
          <t>MH-DC-001-AC-2</t>
        </is>
      </c>
      <c r="R5" s="21">
        <f>SUMIF('Devices'!$L$2:$L$2000,A5,'Devices'!$N$2:$N$2000)</f>
        <v/>
      </c>
    </row>
    <row r="6">
      <c r="A6" t="inlineStr">
        <is>
          <t>MH-DC-001-RACK-E</t>
        </is>
      </c>
      <c r="B6" t="inlineStr">
        <is>
          <t>MH-DC-001</t>
        </is>
      </c>
      <c r="C6" t="inlineStr">
        <is>
          <t>MH-DC-001-F0-R1</t>
        </is>
      </c>
      <c r="D6" t="inlineStr">
        <is>
          <t>RACK-E</t>
        </is>
      </c>
      <c r="G6" t="inlineStr">
        <is>
          <t>Tenant cabinet</t>
        </is>
      </c>
      <c r="H6" t="n">
        <v>42</v>
      </c>
      <c r="I6" t="n">
        <v>19</v>
      </c>
      <c r="J6" t="inlineStr">
        <is>
          <t>tenant</t>
        </is>
      </c>
      <c r="K6" t="inlineStr">
        <is>
          <t>CUST-2954</t>
        </is>
      </c>
      <c r="L6" t="n">
        <v>19</v>
      </c>
      <c r="M6" t="inlineStr">
        <is>
          <t>standard</t>
        </is>
      </c>
      <c r="N6" t="inlineStr">
        <is>
          <t>N</t>
        </is>
      </c>
      <c r="P6" t="inlineStr">
        <is>
          <t>MH-DC-001-AC-1</t>
        </is>
      </c>
      <c r="Q6" t="inlineStr">
        <is>
          <t>MH-DC-001-AC-2</t>
        </is>
      </c>
      <c r="R6" s="21">
        <f>SUMIF('Devices'!$L$2:$L$2000,A6,'Devices'!$N$2:$N$2000)</f>
        <v/>
      </c>
    </row>
    <row r="7">
      <c r="A7" t="inlineStr">
        <is>
          <t>MH-DC-001-RACK-F</t>
        </is>
      </c>
      <c r="B7" t="inlineStr">
        <is>
          <t>MH-DC-001</t>
        </is>
      </c>
      <c r="C7" t="inlineStr">
        <is>
          <t>MH-DC-001-F0-R2</t>
        </is>
      </c>
      <c r="D7" t="inlineStr">
        <is>
          <t>RACK-F</t>
        </is>
      </c>
      <c r="G7" t="inlineStr">
        <is>
          <t>Tenant cabinet</t>
        </is>
      </c>
      <c r="H7" t="n">
        <v>45</v>
      </c>
      <c r="I7" t="n">
        <v>20</v>
      </c>
      <c r="J7" t="inlineStr">
        <is>
          <t>tenant</t>
        </is>
      </c>
      <c r="K7" t="inlineStr">
        <is>
          <t>CUST-9111</t>
        </is>
      </c>
      <c r="L7" t="n">
        <v>20</v>
      </c>
      <c r="M7" t="inlineStr">
        <is>
          <t>standard</t>
        </is>
      </c>
      <c r="N7" t="inlineStr">
        <is>
          <t>N</t>
        </is>
      </c>
      <c r="P7" t="inlineStr">
        <is>
          <t>MH-DC-001-AC-1</t>
        </is>
      </c>
      <c r="Q7" t="inlineStr">
        <is>
          <t>MH-DC-001-AC-2</t>
        </is>
      </c>
      <c r="R7" s="21">
        <f>SUMIF('Devices'!$L$2:$L$2000,A7,'Devices'!$N$2:$N$2000)</f>
        <v/>
      </c>
    </row>
    <row r="8">
      <c r="A8" t="inlineStr">
        <is>
          <t>MH-DC-001-RACK-G</t>
        </is>
      </c>
      <c r="B8" t="inlineStr">
        <is>
          <t>MH-DC-001</t>
        </is>
      </c>
      <c r="C8" t="inlineStr">
        <is>
          <t>MH-DC-001-F0-R2</t>
        </is>
      </c>
      <c r="D8" t="inlineStr">
        <is>
          <t>RACK-G</t>
        </is>
      </c>
      <c r="G8" t="inlineStr">
        <is>
          <t>Tenant cabinet</t>
        </is>
      </c>
      <c r="H8" t="n">
        <v>45</v>
      </c>
      <c r="I8" t="n">
        <v>18</v>
      </c>
      <c r="J8" t="inlineStr">
        <is>
          <t>tenant</t>
        </is>
      </c>
      <c r="K8" t="inlineStr">
        <is>
          <t>CUST-9111</t>
        </is>
      </c>
      <c r="L8" t="n">
        <v>18</v>
      </c>
      <c r="M8" t="inlineStr">
        <is>
          <t>standard</t>
        </is>
      </c>
      <c r="N8" t="inlineStr">
        <is>
          <t>N</t>
        </is>
      </c>
      <c r="P8" t="inlineStr">
        <is>
          <t>MH-DC-001-AC-1</t>
        </is>
      </c>
      <c r="Q8" t="inlineStr">
        <is>
          <t>MH-DC-001-AC-2</t>
        </is>
      </c>
      <c r="R8" s="21">
        <f>SUMIF('Devices'!$L$2:$L$2000,A8,'Devices'!$N$2:$N$2000)</f>
        <v/>
      </c>
    </row>
    <row r="9">
      <c r="A9" t="inlineStr">
        <is>
          <t>MH-DC-001-RACK-H</t>
        </is>
      </c>
      <c r="B9" t="inlineStr">
        <is>
          <t>MH-DC-001</t>
        </is>
      </c>
      <c r="C9" t="inlineStr">
        <is>
          <t>MH-DC-001-F0-R2</t>
        </is>
      </c>
      <c r="D9" t="inlineStr">
        <is>
          <t>RACK-H</t>
        </is>
      </c>
      <c r="G9" t="inlineStr">
        <is>
          <t>Tenant cabinet</t>
        </is>
      </c>
      <c r="H9" t="n">
        <v>42</v>
      </c>
      <c r="I9" t="n">
        <v>11</v>
      </c>
      <c r="J9" t="inlineStr">
        <is>
          <t>tenant</t>
        </is>
      </c>
      <c r="K9" t="inlineStr">
        <is>
          <t>CUST-6478</t>
        </is>
      </c>
      <c r="L9" t="n">
        <v>11</v>
      </c>
      <c r="M9" t="inlineStr">
        <is>
          <t>standard</t>
        </is>
      </c>
      <c r="N9" t="inlineStr">
        <is>
          <t>N</t>
        </is>
      </c>
      <c r="P9" t="inlineStr">
        <is>
          <t>MH-DC-001-AC-1</t>
        </is>
      </c>
      <c r="Q9" t="inlineStr">
        <is>
          <t>MH-DC-001-AC-2</t>
        </is>
      </c>
      <c r="R9" s="21">
        <f>SUMIF('Devices'!$L$2:$L$2000,A9,'Devices'!$N$2:$N$2000)</f>
        <v/>
      </c>
    </row>
    <row r="10">
      <c r="A10" t="inlineStr">
        <is>
          <t>MH-DC-001-RACK-I</t>
        </is>
      </c>
      <c r="B10" t="inlineStr">
        <is>
          <t>MH-DC-001</t>
        </is>
      </c>
      <c r="C10" t="inlineStr">
        <is>
          <t>MH-DC-001-F0-R2</t>
        </is>
      </c>
      <c r="D10" t="inlineStr">
        <is>
          <t>RACK-I</t>
        </is>
      </c>
      <c r="G10" t="inlineStr">
        <is>
          <t>Tenant cabinet</t>
        </is>
      </c>
      <c r="H10" t="n">
        <v>45</v>
      </c>
      <c r="I10" t="n">
        <v>12</v>
      </c>
      <c r="J10" t="inlineStr">
        <is>
          <t>tenant</t>
        </is>
      </c>
      <c r="K10" t="inlineStr">
        <is>
          <t>CUST-2063</t>
        </is>
      </c>
      <c r="L10" t="n">
        <v>12</v>
      </c>
      <c r="M10" t="inlineStr">
        <is>
          <t>standard</t>
        </is>
      </c>
      <c r="N10" t="inlineStr">
        <is>
          <t>N</t>
        </is>
      </c>
      <c r="P10" t="inlineStr">
        <is>
          <t>MH-DC-001-AC-1</t>
        </is>
      </c>
      <c r="Q10" t="inlineStr">
        <is>
          <t>MH-DC-001-AC-2</t>
        </is>
      </c>
      <c r="R10" s="21">
        <f>SUMIF('Devices'!$L$2:$L$2000,A10,'Devices'!$N$2:$N$2000)</f>
        <v/>
      </c>
    </row>
    <row r="11">
      <c r="A11" t="inlineStr">
        <is>
          <t>MH-DC-001-RACK-J</t>
        </is>
      </c>
      <c r="B11" t="inlineStr">
        <is>
          <t>MH-DC-001</t>
        </is>
      </c>
      <c r="C11" t="inlineStr">
        <is>
          <t>MH-DC-001-F0-R2</t>
        </is>
      </c>
      <c r="D11" t="inlineStr">
        <is>
          <t>RACK-J</t>
        </is>
      </c>
      <c r="G11" t="inlineStr">
        <is>
          <t>Tenant cabinet</t>
        </is>
      </c>
      <c r="H11" t="n">
        <v>45</v>
      </c>
      <c r="I11" t="n">
        <v>8</v>
      </c>
      <c r="J11" t="inlineStr">
        <is>
          <t>tenant</t>
        </is>
      </c>
      <c r="K11" t="inlineStr">
        <is>
          <t>CUST-8230</t>
        </is>
      </c>
      <c r="L11" t="n">
        <v>8</v>
      </c>
      <c r="M11" t="inlineStr">
        <is>
          <t>standard</t>
        </is>
      </c>
      <c r="N11" t="inlineStr">
        <is>
          <t>N</t>
        </is>
      </c>
      <c r="P11" t="inlineStr">
        <is>
          <t>MH-DC-001-AC-1</t>
        </is>
      </c>
      <c r="Q11" t="inlineStr">
        <is>
          <t>MH-DC-001-AC-2</t>
        </is>
      </c>
      <c r="R11" s="21">
        <f>SUMIF('Devices'!$L$2:$L$2000,A11,'Devices'!$N$2:$N$2000)</f>
        <v/>
      </c>
    </row>
    <row r="12">
      <c r="A12" t="inlineStr">
        <is>
          <t>MH-DC-001-RACK-K</t>
        </is>
      </c>
      <c r="B12" t="inlineStr">
        <is>
          <t>MH-DC-001</t>
        </is>
      </c>
      <c r="C12" t="inlineStr">
        <is>
          <t>MH-DC-001-F1-R1</t>
        </is>
      </c>
      <c r="D12" t="inlineStr">
        <is>
          <t>RACK-K</t>
        </is>
      </c>
      <c r="G12" t="inlineStr">
        <is>
          <t>Tenant cabinet</t>
        </is>
      </c>
      <c r="H12" t="n">
        <v>42</v>
      </c>
      <c r="I12" t="n">
        <v>11</v>
      </c>
      <c r="J12" t="inlineStr">
        <is>
          <t>tenant</t>
        </is>
      </c>
      <c r="K12" t="inlineStr">
        <is>
          <t>CUST-8230</t>
        </is>
      </c>
      <c r="L12" t="n">
        <v>11</v>
      </c>
      <c r="M12" t="inlineStr">
        <is>
          <t>standard</t>
        </is>
      </c>
      <c r="N12" t="inlineStr">
        <is>
          <t>N</t>
        </is>
      </c>
      <c r="P12" t="inlineStr">
        <is>
          <t>MH-DC-001-AC-1</t>
        </is>
      </c>
      <c r="Q12" t="inlineStr">
        <is>
          <t>MH-DC-001-AC-2</t>
        </is>
      </c>
      <c r="R12" s="21">
        <f>SUMIF('Devices'!$L$2:$L$2000,A12,'Devices'!$N$2:$N$2000)</f>
        <v/>
      </c>
    </row>
    <row r="13">
      <c r="A13" t="inlineStr">
        <is>
          <t>MH-DC-001-RACK-L</t>
        </is>
      </c>
      <c r="B13" t="inlineStr">
        <is>
          <t>MH-DC-001</t>
        </is>
      </c>
      <c r="C13" t="inlineStr">
        <is>
          <t>MH-DC-001-F1-R1</t>
        </is>
      </c>
      <c r="D13" t="inlineStr">
        <is>
          <t>RACK-L</t>
        </is>
      </c>
      <c r="G13" t="inlineStr">
        <is>
          <t>Tenant cabinet</t>
        </is>
      </c>
      <c r="H13" t="n">
        <v>45</v>
      </c>
      <c r="I13" t="n">
        <v>8</v>
      </c>
      <c r="J13" t="inlineStr">
        <is>
          <t>tenant</t>
        </is>
      </c>
      <c r="K13" t="inlineStr">
        <is>
          <t>CUST-8230</t>
        </is>
      </c>
      <c r="L13" t="n">
        <v>8</v>
      </c>
      <c r="M13" t="inlineStr">
        <is>
          <t>standard</t>
        </is>
      </c>
      <c r="N13" t="inlineStr">
        <is>
          <t>N</t>
        </is>
      </c>
      <c r="P13" t="inlineStr">
        <is>
          <t>MH-DC-001-AC-1</t>
        </is>
      </c>
      <c r="Q13" t="inlineStr">
        <is>
          <t>MH-DC-001-AC-2</t>
        </is>
      </c>
      <c r="R13" s="21">
        <f>SUMIF('Devices'!$L$2:$L$2000,A13,'Devices'!$N$2:$N$2000)</f>
        <v/>
      </c>
    </row>
    <row r="14">
      <c r="A14" t="inlineStr">
        <is>
          <t>MH-DC-001-RACK-M</t>
        </is>
      </c>
      <c r="B14" t="inlineStr">
        <is>
          <t>MH-DC-001</t>
        </is>
      </c>
      <c r="C14" t="inlineStr">
        <is>
          <t>MH-DC-001-F1-R1</t>
        </is>
      </c>
      <c r="D14" t="inlineStr">
        <is>
          <t>RACK-M</t>
        </is>
      </c>
      <c r="G14" t="inlineStr">
        <is>
          <t>Tenant cabinet</t>
        </is>
      </c>
      <c r="H14" t="n">
        <v>45</v>
      </c>
      <c r="I14" t="n">
        <v>8</v>
      </c>
      <c r="J14" t="inlineStr">
        <is>
          <t>tenant</t>
        </is>
      </c>
      <c r="K14" t="inlineStr">
        <is>
          <t>CUST-6468</t>
        </is>
      </c>
      <c r="L14" t="n">
        <v>8</v>
      </c>
      <c r="M14" t="inlineStr">
        <is>
          <t>standard</t>
        </is>
      </c>
      <c r="N14" t="inlineStr">
        <is>
          <t>N</t>
        </is>
      </c>
      <c r="P14" t="inlineStr">
        <is>
          <t>MH-DC-001-AC-1</t>
        </is>
      </c>
      <c r="Q14" t="inlineStr">
        <is>
          <t>MH-DC-001-AC-2</t>
        </is>
      </c>
      <c r="R14" s="21">
        <f>SUMIF('Devices'!$L$2:$L$2000,A14,'Devices'!$N$2:$N$2000)</f>
        <v/>
      </c>
    </row>
    <row r="15">
      <c r="A15" t="inlineStr">
        <is>
          <t>MH-DC-001-RACK-N</t>
        </is>
      </c>
      <c r="B15" t="inlineStr">
        <is>
          <t>MH-DC-001</t>
        </is>
      </c>
      <c r="C15" t="inlineStr">
        <is>
          <t>MH-DC-001-F1-R1</t>
        </is>
      </c>
      <c r="D15" t="inlineStr">
        <is>
          <t>RACK-N</t>
        </is>
      </c>
      <c r="G15" t="inlineStr">
        <is>
          <t>Tenant cabinet</t>
        </is>
      </c>
      <c r="H15" t="n">
        <v>42</v>
      </c>
      <c r="I15" t="n">
        <v>8</v>
      </c>
      <c r="J15" t="inlineStr">
        <is>
          <t>tenant</t>
        </is>
      </c>
      <c r="K15" t="inlineStr">
        <is>
          <t>CUST-6468</t>
        </is>
      </c>
      <c r="L15" t="n">
        <v>8</v>
      </c>
      <c r="M15" t="inlineStr">
        <is>
          <t>standard</t>
        </is>
      </c>
      <c r="N15" t="inlineStr">
        <is>
          <t>N</t>
        </is>
      </c>
      <c r="P15" t="inlineStr">
        <is>
          <t>MH-DC-001-AC-1</t>
        </is>
      </c>
      <c r="Q15" t="inlineStr">
        <is>
          <t>MH-DC-001-AC-2</t>
        </is>
      </c>
      <c r="R15" s="21">
        <f>SUMIF('Devices'!$L$2:$L$2000,A15,'Devices'!$N$2:$N$2000)</f>
        <v/>
      </c>
    </row>
    <row r="16">
      <c r="A16" t="inlineStr">
        <is>
          <t>MH-DC-001-RACK-O</t>
        </is>
      </c>
      <c r="B16" t="inlineStr">
        <is>
          <t>MH-DC-001</t>
        </is>
      </c>
      <c r="C16" t="inlineStr">
        <is>
          <t>MH-DC-001-F1-R1</t>
        </is>
      </c>
      <c r="D16" t="inlineStr">
        <is>
          <t>RACK-O</t>
        </is>
      </c>
      <c r="G16" t="inlineStr">
        <is>
          <t>Tenant cabinet</t>
        </is>
      </c>
      <c r="H16" t="n">
        <v>45</v>
      </c>
      <c r="I16" t="n">
        <v>10</v>
      </c>
      <c r="J16" t="inlineStr">
        <is>
          <t>tenant</t>
        </is>
      </c>
      <c r="K16" t="inlineStr">
        <is>
          <t>CUST-9982</t>
        </is>
      </c>
      <c r="L16" t="n">
        <v>10</v>
      </c>
      <c r="M16" t="inlineStr">
        <is>
          <t>standard</t>
        </is>
      </c>
      <c r="N16" t="inlineStr">
        <is>
          <t>N</t>
        </is>
      </c>
      <c r="P16" t="inlineStr">
        <is>
          <t>MH-DC-001-AC-1</t>
        </is>
      </c>
      <c r="Q16" t="inlineStr">
        <is>
          <t>MH-DC-001-AC-2</t>
        </is>
      </c>
      <c r="R16" s="21">
        <f>SUMIF('Devices'!$L$2:$L$2000,A16,'Devices'!$N$2:$N$2000)</f>
        <v/>
      </c>
    </row>
    <row r="17">
      <c r="A17" t="inlineStr">
        <is>
          <t>MH-DC-001-RACK-P</t>
        </is>
      </c>
      <c r="B17" t="inlineStr">
        <is>
          <t>MH-DC-001</t>
        </is>
      </c>
      <c r="C17" t="inlineStr">
        <is>
          <t>MH-DC-001-F1-R2</t>
        </is>
      </c>
      <c r="D17" t="inlineStr">
        <is>
          <t>RACK-P</t>
        </is>
      </c>
      <c r="G17" t="inlineStr">
        <is>
          <t>Tenant cabinet</t>
        </is>
      </c>
      <c r="H17" t="n">
        <v>45</v>
      </c>
      <c r="I17" t="n">
        <v>8</v>
      </c>
      <c r="J17" t="inlineStr">
        <is>
          <t>tenant</t>
        </is>
      </c>
      <c r="K17" t="inlineStr">
        <is>
          <t>CUST-1202</t>
        </is>
      </c>
      <c r="L17" t="n">
        <v>8</v>
      </c>
      <c r="M17" t="inlineStr">
        <is>
          <t>standard</t>
        </is>
      </c>
      <c r="N17" t="inlineStr">
        <is>
          <t>N</t>
        </is>
      </c>
      <c r="P17" t="inlineStr">
        <is>
          <t>MH-DC-001-AC-1</t>
        </is>
      </c>
      <c r="Q17" t="inlineStr">
        <is>
          <t>MH-DC-001-AC-2</t>
        </is>
      </c>
      <c r="R17" s="21">
        <f>SUMIF('Devices'!$L$2:$L$2000,A17,'Devices'!$N$2:$N$2000)</f>
        <v/>
      </c>
    </row>
    <row r="18">
      <c r="A18" t="inlineStr">
        <is>
          <t>MH-DC-001-RACK-Q</t>
        </is>
      </c>
      <c r="B18" t="inlineStr">
        <is>
          <t>MH-DC-001</t>
        </is>
      </c>
      <c r="C18" t="inlineStr">
        <is>
          <t>MH-DC-001-F1-R2</t>
        </is>
      </c>
      <c r="D18" t="inlineStr">
        <is>
          <t>RACK-Q</t>
        </is>
      </c>
      <c r="G18" t="inlineStr">
        <is>
          <t>Access</t>
        </is>
      </c>
      <c r="H18" t="n">
        <v>42</v>
      </c>
      <c r="I18" t="n">
        <v>8</v>
      </c>
      <c r="J18" t="inlineStr">
        <is>
          <t>operator</t>
        </is>
      </c>
      <c r="M18" t="inlineStr">
        <is>
          <t>standard</t>
        </is>
      </c>
      <c r="N18" t="inlineStr">
        <is>
          <t>N</t>
        </is>
      </c>
      <c r="P18" t="inlineStr">
        <is>
          <t>MH-DC-001-AC-1</t>
        </is>
      </c>
      <c r="Q18" t="inlineStr">
        <is>
          <t>MH-DC-001-AC-2</t>
        </is>
      </c>
      <c r="R18" s="21">
        <f>SUMIF('Devices'!$L$2:$L$2000,A18,'Devices'!$N$2:$N$2000)</f>
        <v/>
      </c>
    </row>
    <row r="19">
      <c r="A19" t="inlineStr">
        <is>
          <t>MH-DC-001-RACK-R</t>
        </is>
      </c>
      <c r="B19" t="inlineStr">
        <is>
          <t>MH-DC-001</t>
        </is>
      </c>
      <c r="C19" t="inlineStr">
        <is>
          <t>MH-DC-001-F1-R2</t>
        </is>
      </c>
      <c r="D19" t="inlineStr">
        <is>
          <t>RACK-R</t>
        </is>
      </c>
      <c r="G19" t="inlineStr">
        <is>
          <t>Access</t>
        </is>
      </c>
      <c r="H19" t="n">
        <v>45</v>
      </c>
      <c r="I19" t="n">
        <v>8</v>
      </c>
      <c r="J19" t="inlineStr">
        <is>
          <t>operator</t>
        </is>
      </c>
      <c r="M19" t="inlineStr">
        <is>
          <t>standard</t>
        </is>
      </c>
      <c r="N19" t="inlineStr">
        <is>
          <t>N</t>
        </is>
      </c>
      <c r="P19" t="inlineStr">
        <is>
          <t>MH-DC-001-AC-1</t>
        </is>
      </c>
      <c r="Q19" t="inlineStr">
        <is>
          <t>MH-DC-001-AC-2</t>
        </is>
      </c>
      <c r="R19" s="21">
        <f>SUMIF('Devices'!$L$2:$L$2000,A19,'Devices'!$N$2:$N$2000)</f>
        <v/>
      </c>
    </row>
    <row r="20">
      <c r="A20" t="inlineStr">
        <is>
          <t>MH-DC-001-RACK-S</t>
        </is>
      </c>
      <c r="B20" t="inlineStr">
        <is>
          <t>MH-DC-001</t>
        </is>
      </c>
      <c r="C20" t="inlineStr">
        <is>
          <t>MH-DC-001-F1-R2</t>
        </is>
      </c>
      <c r="D20" t="inlineStr">
        <is>
          <t>RACK-S</t>
        </is>
      </c>
      <c r="G20" t="inlineStr">
        <is>
          <t>Access</t>
        </is>
      </c>
      <c r="H20" t="n">
        <v>45</v>
      </c>
      <c r="I20" t="n">
        <v>8</v>
      </c>
      <c r="J20" t="inlineStr">
        <is>
          <t>operator</t>
        </is>
      </c>
      <c r="M20" t="inlineStr">
        <is>
          <t>standard</t>
        </is>
      </c>
      <c r="N20" t="inlineStr">
        <is>
          <t>N</t>
        </is>
      </c>
      <c r="P20" t="inlineStr">
        <is>
          <t>MH-DC-001-AC-1</t>
        </is>
      </c>
      <c r="Q20" t="inlineStr">
        <is>
          <t>MH-DC-001-AC-2</t>
        </is>
      </c>
      <c r="R20" s="21">
        <f>SUMIF('Devices'!$L$2:$L$2000,A20,'Devices'!$N$2:$N$2000)</f>
        <v/>
      </c>
    </row>
    <row r="21">
      <c r="A21" t="inlineStr">
        <is>
          <t>MH-DC-001-RACK-T</t>
        </is>
      </c>
      <c r="B21" t="inlineStr">
        <is>
          <t>MH-DC-001</t>
        </is>
      </c>
      <c r="C21" t="inlineStr">
        <is>
          <t>MH-DC-001-F1-R2</t>
        </is>
      </c>
      <c r="D21" t="inlineStr">
        <is>
          <t>RACK-T</t>
        </is>
      </c>
      <c r="G21" t="inlineStr">
        <is>
          <t>ODF / patching</t>
        </is>
      </c>
      <c r="H21" t="n">
        <v>42</v>
      </c>
      <c r="I21" t="n">
        <v>8</v>
      </c>
      <c r="J21" t="inlineStr">
        <is>
          <t>operator</t>
        </is>
      </c>
      <c r="M21" t="inlineStr">
        <is>
          <t>standard</t>
        </is>
      </c>
      <c r="N21" t="inlineStr">
        <is>
          <t>N</t>
        </is>
      </c>
      <c r="P21" t="inlineStr">
        <is>
          <t>MH-DC-001-AC-1</t>
        </is>
      </c>
      <c r="Q21" t="inlineStr">
        <is>
          <t>MH-DC-001-AC-2</t>
        </is>
      </c>
      <c r="R21" s="21">
        <f>SUMIF('Devices'!$L$2:$L$2000,A21,'Devices'!$N$2:$N$2000)</f>
        <v/>
      </c>
    </row>
    <row r="22">
      <c r="A22" t="inlineStr">
        <is>
          <t>MH-DC-001-RACK-U</t>
        </is>
      </c>
      <c r="B22" t="inlineStr">
        <is>
          <t>MH-DC-001</t>
        </is>
      </c>
      <c r="C22" t="inlineStr">
        <is>
          <t>MH-DC-001-F0-R1</t>
        </is>
      </c>
      <c r="D22" t="inlineStr">
        <is>
          <t>RACK-U</t>
        </is>
      </c>
      <c r="G22" t="inlineStr">
        <is>
          <t>Operator servers</t>
        </is>
      </c>
      <c r="H22" t="n">
        <v>42</v>
      </c>
      <c r="I22" t="n">
        <v>9</v>
      </c>
      <c r="J22" t="inlineStr">
        <is>
          <t>operator</t>
        </is>
      </c>
      <c r="M22" t="inlineStr">
        <is>
          <t>standard</t>
        </is>
      </c>
      <c r="N22" t="inlineStr">
        <is>
          <t>N</t>
        </is>
      </c>
      <c r="P22" t="inlineStr">
        <is>
          <t>MH-DC-001-AC-1</t>
        </is>
      </c>
      <c r="Q22" t="inlineStr">
        <is>
          <t>MH-DC-001-AC-2</t>
        </is>
      </c>
      <c r="R22" s="21">
        <f>SUMIF('Devices'!$L$2:$L$2000,A22,'Devices'!$N$2:$N$2000)</f>
        <v/>
      </c>
    </row>
    <row r="23">
      <c r="A23" t="inlineStr">
        <is>
          <t>MH-DC-002-RACK-A</t>
        </is>
      </c>
      <c r="B23" t="inlineStr">
        <is>
          <t>MH-DC-002</t>
        </is>
      </c>
      <c r="C23" t="inlineStr">
        <is>
          <t>MH-DC-002-F0-R1</t>
        </is>
      </c>
      <c r="D23" t="inlineStr">
        <is>
          <t>RACK-A</t>
        </is>
      </c>
      <c r="G23" t="inlineStr">
        <is>
          <t>Core</t>
        </is>
      </c>
      <c r="H23" t="n">
        <v>45</v>
      </c>
      <c r="I23" t="n">
        <v>15</v>
      </c>
      <c r="J23" t="inlineStr">
        <is>
          <t>operator</t>
        </is>
      </c>
      <c r="M23" t="inlineStr">
        <is>
          <t>standard</t>
        </is>
      </c>
      <c r="N23" t="inlineStr">
        <is>
          <t>N</t>
        </is>
      </c>
      <c r="P23" t="inlineStr">
        <is>
          <t>MH-DC-002-AC-1</t>
        </is>
      </c>
      <c r="Q23" t="inlineStr">
        <is>
          <t>MH-DC-002-AC-2</t>
        </is>
      </c>
      <c r="R23" s="21">
        <f>SUMIF('Devices'!$L$2:$L$2000,A23,'Devices'!$N$2:$N$2000)</f>
        <v/>
      </c>
    </row>
    <row r="24">
      <c r="A24" t="inlineStr">
        <is>
          <t>MH-DC-002-RACK-B</t>
        </is>
      </c>
      <c r="B24" t="inlineStr">
        <is>
          <t>MH-DC-002</t>
        </is>
      </c>
      <c r="C24" t="inlineStr">
        <is>
          <t>MH-DC-002-F0-R1</t>
        </is>
      </c>
      <c r="D24" t="inlineStr">
        <is>
          <t>RACK-B</t>
        </is>
      </c>
      <c r="G24" t="inlineStr">
        <is>
          <t>AI cage</t>
        </is>
      </c>
      <c r="H24" t="n">
        <v>42</v>
      </c>
      <c r="I24" t="n">
        <v>40</v>
      </c>
      <c r="J24" t="inlineStr">
        <is>
          <t>tenant</t>
        </is>
      </c>
      <c r="K24" t="inlineStr">
        <is>
          <t>CUST-7349</t>
        </is>
      </c>
      <c r="L24" t="n">
        <v>40</v>
      </c>
      <c r="M24" t="inlineStr">
        <is>
          <t>ai</t>
        </is>
      </c>
      <c r="N24" t="inlineStr">
        <is>
          <t>Y</t>
        </is>
      </c>
      <c r="O24" t="inlineStr">
        <is>
          <t>MH-DC-002-CDU-1</t>
        </is>
      </c>
      <c r="P24" t="inlineStr">
        <is>
          <t>MH-DC-002-AC-1</t>
        </is>
      </c>
      <c r="Q24" t="inlineStr">
        <is>
          <t>MH-DC-002-AC-2</t>
        </is>
      </c>
      <c r="R24" s="21">
        <f>SUMIF('Devices'!$L$2:$L$2000,A24,'Devices'!$N$2:$N$2000)</f>
        <v/>
      </c>
    </row>
    <row r="25">
      <c r="A25" t="inlineStr">
        <is>
          <t>MH-DC-002-RACK-C</t>
        </is>
      </c>
      <c r="B25" t="inlineStr">
        <is>
          <t>MH-DC-002</t>
        </is>
      </c>
      <c r="C25" t="inlineStr">
        <is>
          <t>MH-DC-002-F0-R1</t>
        </is>
      </c>
      <c r="D25" t="inlineStr">
        <is>
          <t>RACK-C</t>
        </is>
      </c>
      <c r="G25" t="inlineStr">
        <is>
          <t>AI cage</t>
        </is>
      </c>
      <c r="H25" t="n">
        <v>45</v>
      </c>
      <c r="I25" t="n">
        <v>40</v>
      </c>
      <c r="J25" t="inlineStr">
        <is>
          <t>tenant</t>
        </is>
      </c>
      <c r="K25" t="inlineStr">
        <is>
          <t>CUST-7349</t>
        </is>
      </c>
      <c r="L25" t="n">
        <v>40</v>
      </c>
      <c r="M25" t="inlineStr">
        <is>
          <t>ai</t>
        </is>
      </c>
      <c r="N25" t="inlineStr">
        <is>
          <t>Y</t>
        </is>
      </c>
      <c r="O25" t="inlineStr">
        <is>
          <t>MH-DC-002-CDU-1</t>
        </is>
      </c>
      <c r="P25" t="inlineStr">
        <is>
          <t>MH-DC-002-AC-1</t>
        </is>
      </c>
      <c r="Q25" t="inlineStr">
        <is>
          <t>MH-DC-002-AC-2</t>
        </is>
      </c>
      <c r="R25" s="21">
        <f>SUMIF('Devices'!$L$2:$L$2000,A25,'Devices'!$N$2:$N$2000)</f>
        <v/>
      </c>
    </row>
    <row r="26">
      <c r="A26" t="inlineStr">
        <is>
          <t>MH-DC-002-RACK-D</t>
        </is>
      </c>
      <c r="B26" t="inlineStr">
        <is>
          <t>MH-DC-002</t>
        </is>
      </c>
      <c r="C26" t="inlineStr">
        <is>
          <t>MH-DC-002-F0-R2</t>
        </is>
      </c>
      <c r="D26" t="inlineStr">
        <is>
          <t>RACK-D</t>
        </is>
      </c>
      <c r="G26" t="inlineStr">
        <is>
          <t>Tenant cabinet</t>
        </is>
      </c>
      <c r="H26" t="n">
        <v>45</v>
      </c>
      <c r="I26" t="n">
        <v>17</v>
      </c>
      <c r="J26" t="inlineStr">
        <is>
          <t>tenant</t>
        </is>
      </c>
      <c r="K26" t="inlineStr">
        <is>
          <t>CUST-8220</t>
        </is>
      </c>
      <c r="L26" t="n">
        <v>17</v>
      </c>
      <c r="M26" t="inlineStr">
        <is>
          <t>standard</t>
        </is>
      </c>
      <c r="N26" t="inlineStr">
        <is>
          <t>N</t>
        </is>
      </c>
      <c r="P26" t="inlineStr">
        <is>
          <t>MH-DC-002-AC-1</t>
        </is>
      </c>
      <c r="Q26" t="inlineStr">
        <is>
          <t>MH-DC-002-AC-2</t>
        </is>
      </c>
      <c r="R26" s="21">
        <f>SUMIF('Devices'!$L$2:$L$2000,A26,'Devices'!$N$2:$N$2000)</f>
        <v/>
      </c>
    </row>
    <row r="27">
      <c r="A27" t="inlineStr">
        <is>
          <t>MH-DC-002-RACK-E</t>
        </is>
      </c>
      <c r="B27" t="inlineStr">
        <is>
          <t>MH-DC-002</t>
        </is>
      </c>
      <c r="C27" t="inlineStr">
        <is>
          <t>MH-DC-002-F0-R2</t>
        </is>
      </c>
      <c r="D27" t="inlineStr">
        <is>
          <t>RACK-E</t>
        </is>
      </c>
      <c r="G27" t="inlineStr">
        <is>
          <t>Tenant cabinet</t>
        </is>
      </c>
      <c r="H27" t="n">
        <v>42</v>
      </c>
      <c r="I27" t="n">
        <v>20</v>
      </c>
      <c r="J27" t="inlineStr">
        <is>
          <t>tenant</t>
        </is>
      </c>
      <c r="K27" t="inlineStr">
        <is>
          <t>CUST-4716</t>
        </is>
      </c>
      <c r="L27" t="n">
        <v>20</v>
      </c>
      <c r="M27" t="inlineStr">
        <is>
          <t>standard</t>
        </is>
      </c>
      <c r="N27" t="inlineStr">
        <is>
          <t>N</t>
        </is>
      </c>
      <c r="P27" t="inlineStr">
        <is>
          <t>MH-DC-002-AC-1</t>
        </is>
      </c>
      <c r="Q27" t="inlineStr">
        <is>
          <t>MH-DC-002-AC-2</t>
        </is>
      </c>
      <c r="R27" s="21">
        <f>SUMIF('Devices'!$L$2:$L$2000,A27,'Devices'!$N$2:$N$2000)</f>
        <v/>
      </c>
    </row>
    <row r="28">
      <c r="A28" t="inlineStr">
        <is>
          <t>MH-DC-002-RACK-F</t>
        </is>
      </c>
      <c r="B28" t="inlineStr">
        <is>
          <t>MH-DC-002</t>
        </is>
      </c>
      <c r="C28" t="inlineStr">
        <is>
          <t>MH-DC-002-F1-R1</t>
        </is>
      </c>
      <c r="D28" t="inlineStr">
        <is>
          <t>RACK-F</t>
        </is>
      </c>
      <c r="G28" t="inlineStr">
        <is>
          <t>Tenant cabinet</t>
        </is>
      </c>
      <c r="H28" t="n">
        <v>45</v>
      </c>
      <c r="I28" t="n">
        <v>17</v>
      </c>
      <c r="J28" t="inlineStr">
        <is>
          <t>tenant</t>
        </is>
      </c>
      <c r="K28" t="inlineStr">
        <is>
          <t>CUST-2954</t>
        </is>
      </c>
      <c r="L28" t="n">
        <v>17</v>
      </c>
      <c r="M28" t="inlineStr">
        <is>
          <t>standard</t>
        </is>
      </c>
      <c r="N28" t="inlineStr">
        <is>
          <t>N</t>
        </is>
      </c>
      <c r="P28" t="inlineStr">
        <is>
          <t>MH-DC-002-AC-1</t>
        </is>
      </c>
      <c r="Q28" t="inlineStr">
        <is>
          <t>MH-DC-002-AC-2</t>
        </is>
      </c>
      <c r="R28" s="21">
        <f>SUMIF('Devices'!$L$2:$L$2000,A28,'Devices'!$N$2:$N$2000)</f>
        <v/>
      </c>
    </row>
    <row r="29">
      <c r="A29" t="inlineStr">
        <is>
          <t>MH-DC-002-RACK-G</t>
        </is>
      </c>
      <c r="B29" t="inlineStr">
        <is>
          <t>MH-DC-002</t>
        </is>
      </c>
      <c r="C29" t="inlineStr">
        <is>
          <t>MH-DC-002-F1-R1</t>
        </is>
      </c>
      <c r="D29" t="inlineStr">
        <is>
          <t>RACK-G</t>
        </is>
      </c>
      <c r="G29" t="inlineStr">
        <is>
          <t>Tenant cabinet</t>
        </is>
      </c>
      <c r="H29" t="n">
        <v>45</v>
      </c>
      <c r="I29" t="n">
        <v>17</v>
      </c>
      <c r="J29" t="inlineStr">
        <is>
          <t>tenant</t>
        </is>
      </c>
      <c r="K29" t="inlineStr">
        <is>
          <t>CUST-2954</t>
        </is>
      </c>
      <c r="L29" t="n">
        <v>17</v>
      </c>
      <c r="M29" t="inlineStr">
        <is>
          <t>standard</t>
        </is>
      </c>
      <c r="N29" t="inlineStr">
        <is>
          <t>N</t>
        </is>
      </c>
      <c r="P29" t="inlineStr">
        <is>
          <t>MH-DC-002-AC-1</t>
        </is>
      </c>
      <c r="Q29" t="inlineStr">
        <is>
          <t>MH-DC-002-AC-2</t>
        </is>
      </c>
      <c r="R29" s="21">
        <f>SUMIF('Devices'!$L$2:$L$2000,A29,'Devices'!$N$2:$N$2000)</f>
        <v/>
      </c>
    </row>
    <row r="30">
      <c r="A30" t="inlineStr">
        <is>
          <t>MH-DC-002-RACK-H</t>
        </is>
      </c>
      <c r="B30" t="inlineStr">
        <is>
          <t>MH-DC-002</t>
        </is>
      </c>
      <c r="C30" t="inlineStr">
        <is>
          <t>MH-DC-002-F1-R1</t>
        </is>
      </c>
      <c r="D30" t="inlineStr">
        <is>
          <t>RACK-H</t>
        </is>
      </c>
      <c r="G30" t="inlineStr">
        <is>
          <t>AI cage</t>
        </is>
      </c>
      <c r="H30" t="n">
        <v>42</v>
      </c>
      <c r="I30" t="n">
        <v>40</v>
      </c>
      <c r="J30" t="inlineStr">
        <is>
          <t>tenant</t>
        </is>
      </c>
      <c r="K30" t="inlineStr">
        <is>
          <t>CUST-1202</t>
        </is>
      </c>
      <c r="L30" t="n">
        <v>40</v>
      </c>
      <c r="M30" t="inlineStr">
        <is>
          <t>ai</t>
        </is>
      </c>
      <c r="N30" t="inlineStr">
        <is>
          <t>Y</t>
        </is>
      </c>
      <c r="O30" t="inlineStr">
        <is>
          <t>MH-DC-002-CDU-1</t>
        </is>
      </c>
      <c r="P30" t="inlineStr">
        <is>
          <t>MH-DC-002-AC-1</t>
        </is>
      </c>
      <c r="Q30" t="inlineStr">
        <is>
          <t>MH-DC-002-AC-2</t>
        </is>
      </c>
      <c r="R30" s="21">
        <f>SUMIF('Devices'!$L$2:$L$2000,A30,'Devices'!$N$2:$N$2000)</f>
        <v/>
      </c>
    </row>
    <row r="31">
      <c r="A31" t="inlineStr">
        <is>
          <t>MH-DC-002-RACK-I</t>
        </is>
      </c>
      <c r="B31" t="inlineStr">
        <is>
          <t>MH-DC-002</t>
        </is>
      </c>
      <c r="C31" t="inlineStr">
        <is>
          <t>MH-DC-002-F1-R2</t>
        </is>
      </c>
      <c r="D31" t="inlineStr">
        <is>
          <t>RACK-I</t>
        </is>
      </c>
      <c r="G31" t="inlineStr">
        <is>
          <t>Tenant cabinet</t>
        </is>
      </c>
      <c r="H31" t="n">
        <v>45</v>
      </c>
      <c r="I31" t="n">
        <v>8</v>
      </c>
      <c r="J31" t="inlineStr">
        <is>
          <t>tenant</t>
        </is>
      </c>
      <c r="K31" t="inlineStr">
        <is>
          <t>CUST-1202</t>
        </is>
      </c>
      <c r="L31" t="n">
        <v>8</v>
      </c>
      <c r="M31" t="inlineStr">
        <is>
          <t>standard</t>
        </is>
      </c>
      <c r="N31" t="inlineStr">
        <is>
          <t>N</t>
        </is>
      </c>
      <c r="P31" t="inlineStr">
        <is>
          <t>MH-DC-002-AC-1</t>
        </is>
      </c>
      <c r="Q31" t="inlineStr">
        <is>
          <t>MH-DC-002-AC-2</t>
        </is>
      </c>
      <c r="R31" s="21">
        <f>SUMIF('Devices'!$L$2:$L$2000,A31,'Devices'!$N$2:$N$2000)</f>
        <v/>
      </c>
    </row>
    <row r="32">
      <c r="A32" t="inlineStr">
        <is>
          <t>MH-DC-002-RACK-J</t>
        </is>
      </c>
      <c r="B32" t="inlineStr">
        <is>
          <t>MH-DC-002</t>
        </is>
      </c>
      <c r="C32" t="inlineStr">
        <is>
          <t>MH-DC-002-F1-R2</t>
        </is>
      </c>
      <c r="D32" t="inlineStr">
        <is>
          <t>RACK-J</t>
        </is>
      </c>
      <c r="G32" t="inlineStr">
        <is>
          <t>ODF / patching</t>
        </is>
      </c>
      <c r="H32" t="n">
        <v>45</v>
      </c>
      <c r="I32" t="n">
        <v>8</v>
      </c>
      <c r="J32" t="inlineStr">
        <is>
          <t>operator</t>
        </is>
      </c>
      <c r="M32" t="inlineStr">
        <is>
          <t>standard</t>
        </is>
      </c>
      <c r="N32" t="inlineStr">
        <is>
          <t>N</t>
        </is>
      </c>
      <c r="P32" t="inlineStr">
        <is>
          <t>MH-DC-002-AC-1</t>
        </is>
      </c>
      <c r="Q32" t="inlineStr">
        <is>
          <t>MH-DC-002-AC-2</t>
        </is>
      </c>
      <c r="R32" s="21">
        <f>SUMIF('Devices'!$L$2:$L$2000,A32,'Devices'!$N$2:$N$2000)</f>
        <v/>
      </c>
    </row>
    <row r="33">
      <c r="A33" t="inlineStr">
        <is>
          <t>MH-DC-002-RACK-K</t>
        </is>
      </c>
      <c r="B33" t="inlineStr">
        <is>
          <t>MH-DC-002</t>
        </is>
      </c>
      <c r="C33" t="inlineStr">
        <is>
          <t>MH-DC-002-F0-R1</t>
        </is>
      </c>
      <c r="D33" t="inlineStr">
        <is>
          <t>RACK-K</t>
        </is>
      </c>
      <c r="G33" t="inlineStr">
        <is>
          <t>Operator servers</t>
        </is>
      </c>
      <c r="H33" t="n">
        <v>42</v>
      </c>
      <c r="I33" t="n">
        <v>8</v>
      </c>
      <c r="J33" t="inlineStr">
        <is>
          <t>operator</t>
        </is>
      </c>
      <c r="M33" t="inlineStr">
        <is>
          <t>standard</t>
        </is>
      </c>
      <c r="N33" t="inlineStr">
        <is>
          <t>N</t>
        </is>
      </c>
      <c r="P33" t="inlineStr">
        <is>
          <t>MH-DC-002-AC-1</t>
        </is>
      </c>
      <c r="Q33" t="inlineStr">
        <is>
          <t>MH-DC-002-AC-2</t>
        </is>
      </c>
      <c r="R33" s="21">
        <f>SUMIF('Devices'!$L$2:$L$2000,A33,'Devices'!$N$2:$N$2000)</f>
        <v/>
      </c>
    </row>
  </sheetData>
  <autoFilter ref="A1:R33"/>
  <dataValidations count="4">
    <dataValidation sqref="G2:G2000" showDropDown="0" showInputMessage="0" showErrorMessage="1" allowBlank="1" errorTitle="Not an allowed value" error="Pick a value from the list (Lookups → rack_role)." type="list">
      <formula1>=L_rack_role</formula1>
    </dataValidation>
    <dataValidation sqref="J2:J2000" showDropDown="0" showInputMessage="0" showErrorMessage="1" allowBlank="1" errorTitle="Not an allowed value" error="Pick a value from the list (Lookups → owner)." type="list">
      <formula1>=L_owner</formula1>
    </dataValidation>
    <dataValidation sqref="M2:M2000" showDropDown="0" showInputMessage="0" showErrorMessage="1" allowBlank="1" errorTitle="Not an allowed value" error="Pick a value from the list (Lookups → density)." type="list">
      <formula1>=L_density</formula1>
    </dataValidation>
    <dataValidation sqref="N2:N2000" showDropDown="0" showInputMessage="0" showErrorMessage="1" allowBlank="1" errorTitle="Not an allowed value" error="Pick a value from the list (Lookups → yes_no)." type="list">
      <formula1>=L_yes_no</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2E6BD9"/>
    <outlinePr summaryBelow="1" summaryRight="1"/>
    <pageSetUpPr/>
  </sheetPr>
  <dimension ref="A1:H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10" customWidth="1" min="3" max="3"/>
    <col width="19" customWidth="1" min="4" max="4"/>
    <col width="15" customWidth="1" min="5" max="5"/>
    <col width="16" customWidth="1" min="6" max="6"/>
    <col width="16" customWidth="1" min="7" max="7"/>
    <col width="20" customWidth="1" min="8" max="8"/>
  </cols>
  <sheetData>
    <row r="1" ht="30" customHeight="1">
      <c r="A1" s="16" t="inlineStr">
        <is>
          <t>feed_id *</t>
        </is>
      </c>
      <c r="B1" s="16" t="inlineStr">
        <is>
          <t>site_id *</t>
        </is>
      </c>
      <c r="C1" s="16" t="inlineStr">
        <is>
          <t>type *</t>
        </is>
      </c>
      <c r="D1" s="16" t="inlineStr">
        <is>
          <t>source *</t>
        </is>
      </c>
      <c r="E1" s="16" t="inlineStr">
        <is>
          <t>rating *</t>
        </is>
      </c>
      <c r="F1" s="16" t="inlineStr">
        <is>
          <t>capacity_kw *</t>
        </is>
      </c>
      <c r="G1" s="17" t="inlineStr">
        <is>
          <t>normal_role</t>
        </is>
      </c>
      <c r="H1" s="17" t="inlineStr">
        <is>
          <t>utility_account</t>
        </is>
      </c>
    </row>
    <row r="2">
      <c r="A2" t="inlineStr">
        <is>
          <t>MH-DC-001-AC-1</t>
        </is>
      </c>
      <c r="B2" t="inlineStr">
        <is>
          <t>MH-DC-001</t>
        </is>
      </c>
      <c r="C2" t="inlineStr">
        <is>
          <t>AC</t>
        </is>
      </c>
      <c r="D2" t="inlineStr">
        <is>
          <t>Utility feed A</t>
        </is>
      </c>
      <c r="E2" t="inlineStr">
        <is>
          <t>380 A · 415 V</t>
        </is>
      </c>
      <c r="F2" t="n">
        <v>273</v>
      </c>
      <c r="G2" t="inlineStr">
        <is>
          <t>Active</t>
        </is>
      </c>
    </row>
    <row r="3">
      <c r="A3" t="inlineStr">
        <is>
          <t>MH-DC-001-AC-2</t>
        </is>
      </c>
      <c r="B3" t="inlineStr">
        <is>
          <t>MH-DC-001</t>
        </is>
      </c>
      <c r="C3" t="inlineStr">
        <is>
          <t>AC</t>
        </is>
      </c>
      <c r="D3" t="inlineStr">
        <is>
          <t>Utility feed B</t>
        </is>
      </c>
      <c r="E3" t="inlineStr">
        <is>
          <t>380 A · 415 V</t>
        </is>
      </c>
      <c r="F3" t="n">
        <v>273</v>
      </c>
      <c r="G3" t="inlineStr">
        <is>
          <t>Standby</t>
        </is>
      </c>
    </row>
    <row r="4">
      <c r="A4" t="inlineStr">
        <is>
          <t>MH-DC-001-DC-1</t>
        </is>
      </c>
      <c r="B4" t="inlineStr">
        <is>
          <t>MH-DC-001</t>
        </is>
      </c>
      <c r="C4" t="inlineStr">
        <is>
          <t>DC</t>
        </is>
      </c>
      <c r="D4" t="inlineStr">
        <is>
          <t>Rectifier RECT-01</t>
        </is>
      </c>
      <c r="E4" t="inlineStr">
        <is>
          <t>48 V · 2440 A</t>
        </is>
      </c>
      <c r="F4" t="n">
        <v>117</v>
      </c>
      <c r="G4" t="inlineStr">
        <is>
          <t>Active</t>
        </is>
      </c>
    </row>
    <row r="5">
      <c r="A5" t="inlineStr">
        <is>
          <t>MH-DC-002-AC-1</t>
        </is>
      </c>
      <c r="B5" t="inlineStr">
        <is>
          <t>MH-DC-002</t>
        </is>
      </c>
      <c r="C5" t="inlineStr">
        <is>
          <t>AC</t>
        </is>
      </c>
      <c r="D5" t="inlineStr">
        <is>
          <t>Utility feed A</t>
        </is>
      </c>
      <c r="E5" t="inlineStr">
        <is>
          <t>321 A · 415 V</t>
        </is>
      </c>
      <c r="F5" t="n">
        <v>231</v>
      </c>
      <c r="G5" t="inlineStr">
        <is>
          <t>Active</t>
        </is>
      </c>
    </row>
    <row r="6">
      <c r="A6" t="inlineStr">
        <is>
          <t>MH-DC-002-AC-2</t>
        </is>
      </c>
      <c r="B6" t="inlineStr">
        <is>
          <t>MH-DC-002</t>
        </is>
      </c>
      <c r="C6" t="inlineStr">
        <is>
          <t>AC</t>
        </is>
      </c>
      <c r="D6" t="inlineStr">
        <is>
          <t>Utility feed B</t>
        </is>
      </c>
      <c r="E6" t="inlineStr">
        <is>
          <t>321 A · 415 V</t>
        </is>
      </c>
      <c r="F6" t="n">
        <v>231</v>
      </c>
      <c r="G6" t="inlineStr">
        <is>
          <t>Standby</t>
        </is>
      </c>
    </row>
    <row r="7">
      <c r="A7" t="inlineStr">
        <is>
          <t>MH-DC-002-DC-1</t>
        </is>
      </c>
      <c r="B7" t="inlineStr">
        <is>
          <t>MH-DC-002</t>
        </is>
      </c>
      <c r="C7" t="inlineStr">
        <is>
          <t>DC</t>
        </is>
      </c>
      <c r="D7" t="inlineStr">
        <is>
          <t>Rectifier RECT-01</t>
        </is>
      </c>
      <c r="E7" t="inlineStr">
        <is>
          <t>48 V · 2060 A</t>
        </is>
      </c>
      <c r="F7" t="n">
        <v>99</v>
      </c>
      <c r="G7" t="inlineStr">
        <is>
          <t>Active</t>
        </is>
      </c>
    </row>
  </sheetData>
  <autoFilter ref="A1:H7"/>
  <dataValidations count="2">
    <dataValidation sqref="C2:C2000" showDropDown="0" showInputMessage="0" showErrorMessage="1" allowBlank="1" errorTitle="Not an allowed value" error="Pick a value from the list (Lookups → feed_type)." type="list">
      <formula1>=L_feed_type</formula1>
    </dataValidation>
    <dataValidation sqref="G2:G2000" showDropDown="0" showInputMessage="0" showErrorMessage="1" allowBlank="1" errorTitle="Not an allowed value" error="Pick a value from the list (Lookups → feed_role)." type="list">
      <formula1>=L_feed_role</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2E6BD9"/>
    <outlinePr summaryBelow="1" summaryRight="1"/>
    <pageSetUpPr/>
  </sheetPr>
  <dimension ref="A1:J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12" customWidth="1" min="3" max="3"/>
    <col width="10" customWidth="1" min="4" max="4"/>
    <col width="11" customWidth="1" min="5" max="5"/>
    <col width="10" customWidth="1" min="6" max="6"/>
    <col width="11" customWidth="1" min="7" max="7"/>
    <col width="16" customWidth="1" min="8" max="8"/>
    <col width="15" customWidth="1" min="9" max="9"/>
    <col width="25" customWidth="1" min="10" max="10"/>
  </cols>
  <sheetData>
    <row r="1" ht="30" customHeight="1">
      <c r="A1" s="16" t="inlineStr">
        <is>
          <t>ups_id *</t>
        </is>
      </c>
      <c r="B1" s="16" t="inlineStr">
        <is>
          <t>site_id *</t>
        </is>
      </c>
      <c r="C1" s="17" t="inlineStr">
        <is>
          <t>room_id</t>
        </is>
      </c>
      <c r="D1" s="16" t="inlineStr">
        <is>
          <t>name *</t>
        </is>
      </c>
      <c r="E1" s="17" t="inlineStr">
        <is>
          <t>vendor</t>
        </is>
      </c>
      <c r="F1" s="17" t="inlineStr">
        <is>
          <t>model</t>
        </is>
      </c>
      <c r="G1" s="17" t="inlineStr">
        <is>
          <t>serial</t>
        </is>
      </c>
      <c r="H1" s="16" t="inlineStr">
        <is>
          <t>capacity_kw *</t>
        </is>
      </c>
      <c r="I1" s="16" t="inlineStr">
        <is>
          <t>redundancy *</t>
        </is>
      </c>
      <c r="J1" s="16" t="inlineStr">
        <is>
          <t>battery_autonomy_min *</t>
        </is>
      </c>
    </row>
    <row r="2">
      <c r="A2" t="inlineStr">
        <is>
          <t>MH-DC-001-UPS-1</t>
        </is>
      </c>
      <c r="B2" t="inlineStr">
        <is>
          <t>MH-DC-001</t>
        </is>
      </c>
      <c r="D2" t="inlineStr">
        <is>
          <t>UPS-1</t>
        </is>
      </c>
      <c r="H2" t="n">
        <v>130</v>
      </c>
      <c r="I2" t="inlineStr">
        <is>
          <t>N+1</t>
        </is>
      </c>
      <c r="J2" t="n">
        <v>15</v>
      </c>
    </row>
    <row r="3">
      <c r="A3" t="inlineStr">
        <is>
          <t>MH-DC-001-UPS-2</t>
        </is>
      </c>
      <c r="B3" t="inlineStr">
        <is>
          <t>MH-DC-001</t>
        </is>
      </c>
      <c r="D3" t="inlineStr">
        <is>
          <t>UPS-2</t>
        </is>
      </c>
      <c r="H3" t="n">
        <v>130</v>
      </c>
      <c r="I3" t="inlineStr">
        <is>
          <t>N+1</t>
        </is>
      </c>
      <c r="J3" t="n">
        <v>16</v>
      </c>
    </row>
    <row r="4">
      <c r="A4" t="inlineStr">
        <is>
          <t>MH-DC-001-UPS-3</t>
        </is>
      </c>
      <c r="B4" t="inlineStr">
        <is>
          <t>MH-DC-001</t>
        </is>
      </c>
      <c r="D4" t="inlineStr">
        <is>
          <t>UPS-3</t>
        </is>
      </c>
      <c r="H4" t="n">
        <v>130</v>
      </c>
      <c r="I4" t="inlineStr">
        <is>
          <t>N+1</t>
        </is>
      </c>
      <c r="J4" t="n">
        <v>23</v>
      </c>
    </row>
    <row r="5">
      <c r="A5" t="inlineStr">
        <is>
          <t>MH-DC-001-UPS-4</t>
        </is>
      </c>
      <c r="B5" t="inlineStr">
        <is>
          <t>MH-DC-001</t>
        </is>
      </c>
      <c r="D5" t="inlineStr">
        <is>
          <t>UPS-4</t>
        </is>
      </c>
      <c r="H5" t="n">
        <v>130</v>
      </c>
      <c r="I5" t="inlineStr">
        <is>
          <t>N+1</t>
        </is>
      </c>
      <c r="J5" t="n">
        <v>18</v>
      </c>
    </row>
    <row r="6">
      <c r="A6" t="inlineStr">
        <is>
          <t>MH-DC-002-UPS-1</t>
        </is>
      </c>
      <c r="B6" t="inlineStr">
        <is>
          <t>MH-DC-002</t>
        </is>
      </c>
      <c r="D6" t="inlineStr">
        <is>
          <t>UPS-1</t>
        </is>
      </c>
      <c r="H6" t="n">
        <v>110</v>
      </c>
      <c r="I6" t="inlineStr">
        <is>
          <t>N+1</t>
        </is>
      </c>
      <c r="J6" t="n">
        <v>26</v>
      </c>
    </row>
    <row r="7">
      <c r="A7" t="inlineStr">
        <is>
          <t>MH-DC-002-UPS-2</t>
        </is>
      </c>
      <c r="B7" t="inlineStr">
        <is>
          <t>MH-DC-002</t>
        </is>
      </c>
      <c r="D7" t="inlineStr">
        <is>
          <t>UPS-2</t>
        </is>
      </c>
      <c r="H7" t="n">
        <v>110</v>
      </c>
      <c r="I7" t="inlineStr">
        <is>
          <t>N+1</t>
        </is>
      </c>
      <c r="J7" t="n">
        <v>26</v>
      </c>
    </row>
    <row r="8">
      <c r="A8" t="inlineStr">
        <is>
          <t>MH-DC-002-UPS-3</t>
        </is>
      </c>
      <c r="B8" t="inlineStr">
        <is>
          <t>MH-DC-002</t>
        </is>
      </c>
      <c r="D8" t="inlineStr">
        <is>
          <t>UPS-3</t>
        </is>
      </c>
      <c r="H8" t="n">
        <v>110</v>
      </c>
      <c r="I8" t="inlineStr">
        <is>
          <t>N+1</t>
        </is>
      </c>
      <c r="J8" t="n">
        <v>15</v>
      </c>
    </row>
    <row r="9">
      <c r="A9" t="inlineStr">
        <is>
          <t>MH-DC-002-UPS-4</t>
        </is>
      </c>
      <c r="B9" t="inlineStr">
        <is>
          <t>MH-DC-002</t>
        </is>
      </c>
      <c r="D9" t="inlineStr">
        <is>
          <t>UPS-4</t>
        </is>
      </c>
      <c r="H9" t="n">
        <v>110</v>
      </c>
      <c r="I9" t="inlineStr">
        <is>
          <t>N+1</t>
        </is>
      </c>
      <c r="J9" t="n">
        <v>16</v>
      </c>
    </row>
  </sheetData>
  <autoFilter ref="A1:J9"/>
  <dataValidations count="1">
    <dataValidation sqref="I2:I2000" showDropDown="0" showInputMessage="0" showErrorMessage="1" allowBlank="1" errorTitle="Not an allowed value" error="Pick a value from the list (Lookups → redundancy)." type="list">
      <formula1>=L_redundancy</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2E6BD9"/>
    <outlinePr summaryBelow="1" summaryRight="1"/>
    <pageSetUpPr/>
  </sheetPr>
  <dimension ref="A1:H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10" customWidth="1" min="3" max="3"/>
    <col width="10" customWidth="1" min="4" max="4"/>
    <col width="21" customWidth="1" min="5" max="5"/>
    <col width="24" customWidth="1" min="6" max="6"/>
    <col width="19" customWidth="1" min="7" max="7"/>
    <col width="21" customWidth="1" min="8" max="8"/>
  </cols>
  <sheetData>
    <row r="1" ht="30" customHeight="1">
      <c r="A1" s="16" t="inlineStr">
        <is>
          <t>dg_id *</t>
        </is>
      </c>
      <c r="B1" s="16" t="inlineStr">
        <is>
          <t>site_id *</t>
        </is>
      </c>
      <c r="C1" s="16" t="inlineStr">
        <is>
          <t>name *</t>
        </is>
      </c>
      <c r="D1" s="16" t="inlineStr">
        <is>
          <t>kva *</t>
        </is>
      </c>
      <c r="E1" s="17" t="inlineStr">
        <is>
          <t>fuel_tank_litres</t>
        </is>
      </c>
      <c r="F1" s="16" t="inlineStr">
        <is>
          <t>runtime_h_full_load *</t>
        </is>
      </c>
      <c r="G1" s="17" t="inlineStr">
        <is>
          <t>last_test_date</t>
        </is>
      </c>
      <c r="H1" s="17" t="inlineStr">
        <is>
          <t>last_test_result</t>
        </is>
      </c>
    </row>
    <row r="2">
      <c r="A2" t="inlineStr">
        <is>
          <t>MH-DC-001-DG-1</t>
        </is>
      </c>
      <c r="B2" t="inlineStr">
        <is>
          <t>MH-DC-001</t>
        </is>
      </c>
      <c r="C2" t="inlineStr">
        <is>
          <t>DG-1</t>
        </is>
      </c>
      <c r="D2" t="n">
        <v>500</v>
      </c>
      <c r="F2" t="n">
        <v>10</v>
      </c>
      <c r="G2" s="18" t="n">
        <v>46261</v>
      </c>
      <c r="H2" t="inlineStr">
        <is>
          <t>Pass</t>
        </is>
      </c>
    </row>
    <row r="3">
      <c r="A3" t="inlineStr">
        <is>
          <t>MH-DC-002-DG-1</t>
        </is>
      </c>
      <c r="B3" t="inlineStr">
        <is>
          <t>MH-DC-002</t>
        </is>
      </c>
      <c r="C3" t="inlineStr">
        <is>
          <t>DG-1</t>
        </is>
      </c>
      <c r="D3" t="n">
        <v>425</v>
      </c>
      <c r="F3" t="n">
        <v>12</v>
      </c>
      <c r="G3" s="18" t="n">
        <v>46282</v>
      </c>
      <c r="H3" t="inlineStr">
        <is>
          <t>Pass</t>
        </is>
      </c>
    </row>
  </sheetData>
  <autoFilter ref="A1:H3"/>
  <dataValidations count="1">
    <dataValidation sqref="H2:H2000" showDropDown="0" showInputMessage="0" showErrorMessage="1" allowBlank="1" errorTitle="Not an allowed value" error="Pick a value from the list (Lookups → test_result)." type="list">
      <formula1>=L_test_result</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2E6BD9"/>
    <outlinePr summaryBelow="1" summaryRight="1"/>
    <pageSetUpPr/>
  </sheetPr>
  <dimension ref="A1:K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9" customWidth="1" min="1" max="1"/>
    <col width="12" customWidth="1" min="2" max="2"/>
    <col width="12" customWidth="1" min="3" max="3"/>
    <col width="14" customWidth="1" min="4" max="4"/>
    <col width="10" customWidth="1" min="5" max="5"/>
    <col width="10" customWidth="1" min="6" max="6"/>
    <col width="10" customWidth="1" min="7" max="7"/>
    <col width="17" customWidth="1" min="8" max="8"/>
    <col width="16" customWidth="1" min="9" max="9"/>
    <col width="15" customWidth="1" min="10" max="10"/>
    <col width="19" customWidth="1" min="11" max="11"/>
  </cols>
  <sheetData>
    <row r="1" ht="30" customHeight="1">
      <c r="A1" s="16" t="inlineStr">
        <is>
          <t>plant_id *</t>
        </is>
      </c>
      <c r="B1" s="16" t="inlineStr">
        <is>
          <t>site_id *</t>
        </is>
      </c>
      <c r="C1" s="17" t="inlineStr">
        <is>
          <t>room_id</t>
        </is>
      </c>
      <c r="D1" s="16" t="inlineStr">
        <is>
          <t>kind *</t>
        </is>
      </c>
      <c r="E1" s="16" t="inlineStr">
        <is>
          <t>name *</t>
        </is>
      </c>
      <c r="F1" s="19" t="inlineStr">
        <is>
          <t>volts</t>
        </is>
      </c>
      <c r="G1" s="19" t="inlineStr">
        <is>
          <t>ah</t>
        </is>
      </c>
      <c r="H1" s="19" t="inlineStr">
        <is>
          <t>rated_output</t>
        </is>
      </c>
      <c r="I1" s="19" t="inlineStr">
        <is>
          <t>capacity_kw</t>
        </is>
      </c>
      <c r="J1" s="19" t="inlineStr">
        <is>
          <t>autonomy_h</t>
        </is>
      </c>
      <c r="K1" s="17" t="inlineStr">
        <is>
          <t>last_test_date</t>
        </is>
      </c>
    </row>
    <row r="2">
      <c r="A2" t="inlineStr">
        <is>
          <t>MH-DC-001-RECT-01</t>
        </is>
      </c>
      <c r="B2" t="inlineStr">
        <is>
          <t>MH-DC-001</t>
        </is>
      </c>
      <c r="D2" t="inlineStr">
        <is>
          <t>Rectifier</t>
        </is>
      </c>
      <c r="E2" t="inlineStr">
        <is>
          <t>RECT-01</t>
        </is>
      </c>
      <c r="H2" t="inlineStr">
        <is>
          <t>48 V · 2440 A</t>
        </is>
      </c>
      <c r="I2" t="n">
        <v>117</v>
      </c>
      <c r="K2" s="18" t="n"/>
    </row>
    <row r="3">
      <c r="A3" t="inlineStr">
        <is>
          <t>MH-DC-001-BATT-01</t>
        </is>
      </c>
      <c r="B3" t="inlineStr">
        <is>
          <t>MH-DC-001</t>
        </is>
      </c>
      <c r="D3" t="inlineStr">
        <is>
          <t>Battery bank</t>
        </is>
      </c>
      <c r="E3" t="inlineStr">
        <is>
          <t>BATT-01</t>
        </is>
      </c>
      <c r="F3" t="n">
        <v>48</v>
      </c>
      <c r="G3" t="n">
        <v>2400</v>
      </c>
      <c r="J3" t="n">
        <v>3.4</v>
      </c>
      <c r="K3" s="18" t="n">
        <v>46256</v>
      </c>
    </row>
    <row r="4">
      <c r="A4" t="inlineStr">
        <is>
          <t>MH-DC-002-RECT-01</t>
        </is>
      </c>
      <c r="B4" t="inlineStr">
        <is>
          <t>MH-DC-002</t>
        </is>
      </c>
      <c r="D4" t="inlineStr">
        <is>
          <t>Rectifier</t>
        </is>
      </c>
      <c r="E4" t="inlineStr">
        <is>
          <t>RECT-01</t>
        </is>
      </c>
      <c r="H4" t="inlineStr">
        <is>
          <t>48 V · 2060 A</t>
        </is>
      </c>
      <c r="I4" t="n">
        <v>99</v>
      </c>
      <c r="K4" s="18" t="n"/>
    </row>
    <row r="5">
      <c r="A5" t="inlineStr">
        <is>
          <t>MH-DC-002-BATT-01</t>
        </is>
      </c>
      <c r="B5" t="inlineStr">
        <is>
          <t>MH-DC-002</t>
        </is>
      </c>
      <c r="D5" t="inlineStr">
        <is>
          <t>Battery bank</t>
        </is>
      </c>
      <c r="E5" t="inlineStr">
        <is>
          <t>BATT-01</t>
        </is>
      </c>
      <c r="F5" t="n">
        <v>48</v>
      </c>
      <c r="G5" t="n">
        <v>2000</v>
      </c>
      <c r="J5" t="n">
        <v>3.8</v>
      </c>
      <c r="K5" s="18" t="n">
        <v>46229</v>
      </c>
    </row>
  </sheetData>
  <autoFilter ref="A1:K5"/>
  <dataValidations count="1">
    <dataValidation sqref="D2:D2000" showDropDown="0" showInputMessage="0" showErrorMessage="1" allowBlank="1" errorTitle="Not an allowed value" error="Pick a value from the list (Lookups → plant_kind)." type="list">
      <formula1>=L_plant_kind</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2E6BD9"/>
    <outlinePr summaryBelow="1" summaryRight="1"/>
    <pageSetUpPr/>
  </sheetPr>
  <dimension ref="A1:I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9" customWidth="1" min="1" max="1"/>
    <col width="12" customWidth="1" min="2" max="2"/>
    <col width="17" customWidth="1" min="3" max="3"/>
    <col width="10" customWidth="1" min="4" max="4"/>
    <col width="10" customWidth="1" min="5" max="5"/>
    <col width="11" customWidth="1" min="6" max="6"/>
    <col width="10" customWidth="1" min="7" max="7"/>
    <col width="16" customWidth="1" min="8" max="8"/>
    <col width="20" customWidth="1" min="9" max="9"/>
  </cols>
  <sheetData>
    <row r="1" ht="30" customHeight="1">
      <c r="A1" s="16" t="inlineStr">
        <is>
          <t>unit_id *</t>
        </is>
      </c>
      <c r="B1" s="16" t="inlineStr">
        <is>
          <t>site_id *</t>
        </is>
      </c>
      <c r="C1" s="16" t="inlineStr">
        <is>
          <t>room_id *</t>
        </is>
      </c>
      <c r="D1" s="16" t="inlineStr">
        <is>
          <t>name *</t>
        </is>
      </c>
      <c r="E1" s="16" t="inlineStr">
        <is>
          <t>type *</t>
        </is>
      </c>
      <c r="F1" s="17" t="inlineStr">
        <is>
          <t>vendor</t>
        </is>
      </c>
      <c r="G1" s="17" t="inlineStr">
        <is>
          <t>model</t>
        </is>
      </c>
      <c r="H1" s="16" t="inlineStr">
        <is>
          <t>capacity_kw *</t>
        </is>
      </c>
      <c r="I1" s="17" t="inlineStr">
        <is>
          <t>design_supply_c</t>
        </is>
      </c>
    </row>
    <row r="2">
      <c r="A2" t="inlineStr">
        <is>
          <t>MH-DC-001-CRAH-11</t>
        </is>
      </c>
      <c r="B2" t="inlineStr">
        <is>
          <t>MH-DC-001</t>
        </is>
      </c>
      <c r="C2" t="inlineStr">
        <is>
          <t>MH-DC-001-F0-R1</t>
        </is>
      </c>
      <c r="D2" t="inlineStr">
        <is>
          <t>CRAH-11</t>
        </is>
      </c>
      <c r="E2" t="inlineStr">
        <is>
          <t>CRAH</t>
        </is>
      </c>
      <c r="H2" t="n">
        <v>30</v>
      </c>
      <c r="I2" t="n">
        <v>18</v>
      </c>
    </row>
    <row r="3">
      <c r="A3" t="inlineStr">
        <is>
          <t>MH-DC-001-CRAH-12</t>
        </is>
      </c>
      <c r="B3" t="inlineStr">
        <is>
          <t>MH-DC-001</t>
        </is>
      </c>
      <c r="C3" t="inlineStr">
        <is>
          <t>MH-DC-001-F0-R2</t>
        </is>
      </c>
      <c r="D3" t="inlineStr">
        <is>
          <t>CRAH-12</t>
        </is>
      </c>
      <c r="E3" t="inlineStr">
        <is>
          <t>CRAH</t>
        </is>
      </c>
      <c r="H3" t="n">
        <v>30</v>
      </c>
      <c r="I3" t="n">
        <v>18</v>
      </c>
    </row>
    <row r="4">
      <c r="A4" t="inlineStr">
        <is>
          <t>MH-DC-001-CRAH-13</t>
        </is>
      </c>
      <c r="B4" t="inlineStr">
        <is>
          <t>MH-DC-001</t>
        </is>
      </c>
      <c r="C4" t="inlineStr">
        <is>
          <t>MH-DC-001-F1-R1</t>
        </is>
      </c>
      <c r="D4" t="inlineStr">
        <is>
          <t>CRAH-13</t>
        </is>
      </c>
      <c r="E4" t="inlineStr">
        <is>
          <t>CRAH</t>
        </is>
      </c>
      <c r="H4" t="n">
        <v>30</v>
      </c>
      <c r="I4" t="n">
        <v>17</v>
      </c>
    </row>
    <row r="5">
      <c r="A5" t="inlineStr">
        <is>
          <t>MH-DC-001-CRAH-14</t>
        </is>
      </c>
      <c r="B5" t="inlineStr">
        <is>
          <t>MH-DC-001</t>
        </is>
      </c>
      <c r="C5" t="inlineStr">
        <is>
          <t>MH-DC-001-F1-R2</t>
        </is>
      </c>
      <c r="D5" t="inlineStr">
        <is>
          <t>CRAH-14</t>
        </is>
      </c>
      <c r="E5" t="inlineStr">
        <is>
          <t>CRAH</t>
        </is>
      </c>
      <c r="H5" t="n">
        <v>30</v>
      </c>
      <c r="I5" t="n">
        <v>20</v>
      </c>
    </row>
    <row r="6">
      <c r="A6" t="inlineStr">
        <is>
          <t>MH-DC-001-CRAH-15</t>
        </is>
      </c>
      <c r="B6" t="inlineStr">
        <is>
          <t>MH-DC-001</t>
        </is>
      </c>
      <c r="C6" t="inlineStr">
        <is>
          <t>MH-DC-001-F0-R1</t>
        </is>
      </c>
      <c r="D6" t="inlineStr">
        <is>
          <t>CRAH-15</t>
        </is>
      </c>
      <c r="E6" t="inlineStr">
        <is>
          <t>CRAC</t>
        </is>
      </c>
      <c r="H6" t="n">
        <v>30</v>
      </c>
      <c r="I6" t="n">
        <v>20</v>
      </c>
    </row>
    <row r="7">
      <c r="A7" t="inlineStr">
        <is>
          <t>MH-DC-001-CRAH-16</t>
        </is>
      </c>
      <c r="B7" t="inlineStr">
        <is>
          <t>MH-DC-001</t>
        </is>
      </c>
      <c r="C7" t="inlineStr">
        <is>
          <t>MH-DC-001-F0-R2</t>
        </is>
      </c>
      <c r="D7" t="inlineStr">
        <is>
          <t>CRAH-16</t>
        </is>
      </c>
      <c r="E7" t="inlineStr">
        <is>
          <t>CRAH</t>
        </is>
      </c>
      <c r="H7" t="n">
        <v>30</v>
      </c>
      <c r="I7" t="n">
        <v>18</v>
      </c>
    </row>
    <row r="8">
      <c r="A8" t="inlineStr">
        <is>
          <t>MH-DC-001-CRAH-17</t>
        </is>
      </c>
      <c r="B8" t="inlineStr">
        <is>
          <t>MH-DC-001</t>
        </is>
      </c>
      <c r="C8" t="inlineStr">
        <is>
          <t>MH-DC-001-F1-R1</t>
        </is>
      </c>
      <c r="D8" t="inlineStr">
        <is>
          <t>CRAH-17</t>
        </is>
      </c>
      <c r="E8" t="inlineStr">
        <is>
          <t>CRAH</t>
        </is>
      </c>
      <c r="H8" t="n">
        <v>30</v>
      </c>
      <c r="I8" t="n">
        <v>18</v>
      </c>
    </row>
    <row r="9">
      <c r="A9" t="inlineStr">
        <is>
          <t>MH-DC-001-CRAH-18</t>
        </is>
      </c>
      <c r="B9" t="inlineStr">
        <is>
          <t>MH-DC-001</t>
        </is>
      </c>
      <c r="C9" t="inlineStr">
        <is>
          <t>MH-DC-001-F1-R2</t>
        </is>
      </c>
      <c r="D9" t="inlineStr">
        <is>
          <t>CRAH-18</t>
        </is>
      </c>
      <c r="E9" t="inlineStr">
        <is>
          <t>CRAH</t>
        </is>
      </c>
      <c r="H9" t="n">
        <v>30</v>
      </c>
      <c r="I9" t="n">
        <v>19</v>
      </c>
    </row>
    <row r="10">
      <c r="A10" t="inlineStr">
        <is>
          <t>MH-DC-002-CRAH-11</t>
        </is>
      </c>
      <c r="B10" t="inlineStr">
        <is>
          <t>MH-DC-002</t>
        </is>
      </c>
      <c r="C10" t="inlineStr">
        <is>
          <t>MH-DC-002-F0-R1</t>
        </is>
      </c>
      <c r="D10" t="inlineStr">
        <is>
          <t>CRAH-11</t>
        </is>
      </c>
      <c r="E10" t="inlineStr">
        <is>
          <t>CRAH</t>
        </is>
      </c>
      <c r="H10" t="n">
        <v>24</v>
      </c>
      <c r="I10" t="n">
        <v>20</v>
      </c>
    </row>
    <row r="11">
      <c r="A11" t="inlineStr">
        <is>
          <t>MH-DC-002-CRAH-12</t>
        </is>
      </c>
      <c r="B11" t="inlineStr">
        <is>
          <t>MH-DC-002</t>
        </is>
      </c>
      <c r="C11" t="inlineStr">
        <is>
          <t>MH-DC-002-F0-R2</t>
        </is>
      </c>
      <c r="D11" t="inlineStr">
        <is>
          <t>CRAH-12</t>
        </is>
      </c>
      <c r="E11" t="inlineStr">
        <is>
          <t>CRAH</t>
        </is>
      </c>
      <c r="H11" t="n">
        <v>24</v>
      </c>
      <c r="I11" t="n">
        <v>18</v>
      </c>
    </row>
    <row r="12">
      <c r="A12" t="inlineStr">
        <is>
          <t>MH-DC-002-CRAH-13</t>
        </is>
      </c>
      <c r="B12" t="inlineStr">
        <is>
          <t>MH-DC-002</t>
        </is>
      </c>
      <c r="C12" t="inlineStr">
        <is>
          <t>MH-DC-002-F1-R1</t>
        </is>
      </c>
      <c r="D12" t="inlineStr">
        <is>
          <t>CRAH-13</t>
        </is>
      </c>
      <c r="E12" t="inlineStr">
        <is>
          <t>CRAH</t>
        </is>
      </c>
      <c r="H12" t="n">
        <v>24</v>
      </c>
      <c r="I12" t="n">
        <v>20</v>
      </c>
    </row>
    <row r="13">
      <c r="A13" t="inlineStr">
        <is>
          <t>MH-DC-002-CRAH-14</t>
        </is>
      </c>
      <c r="B13" t="inlineStr">
        <is>
          <t>MH-DC-002</t>
        </is>
      </c>
      <c r="C13" t="inlineStr">
        <is>
          <t>MH-DC-002-F1-R2</t>
        </is>
      </c>
      <c r="D13" t="inlineStr">
        <is>
          <t>CRAH-14</t>
        </is>
      </c>
      <c r="E13" t="inlineStr">
        <is>
          <t>CRAH</t>
        </is>
      </c>
      <c r="H13" t="n">
        <v>24</v>
      </c>
      <c r="I13" t="n">
        <v>19</v>
      </c>
    </row>
    <row r="14">
      <c r="A14" t="inlineStr">
        <is>
          <t>MH-DC-002-CRAH-15</t>
        </is>
      </c>
      <c r="B14" t="inlineStr">
        <is>
          <t>MH-DC-002</t>
        </is>
      </c>
      <c r="C14" t="inlineStr">
        <is>
          <t>MH-DC-002-F0-R1</t>
        </is>
      </c>
      <c r="D14" t="inlineStr">
        <is>
          <t>CRAH-15</t>
        </is>
      </c>
      <c r="E14" t="inlineStr">
        <is>
          <t>CRAC</t>
        </is>
      </c>
      <c r="H14" t="n">
        <v>24</v>
      </c>
      <c r="I14" t="n">
        <v>18</v>
      </c>
    </row>
    <row r="15">
      <c r="A15" t="inlineStr">
        <is>
          <t>MH-DC-002-CRAH-16</t>
        </is>
      </c>
      <c r="B15" t="inlineStr">
        <is>
          <t>MH-DC-002</t>
        </is>
      </c>
      <c r="C15" t="inlineStr">
        <is>
          <t>MH-DC-002-F0-R2</t>
        </is>
      </c>
      <c r="D15" t="inlineStr">
        <is>
          <t>CRAH-16</t>
        </is>
      </c>
      <c r="E15" t="inlineStr">
        <is>
          <t>CRAH</t>
        </is>
      </c>
      <c r="H15" t="n">
        <v>24</v>
      </c>
      <c r="I15" t="n">
        <v>18</v>
      </c>
    </row>
    <row r="16">
      <c r="A16" t="inlineStr">
        <is>
          <t>MH-DC-002-CRAH-17</t>
        </is>
      </c>
      <c r="B16" t="inlineStr">
        <is>
          <t>MH-DC-002</t>
        </is>
      </c>
      <c r="C16" t="inlineStr">
        <is>
          <t>MH-DC-002-F1-R1</t>
        </is>
      </c>
      <c r="D16" t="inlineStr">
        <is>
          <t>CRAH-17</t>
        </is>
      </c>
      <c r="E16" t="inlineStr">
        <is>
          <t>CRAH</t>
        </is>
      </c>
      <c r="H16" t="n">
        <v>24</v>
      </c>
      <c r="I16" t="n">
        <v>19</v>
      </c>
    </row>
    <row r="17">
      <c r="A17" t="inlineStr">
        <is>
          <t>MH-DC-002-CRAH-18</t>
        </is>
      </c>
      <c r="B17" t="inlineStr">
        <is>
          <t>MH-DC-002</t>
        </is>
      </c>
      <c r="C17" t="inlineStr">
        <is>
          <t>MH-DC-002-F1-R2</t>
        </is>
      </c>
      <c r="D17" t="inlineStr">
        <is>
          <t>CRAH-18</t>
        </is>
      </c>
      <c r="E17" t="inlineStr">
        <is>
          <t>CRAH</t>
        </is>
      </c>
      <c r="H17" t="n">
        <v>24</v>
      </c>
      <c r="I17" t="n">
        <v>19</v>
      </c>
    </row>
    <row r="18">
      <c r="A18" t="inlineStr">
        <is>
          <t>MH-DC-002-CDU-1</t>
        </is>
      </c>
      <c r="B18" t="inlineStr">
        <is>
          <t>MH-DC-002</t>
        </is>
      </c>
      <c r="C18" t="inlineStr">
        <is>
          <t>MH-DC-002-F0-R1</t>
        </is>
      </c>
      <c r="D18" t="inlineStr">
        <is>
          <t>CDU-1</t>
        </is>
      </c>
      <c r="E18" t="inlineStr">
        <is>
          <t>CDU</t>
        </is>
      </c>
      <c r="H18" t="n">
        <v>150</v>
      </c>
      <c r="I18" t="n">
        <v>26.8</v>
      </c>
    </row>
  </sheetData>
  <autoFilter ref="A1:I18"/>
  <dataValidations count="1">
    <dataValidation sqref="E2:E2000" showDropDown="0" showInputMessage="0" showErrorMessage="1" allowBlank="1" errorTitle="Not an allowed value" error="Pick a value from the list (Lookups → cooling_type)." type="list">
      <formula1>=L_cooling_type</formula1>
    </dataValidation>
  </dataValidation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tabColor rgb="002E6BD9"/>
    <outlinePr summaryBelow="1" summaryRight="1"/>
    <pageSetUpPr/>
  </sheetPr>
  <dimension ref="A1:H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17" customWidth="1" min="3" max="3"/>
    <col width="10" customWidth="1" min="4" max="4"/>
    <col width="16" customWidth="1" min="5" max="5"/>
    <col width="21" customWidth="1" min="6" max="6"/>
    <col width="20" customWidth="1" min="7" max="7"/>
    <col width="24" customWidth="1" min="8" max="8"/>
  </cols>
  <sheetData>
    <row r="1" ht="30" customHeight="1">
      <c r="A1" s="16" t="inlineStr">
        <is>
          <t>cdu_id *</t>
        </is>
      </c>
      <c r="B1" s="16" t="inlineStr">
        <is>
          <t>site_id *</t>
        </is>
      </c>
      <c r="C1" s="16" t="inlineStr">
        <is>
          <t>room_id *</t>
        </is>
      </c>
      <c r="D1" s="16" t="inlineStr">
        <is>
          <t>name *</t>
        </is>
      </c>
      <c r="E1" s="16" t="inlineStr">
        <is>
          <t>capacity_kw *</t>
        </is>
      </c>
      <c r="F1" s="16" t="inlineStr">
        <is>
          <t>nominal_flow_lpm *</t>
        </is>
      </c>
      <c r="G1" s="17" t="inlineStr">
        <is>
          <t>design_supply_c</t>
        </is>
      </c>
      <c r="H1" s="20" t="inlineStr">
        <is>
          <t>racks_served (calc)</t>
        </is>
      </c>
    </row>
    <row r="2">
      <c r="A2" t="inlineStr">
        <is>
          <t>MH-DC-002-CDU-1</t>
        </is>
      </c>
      <c r="B2" t="inlineStr">
        <is>
          <t>MH-DC-002</t>
        </is>
      </c>
      <c r="C2" t="inlineStr">
        <is>
          <t>MH-DC-002-F0-R1</t>
        </is>
      </c>
      <c r="D2" t="inlineStr">
        <is>
          <t>CDU-1</t>
        </is>
      </c>
      <c r="E2" t="n">
        <v>150</v>
      </c>
      <c r="F2" t="n">
        <v>220</v>
      </c>
      <c r="G2" t="n">
        <v>26.8</v>
      </c>
      <c r="H2" s="21">
        <f>COUNTIF('Racks'!$O$2:$O$2000,A2)</f>
        <v/>
      </c>
    </row>
  </sheetData>
  <autoFilter ref="A1:H2"/>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tabColor rgb="002E6BD9"/>
    <outlinePr summaryBelow="1" summaryRight="1"/>
    <pageSetUpPr/>
  </sheetPr>
  <dimension ref="A1:F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17" customWidth="1" min="3" max="3"/>
    <col width="24" customWidth="1" min="4" max="4"/>
    <col width="13" customWidth="1" min="5" max="5"/>
    <col width="14" customWidth="1" min="6" max="6"/>
  </cols>
  <sheetData>
    <row r="1" ht="30" customHeight="1">
      <c r="A1" s="16" t="inlineStr">
        <is>
          <t>sensor_id *</t>
        </is>
      </c>
      <c r="B1" s="16" t="inlineStr">
        <is>
          <t>site_id *</t>
        </is>
      </c>
      <c r="C1" s="16" t="inlineStr">
        <is>
          <t>room_id *</t>
        </is>
      </c>
      <c r="D1" s="16" t="inlineStr">
        <is>
          <t>kind *</t>
        </is>
      </c>
      <c r="E1" s="17" t="inlineStr">
        <is>
          <t>position</t>
        </is>
      </c>
      <c r="F1" s="17" t="inlineStr">
        <is>
          <t>bms_point</t>
        </is>
      </c>
    </row>
    <row r="2">
      <c r="A2" t="inlineStr">
        <is>
          <t>MH-DC-001-ENV-1</t>
        </is>
      </c>
      <c r="B2" t="inlineStr">
        <is>
          <t>MH-DC-001</t>
        </is>
      </c>
      <c r="C2" t="inlineStr">
        <is>
          <t>MH-DC-001-F0-R1</t>
        </is>
      </c>
      <c r="D2" t="inlineStr">
        <is>
          <t>Temperature + humidity</t>
        </is>
      </c>
    </row>
    <row r="3">
      <c r="A3" t="inlineStr">
        <is>
          <t>MH-DC-001-ENV-2</t>
        </is>
      </c>
      <c r="B3" t="inlineStr">
        <is>
          <t>MH-DC-001</t>
        </is>
      </c>
      <c r="C3" t="inlineStr">
        <is>
          <t>MH-DC-001-F0-R2</t>
        </is>
      </c>
      <c r="D3" t="inlineStr">
        <is>
          <t>Temperature + humidity</t>
        </is>
      </c>
    </row>
    <row r="4">
      <c r="A4" t="inlineStr">
        <is>
          <t>MH-DC-001-ENV-3</t>
        </is>
      </c>
      <c r="B4" t="inlineStr">
        <is>
          <t>MH-DC-001</t>
        </is>
      </c>
      <c r="C4" t="inlineStr">
        <is>
          <t>MH-DC-001-F1-R1</t>
        </is>
      </c>
      <c r="D4" t="inlineStr">
        <is>
          <t>Temperature + humidity</t>
        </is>
      </c>
    </row>
    <row r="5">
      <c r="A5" t="inlineStr">
        <is>
          <t>MH-DC-001-ENV-4</t>
        </is>
      </c>
      <c r="B5" t="inlineStr">
        <is>
          <t>MH-DC-001</t>
        </is>
      </c>
      <c r="C5" t="inlineStr">
        <is>
          <t>MH-DC-001-F1-R2</t>
        </is>
      </c>
      <c r="D5" t="inlineStr">
        <is>
          <t>Temperature + humidity</t>
        </is>
      </c>
    </row>
    <row r="6">
      <c r="A6" t="inlineStr">
        <is>
          <t>MH-DC-002-ENV-1</t>
        </is>
      </c>
      <c r="B6" t="inlineStr">
        <is>
          <t>MH-DC-002</t>
        </is>
      </c>
      <c r="C6" t="inlineStr">
        <is>
          <t>MH-DC-002-F0-R1</t>
        </is>
      </c>
      <c r="D6" t="inlineStr">
        <is>
          <t>Temperature + humidity</t>
        </is>
      </c>
    </row>
    <row r="7">
      <c r="A7" t="inlineStr">
        <is>
          <t>MH-DC-002-ENV-2</t>
        </is>
      </c>
      <c r="B7" t="inlineStr">
        <is>
          <t>MH-DC-002</t>
        </is>
      </c>
      <c r="C7" t="inlineStr">
        <is>
          <t>MH-DC-002-F0-R2</t>
        </is>
      </c>
      <c r="D7" t="inlineStr">
        <is>
          <t>Temperature + humidity</t>
        </is>
      </c>
    </row>
    <row r="8">
      <c r="A8" t="inlineStr">
        <is>
          <t>MH-DC-002-ENV-3</t>
        </is>
      </c>
      <c r="B8" t="inlineStr">
        <is>
          <t>MH-DC-002</t>
        </is>
      </c>
      <c r="C8" t="inlineStr">
        <is>
          <t>MH-DC-002-F1-R1</t>
        </is>
      </c>
      <c r="D8" t="inlineStr">
        <is>
          <t>Temperature + humidity</t>
        </is>
      </c>
    </row>
    <row r="9">
      <c r="A9" t="inlineStr">
        <is>
          <t>MH-DC-002-ENV-4</t>
        </is>
      </c>
      <c r="B9" t="inlineStr">
        <is>
          <t>MH-DC-002</t>
        </is>
      </c>
      <c r="C9" t="inlineStr">
        <is>
          <t>MH-DC-002-F1-R2</t>
        </is>
      </c>
      <c r="D9" t="inlineStr">
        <is>
          <t>Temperature + humidity</t>
        </is>
      </c>
    </row>
  </sheetData>
  <autoFilter ref="A1:F9"/>
  <dataValidations count="1">
    <dataValidation sqref="D2:D2000" showDropDown="0" showInputMessage="0" showErrorMessage="1" allowBlank="1" errorTitle="Not an allowed value" error="Pick a value from the list (Lookups → sensor_kind)." type="list">
      <formula1>=L_sensor_kind</formula1>
    </dataValidation>
  </dataValidation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tabColor rgb="002E6BD9"/>
    <outlinePr summaryBelow="1" summaryRight="1"/>
    <pageSetUpPr/>
  </sheetPr>
  <dimension ref="A1:T18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1" customWidth="1" min="1" max="1"/>
    <col width="12" customWidth="1" min="2" max="2"/>
    <col width="21" customWidth="1" min="3" max="3"/>
    <col width="13" customWidth="1" min="4" max="4"/>
    <col width="10" customWidth="1" min="5" max="5"/>
    <col width="14" customWidth="1" min="6" max="6"/>
    <col width="22" customWidth="1" min="7" max="7"/>
    <col width="17" customWidth="1" min="8" max="8"/>
    <col width="11" customWidth="1" min="9" max="9"/>
    <col width="15" customWidth="1" min="10" max="10"/>
    <col width="19" customWidth="1" min="11" max="11"/>
    <col width="18" customWidth="1" min="12" max="12"/>
    <col width="15" customWidth="1" min="13" max="13"/>
    <col width="11" customWidth="1" min="14" max="14"/>
    <col width="14" customWidth="1" min="15" max="15"/>
    <col width="10" customWidth="1" min="16" max="16"/>
    <col width="23" customWidth="1" min="17" max="17"/>
    <col width="14" customWidth="1" min="18" max="18"/>
    <col width="17" customWidth="1" min="19" max="19"/>
    <col width="13" customWidth="1" min="20" max="20"/>
  </cols>
  <sheetData>
    <row r="1" ht="30" customHeight="1">
      <c r="A1" s="16" t="inlineStr">
        <is>
          <t>device_id *</t>
        </is>
      </c>
      <c r="B1" s="16" t="inlineStr">
        <is>
          <t>site_id *</t>
        </is>
      </c>
      <c r="C1" s="16" t="inlineStr">
        <is>
          <t>hostname *</t>
        </is>
      </c>
      <c r="D1" s="16" t="inlineStr">
        <is>
          <t>role *</t>
        </is>
      </c>
      <c r="E1" s="16" t="inlineStr">
        <is>
          <t>layer *</t>
        </is>
      </c>
      <c r="F1" s="16" t="inlineStr">
        <is>
          <t>vendor *</t>
        </is>
      </c>
      <c r="G1" s="16" t="inlineStr">
        <is>
          <t>model *</t>
        </is>
      </c>
      <c r="H1" s="17" t="inlineStr">
        <is>
          <t>os_version</t>
        </is>
      </c>
      <c r="I1" s="19" t="inlineStr">
        <is>
          <t>serial</t>
        </is>
      </c>
      <c r="J1" s="19" t="inlineStr">
        <is>
          <t>mgmt_ip</t>
        </is>
      </c>
      <c r="K1" s="17" t="inlineStr">
        <is>
          <t>mac</t>
        </is>
      </c>
      <c r="L1" s="16" t="inlineStr">
        <is>
          <t>rack_id *</t>
        </is>
      </c>
      <c r="M1" s="16" t="inlineStr">
        <is>
          <t>u_position *</t>
        </is>
      </c>
      <c r="N1" s="16" t="inlineStr">
        <is>
          <t>u_size *</t>
        </is>
      </c>
      <c r="O1" s="16" t="inlineStr">
        <is>
          <t>lifecycle *</t>
        </is>
      </c>
      <c r="P1" s="16" t="inlineStr">
        <is>
          <t>owner *</t>
        </is>
      </c>
      <c r="Q1" s="19" t="inlineStr">
        <is>
          <t>tenant_customer_id</t>
        </is>
      </c>
      <c r="R1" s="16" t="inlineStr">
        <is>
          <t>monitored *</t>
        </is>
      </c>
      <c r="S1" s="19" t="inlineStr">
        <is>
          <t>collector_id</t>
        </is>
      </c>
      <c r="T1" s="17" t="inlineStr">
        <is>
          <t>wan_edge</t>
        </is>
      </c>
    </row>
    <row r="2">
      <c r="A2" t="inlineStr">
        <is>
          <t>MH-DC-001-PE-T4-01</t>
        </is>
      </c>
      <c r="B2" t="inlineStr">
        <is>
          <t>MH-DC-001</t>
        </is>
      </c>
      <c r="C2" t="inlineStr">
        <is>
          <t>MH-DC-001-PE-T4-01</t>
        </is>
      </c>
      <c r="D2" t="inlineStr">
        <is>
          <t>Router</t>
        </is>
      </c>
      <c r="E2" t="inlineStr">
        <is>
          <t>core</t>
        </is>
      </c>
      <c r="F2" t="inlineStr">
        <is>
          <t>JUNIPER</t>
        </is>
      </c>
      <c r="G2" t="inlineStr">
        <is>
          <t>MX204</t>
        </is>
      </c>
      <c r="H2" t="inlineStr">
        <is>
          <t>21.4R3-S5.5</t>
        </is>
      </c>
      <c r="I2" t="inlineStr">
        <is>
          <t>JU0011000</t>
        </is>
      </c>
      <c r="J2" t="inlineStr">
        <is>
          <t>172.31.40.20</t>
        </is>
      </c>
      <c r="K2" t="inlineStr">
        <is>
          <t>A4:5E:60:16:8F:48</t>
        </is>
      </c>
      <c r="L2" t="inlineStr">
        <is>
          <t>MH-DC-001-RACK-A</t>
        </is>
      </c>
      <c r="M2" t="n">
        <v>2</v>
      </c>
      <c r="N2" t="n">
        <v>1</v>
      </c>
      <c r="O2" t="inlineStr">
        <is>
          <t>Ready</t>
        </is>
      </c>
      <c r="P2" t="inlineStr">
        <is>
          <t>operator</t>
        </is>
      </c>
      <c r="R2" t="inlineStr">
        <is>
          <t>Y</t>
        </is>
      </c>
      <c r="S2" t="inlineStr">
        <is>
          <t>COL-MH-DC-001-2</t>
        </is>
      </c>
      <c r="T2" t="inlineStr">
        <is>
          <t>Y</t>
        </is>
      </c>
    </row>
    <row r="3">
      <c r="A3" t="inlineStr">
        <is>
          <t>MH-DC-001-PE-T4-02</t>
        </is>
      </c>
      <c r="B3" t="inlineStr">
        <is>
          <t>MH-DC-001</t>
        </is>
      </c>
      <c r="C3" t="inlineStr">
        <is>
          <t>MH-DC-001-PE-T4-02</t>
        </is>
      </c>
      <c r="D3" t="inlineStr">
        <is>
          <t>Router</t>
        </is>
      </c>
      <c r="E3" t="inlineStr">
        <is>
          <t>core</t>
        </is>
      </c>
      <c r="F3" t="inlineStr">
        <is>
          <t>JUNIPER</t>
        </is>
      </c>
      <c r="G3" t="inlineStr">
        <is>
          <t>MX204</t>
        </is>
      </c>
      <c r="H3" t="inlineStr">
        <is>
          <t>21.4R3-S5.5</t>
        </is>
      </c>
      <c r="I3" t="inlineStr">
        <is>
          <t>JU0011012</t>
        </is>
      </c>
      <c r="J3" t="inlineStr">
        <is>
          <t>172.16.40.21</t>
        </is>
      </c>
      <c r="K3" t="inlineStr">
        <is>
          <t>A4:5E:60:E4:96:7C</t>
        </is>
      </c>
      <c r="L3" t="inlineStr">
        <is>
          <t>MH-DC-001-RACK-A</t>
        </is>
      </c>
      <c r="M3" t="n">
        <v>3</v>
      </c>
      <c r="N3" t="n">
        <v>1</v>
      </c>
      <c r="O3" t="inlineStr">
        <is>
          <t>Ready</t>
        </is>
      </c>
      <c r="P3" t="inlineStr">
        <is>
          <t>operator</t>
        </is>
      </c>
      <c r="R3" t="inlineStr">
        <is>
          <t>Y</t>
        </is>
      </c>
      <c r="S3" t="inlineStr">
        <is>
          <t>COL-MH-DC-001-1</t>
        </is>
      </c>
      <c r="T3" t="inlineStr">
        <is>
          <t>Y</t>
        </is>
      </c>
    </row>
    <row r="4">
      <c r="A4" t="inlineStr">
        <is>
          <t>MH-DC-001-PE-T4-03</t>
        </is>
      </c>
      <c r="B4" t="inlineStr">
        <is>
          <t>MH-DC-001</t>
        </is>
      </c>
      <c r="C4" t="inlineStr">
        <is>
          <t>MH-DC-001-PE-T4-03</t>
        </is>
      </c>
      <c r="D4" t="inlineStr">
        <is>
          <t>Router</t>
        </is>
      </c>
      <c r="E4" t="inlineStr">
        <is>
          <t>core</t>
        </is>
      </c>
      <c r="F4" t="inlineStr">
        <is>
          <t>CISCO</t>
        </is>
      </c>
      <c r="G4" t="inlineStr">
        <is>
          <t>ASR 9006</t>
        </is>
      </c>
      <c r="H4" t="inlineStr">
        <is>
          <t>IOS XR 7.9.2</t>
        </is>
      </c>
      <c r="I4" t="inlineStr">
        <is>
          <t>CS0011018</t>
        </is>
      </c>
      <c r="J4" t="inlineStr">
        <is>
          <t>172.16.40.22</t>
        </is>
      </c>
      <c r="K4" t="inlineStr">
        <is>
          <t>A4:5E:60:03:E2:69</t>
        </is>
      </c>
      <c r="L4" t="inlineStr">
        <is>
          <t>MH-DC-001-RACK-A</t>
        </is>
      </c>
      <c r="M4" t="n">
        <v>4</v>
      </c>
      <c r="N4" t="n">
        <v>1</v>
      </c>
      <c r="O4" t="inlineStr">
        <is>
          <t>Ready</t>
        </is>
      </c>
      <c r="P4" t="inlineStr">
        <is>
          <t>operator</t>
        </is>
      </c>
      <c r="R4" t="inlineStr">
        <is>
          <t>Y</t>
        </is>
      </c>
      <c r="S4" t="inlineStr">
        <is>
          <t>COL-MH-DC-001-2</t>
        </is>
      </c>
      <c r="T4" t="inlineStr">
        <is>
          <t>Y</t>
        </is>
      </c>
    </row>
    <row r="5">
      <c r="A5" t="inlineStr">
        <is>
          <t>MH-DC-001-PE-T4-04</t>
        </is>
      </c>
      <c r="B5" t="inlineStr">
        <is>
          <t>MH-DC-001</t>
        </is>
      </c>
      <c r="C5" t="inlineStr">
        <is>
          <t>MH-DC-001-PE-T4-04</t>
        </is>
      </c>
      <c r="D5" t="inlineStr">
        <is>
          <t>Router</t>
        </is>
      </c>
      <c r="E5" t="inlineStr">
        <is>
          <t>core</t>
        </is>
      </c>
      <c r="F5" t="inlineStr">
        <is>
          <t>CISCO</t>
        </is>
      </c>
      <c r="G5" t="inlineStr">
        <is>
          <t>ASR 9006</t>
        </is>
      </c>
      <c r="H5" t="inlineStr">
        <is>
          <t>IOS XR 7.9.2</t>
        </is>
      </c>
      <c r="I5" t="inlineStr">
        <is>
          <t>CS0011027</t>
        </is>
      </c>
      <c r="J5" t="inlineStr">
        <is>
          <t>172.16.40.23</t>
        </is>
      </c>
      <c r="K5" t="inlineStr">
        <is>
          <t>A4:5E:60:71:F5:F9</t>
        </is>
      </c>
      <c r="L5" t="inlineStr">
        <is>
          <t>MH-DC-001-RACK-A</t>
        </is>
      </c>
      <c r="M5" t="n">
        <v>5</v>
      </c>
      <c r="N5" t="n">
        <v>1</v>
      </c>
      <c r="O5" t="inlineStr">
        <is>
          <t>Ready</t>
        </is>
      </c>
      <c r="P5" t="inlineStr">
        <is>
          <t>operator</t>
        </is>
      </c>
      <c r="R5" t="inlineStr">
        <is>
          <t>Y</t>
        </is>
      </c>
      <c r="S5" t="inlineStr">
        <is>
          <t>COL-MH-DC-001-1</t>
        </is>
      </c>
      <c r="T5" t="inlineStr">
        <is>
          <t>Y</t>
        </is>
      </c>
    </row>
    <row r="6">
      <c r="A6" t="inlineStr">
        <is>
          <t>MH-DC-001-FW-01</t>
        </is>
      </c>
      <c r="B6" t="inlineStr">
        <is>
          <t>MH-DC-001</t>
        </is>
      </c>
      <c r="C6" t="inlineStr">
        <is>
          <t>MH-DC-001-FW-01</t>
        </is>
      </c>
      <c r="D6" t="inlineStr">
        <is>
          <t>Firewall</t>
        </is>
      </c>
      <c r="E6" t="inlineStr">
        <is>
          <t>core</t>
        </is>
      </c>
      <c r="F6" t="inlineStr">
        <is>
          <t>FORTINET</t>
        </is>
      </c>
      <c r="G6" t="inlineStr">
        <is>
          <t>FortiGate 3700F</t>
        </is>
      </c>
      <c r="H6" t="inlineStr">
        <is>
          <t>FortiOS 7.4.3</t>
        </is>
      </c>
      <c r="I6" t="inlineStr">
        <is>
          <t>FG0011031</t>
        </is>
      </c>
      <c r="J6" t="inlineStr">
        <is>
          <t>172.16.40.24</t>
        </is>
      </c>
      <c r="K6" t="inlineStr">
        <is>
          <t>A4:5E:60:B1:E8:37</t>
        </is>
      </c>
      <c r="L6" t="inlineStr">
        <is>
          <t>MH-DC-001-RACK-A</t>
        </is>
      </c>
      <c r="M6" t="n">
        <v>6</v>
      </c>
      <c r="N6" t="n">
        <v>3</v>
      </c>
      <c r="O6" t="inlineStr">
        <is>
          <t>Ready</t>
        </is>
      </c>
      <c r="P6" t="inlineStr">
        <is>
          <t>operator</t>
        </is>
      </c>
      <c r="R6" t="inlineStr">
        <is>
          <t>Y</t>
        </is>
      </c>
      <c r="S6" t="inlineStr">
        <is>
          <t>COL-MH-DC-001-1</t>
        </is>
      </c>
      <c r="T6" t="inlineStr">
        <is>
          <t>N</t>
        </is>
      </c>
    </row>
    <row r="7">
      <c r="A7" t="inlineStr">
        <is>
          <t>MH-DC-001-FW-02</t>
        </is>
      </c>
      <c r="B7" t="inlineStr">
        <is>
          <t>MH-DC-001</t>
        </is>
      </c>
      <c r="C7" t="inlineStr">
        <is>
          <t>MH-DC-001-FW-02</t>
        </is>
      </c>
      <c r="D7" t="inlineStr">
        <is>
          <t>Firewall</t>
        </is>
      </c>
      <c r="E7" t="inlineStr">
        <is>
          <t>core</t>
        </is>
      </c>
      <c r="F7" t="inlineStr">
        <is>
          <t>FORTINET</t>
        </is>
      </c>
      <c r="G7" t="inlineStr">
        <is>
          <t>FortiGate 3700F</t>
        </is>
      </c>
      <c r="H7" t="inlineStr">
        <is>
          <t>FortiOS 7.4.3</t>
        </is>
      </c>
      <c r="I7" t="inlineStr">
        <is>
          <t>FG0011035</t>
        </is>
      </c>
      <c r="J7" t="inlineStr">
        <is>
          <t>172.16.40.25</t>
        </is>
      </c>
      <c r="K7" t="inlineStr">
        <is>
          <t>A4:5E:60:FA:5F:B0</t>
        </is>
      </c>
      <c r="L7" t="inlineStr">
        <is>
          <t>MH-DC-001-RACK-A</t>
        </is>
      </c>
      <c r="M7" t="n">
        <v>9</v>
      </c>
      <c r="N7" t="n">
        <v>3</v>
      </c>
      <c r="O7" t="inlineStr">
        <is>
          <t>Ready</t>
        </is>
      </c>
      <c r="P7" t="inlineStr">
        <is>
          <t>operator</t>
        </is>
      </c>
      <c r="R7" t="inlineStr">
        <is>
          <t>Y</t>
        </is>
      </c>
      <c r="S7" t="inlineStr">
        <is>
          <t>COL-MH-DC-001-2</t>
        </is>
      </c>
      <c r="T7" t="inlineStr">
        <is>
          <t>N</t>
        </is>
      </c>
    </row>
    <row r="8">
      <c r="A8" t="inlineStr">
        <is>
          <t>MH-DC-001-OLA-01</t>
        </is>
      </c>
      <c r="B8" t="inlineStr">
        <is>
          <t>MH-DC-001</t>
        </is>
      </c>
      <c r="C8" t="inlineStr">
        <is>
          <t>MH-DC-001-OLA-01</t>
        </is>
      </c>
      <c r="D8" t="inlineStr">
        <is>
          <t>DWDM</t>
        </is>
      </c>
      <c r="E8" t="inlineStr">
        <is>
          <t>core</t>
        </is>
      </c>
      <c r="F8" t="inlineStr">
        <is>
          <t>NOKIA</t>
        </is>
      </c>
      <c r="G8" t="inlineStr">
        <is>
          <t>1830 PSS-16II</t>
        </is>
      </c>
      <c r="H8" t="inlineStr">
        <is>
          <t>R23.6</t>
        </is>
      </c>
      <c r="I8" t="inlineStr">
        <is>
          <t>NK0011042</t>
        </is>
      </c>
      <c r="J8" t="inlineStr">
        <is>
          <t>172.16.40.26</t>
        </is>
      </c>
      <c r="K8" t="inlineStr">
        <is>
          <t>A4:5E:60:95:3C:15</t>
        </is>
      </c>
      <c r="L8" t="inlineStr">
        <is>
          <t>MH-DC-001-RACK-A</t>
        </is>
      </c>
      <c r="M8" t="n">
        <v>12</v>
      </c>
      <c r="N8" t="n">
        <v>6</v>
      </c>
      <c r="O8" t="inlineStr">
        <is>
          <t>Ready</t>
        </is>
      </c>
      <c r="P8" t="inlineStr">
        <is>
          <t>operator</t>
        </is>
      </c>
      <c r="R8" t="inlineStr">
        <is>
          <t>Y</t>
        </is>
      </c>
      <c r="S8" t="inlineStr">
        <is>
          <t>COL-MH-DC-001-2</t>
        </is>
      </c>
      <c r="T8" t="inlineStr">
        <is>
          <t>N</t>
        </is>
      </c>
    </row>
    <row r="9">
      <c r="A9" t="inlineStr">
        <is>
          <t>MH-DC-001-OLA-02</t>
        </is>
      </c>
      <c r="B9" t="inlineStr">
        <is>
          <t>MH-DC-001</t>
        </is>
      </c>
      <c r="C9" t="inlineStr">
        <is>
          <t>MH-DC-001-OLA-02</t>
        </is>
      </c>
      <c r="D9" t="inlineStr">
        <is>
          <t>DWDM</t>
        </is>
      </c>
      <c r="E9" t="inlineStr">
        <is>
          <t>core</t>
        </is>
      </c>
      <c r="F9" t="inlineStr">
        <is>
          <t>NOKIA</t>
        </is>
      </c>
      <c r="G9" t="inlineStr">
        <is>
          <t>1830 PSS-16II</t>
        </is>
      </c>
      <c r="H9" t="inlineStr">
        <is>
          <t>R23.6</t>
        </is>
      </c>
      <c r="I9" t="inlineStr">
        <is>
          <t>NK0011055</t>
        </is>
      </c>
      <c r="J9" t="inlineStr">
        <is>
          <t>172.16.40.27</t>
        </is>
      </c>
      <c r="K9" t="inlineStr">
        <is>
          <t>A4:5E:60:B4:0B:73</t>
        </is>
      </c>
      <c r="L9" t="inlineStr">
        <is>
          <t>MH-DC-001-RACK-A</t>
        </is>
      </c>
      <c r="M9" t="n">
        <v>18</v>
      </c>
      <c r="N9" t="n">
        <v>6</v>
      </c>
      <c r="O9" t="inlineStr">
        <is>
          <t>Ready</t>
        </is>
      </c>
      <c r="P9" t="inlineStr">
        <is>
          <t>operator</t>
        </is>
      </c>
      <c r="R9" t="inlineStr">
        <is>
          <t>Y</t>
        </is>
      </c>
      <c r="S9" t="inlineStr">
        <is>
          <t>COL-MH-DC-001-1</t>
        </is>
      </c>
      <c r="T9" t="inlineStr">
        <is>
          <t>N</t>
        </is>
      </c>
    </row>
    <row r="10">
      <c r="A10" t="inlineStr">
        <is>
          <t>MH-DC-001-AGG-R01</t>
        </is>
      </c>
      <c r="B10" t="inlineStr">
        <is>
          <t>MH-DC-001</t>
        </is>
      </c>
      <c r="C10" t="inlineStr">
        <is>
          <t>MH-DC-001-AGG-R01</t>
        </is>
      </c>
      <c r="D10" t="inlineStr">
        <is>
          <t>Router</t>
        </is>
      </c>
      <c r="E10" t="inlineStr">
        <is>
          <t>spine</t>
        </is>
      </c>
      <c r="F10" t="inlineStr">
        <is>
          <t>JUNIPER</t>
        </is>
      </c>
      <c r="G10" t="inlineStr">
        <is>
          <t>MX480</t>
        </is>
      </c>
      <c r="H10" t="inlineStr">
        <is>
          <t>22.2R3-S2</t>
        </is>
      </c>
      <c r="I10" t="inlineStr">
        <is>
          <t>JU0011062</t>
        </is>
      </c>
      <c r="J10" t="inlineStr">
        <is>
          <t>172.16.40.28</t>
        </is>
      </c>
      <c r="K10" t="inlineStr">
        <is>
          <t>A4:5E:60:33:FB:48</t>
        </is>
      </c>
      <c r="L10" t="inlineStr">
        <is>
          <t>MH-DC-001-RACK-A</t>
        </is>
      </c>
      <c r="M10" t="n">
        <v>24</v>
      </c>
      <c r="N10" t="n">
        <v>4</v>
      </c>
      <c r="O10" t="inlineStr">
        <is>
          <t>Ready</t>
        </is>
      </c>
      <c r="P10" t="inlineStr">
        <is>
          <t>operator</t>
        </is>
      </c>
      <c r="R10" t="inlineStr">
        <is>
          <t>Y</t>
        </is>
      </c>
      <c r="S10" t="inlineStr">
        <is>
          <t>COL-MH-DC-001-1</t>
        </is>
      </c>
      <c r="T10" t="inlineStr">
        <is>
          <t>N</t>
        </is>
      </c>
    </row>
    <row r="11">
      <c r="A11" t="inlineStr">
        <is>
          <t>MH-DC-001-AGG-R02</t>
        </is>
      </c>
      <c r="B11" t="inlineStr">
        <is>
          <t>MH-DC-001</t>
        </is>
      </c>
      <c r="C11" t="inlineStr">
        <is>
          <t>MH-DC-001-AGG-R02</t>
        </is>
      </c>
      <c r="D11" t="inlineStr">
        <is>
          <t>Router</t>
        </is>
      </c>
      <c r="E11" t="inlineStr">
        <is>
          <t>spine</t>
        </is>
      </c>
      <c r="F11" t="inlineStr">
        <is>
          <t>JUNIPER</t>
        </is>
      </c>
      <c r="G11" t="inlineStr">
        <is>
          <t>MX480</t>
        </is>
      </c>
      <c r="H11" t="inlineStr">
        <is>
          <t>22.2R3-S2</t>
        </is>
      </c>
      <c r="I11" t="inlineStr">
        <is>
          <t>JU0011065</t>
        </is>
      </c>
      <c r="J11" t="inlineStr">
        <is>
          <t>172.16.40.29</t>
        </is>
      </c>
      <c r="K11" t="inlineStr">
        <is>
          <t>A4:5E:60:9F:2F:3B</t>
        </is>
      </c>
      <c r="L11" t="inlineStr">
        <is>
          <t>MH-DC-001-RACK-A</t>
        </is>
      </c>
      <c r="M11" t="n">
        <v>28</v>
      </c>
      <c r="N11" t="n">
        <v>4</v>
      </c>
      <c r="O11" t="inlineStr">
        <is>
          <t>Ready</t>
        </is>
      </c>
      <c r="P11" t="inlineStr">
        <is>
          <t>operator</t>
        </is>
      </c>
      <c r="R11" t="inlineStr">
        <is>
          <t>Y</t>
        </is>
      </c>
      <c r="S11" t="inlineStr">
        <is>
          <t>COL-MH-DC-001-2</t>
        </is>
      </c>
      <c r="T11" t="inlineStr">
        <is>
          <t>N</t>
        </is>
      </c>
    </row>
    <row r="12">
      <c r="A12" t="inlineStr">
        <is>
          <t>MH-DC-001-AGG-R03</t>
        </is>
      </c>
      <c r="B12" t="inlineStr">
        <is>
          <t>MH-DC-001</t>
        </is>
      </c>
      <c r="C12" t="inlineStr">
        <is>
          <t>MH-DC-001-AGG-R03</t>
        </is>
      </c>
      <c r="D12" t="inlineStr">
        <is>
          <t>Router</t>
        </is>
      </c>
      <c r="E12" t="inlineStr">
        <is>
          <t>spine</t>
        </is>
      </c>
      <c r="F12" t="inlineStr">
        <is>
          <t>JUNIPER</t>
        </is>
      </c>
      <c r="G12" t="inlineStr">
        <is>
          <t>MX480</t>
        </is>
      </c>
      <c r="H12" t="inlineStr">
        <is>
          <t>22.2R3-S2</t>
        </is>
      </c>
      <c r="I12" t="inlineStr">
        <is>
          <t>JU0011071</t>
        </is>
      </c>
      <c r="J12" t="inlineStr">
        <is>
          <t>172.16.40.30</t>
        </is>
      </c>
      <c r="K12" t="inlineStr">
        <is>
          <t>A4:5E:60:EF:F0:A5</t>
        </is>
      </c>
      <c r="L12" t="inlineStr">
        <is>
          <t>MH-DC-001-RACK-A</t>
        </is>
      </c>
      <c r="M12" t="n">
        <v>32</v>
      </c>
      <c r="N12" t="n">
        <v>4</v>
      </c>
      <c r="O12" t="inlineStr">
        <is>
          <t>Ready</t>
        </is>
      </c>
      <c r="P12" t="inlineStr">
        <is>
          <t>operator</t>
        </is>
      </c>
      <c r="R12" t="inlineStr">
        <is>
          <t>Y</t>
        </is>
      </c>
      <c r="S12" t="inlineStr">
        <is>
          <t>COL-MH-DC-001-1</t>
        </is>
      </c>
      <c r="T12" t="inlineStr">
        <is>
          <t>N</t>
        </is>
      </c>
    </row>
    <row r="13">
      <c r="A13" t="inlineStr">
        <is>
          <t>MH-DC-001-MMR-SW-01</t>
        </is>
      </c>
      <c r="B13" t="inlineStr">
        <is>
          <t>MH-DC-001</t>
        </is>
      </c>
      <c r="C13" t="inlineStr">
        <is>
          <t>MH-DC-001-MMR-SW-01</t>
        </is>
      </c>
      <c r="D13" t="inlineStr">
        <is>
          <t>Switch</t>
        </is>
      </c>
      <c r="E13" t="inlineStr">
        <is>
          <t>leaf</t>
        </is>
      </c>
      <c r="F13" t="inlineStr">
        <is>
          <t>JUNIPER</t>
        </is>
      </c>
      <c r="G13" t="inlineStr">
        <is>
          <t>QFX5100-48S</t>
        </is>
      </c>
      <c r="H13" t="inlineStr">
        <is>
          <t>Junos 21.4R3-S6</t>
        </is>
      </c>
      <c r="I13" t="inlineStr">
        <is>
          <t>JU0011080</t>
        </is>
      </c>
      <c r="J13" t="inlineStr">
        <is>
          <t>172.16.40.31</t>
        </is>
      </c>
      <c r="K13" t="inlineStr">
        <is>
          <t>A4:5E:60:C0:C8:FC</t>
        </is>
      </c>
      <c r="L13" t="inlineStr">
        <is>
          <t>MH-DC-001-RACK-A</t>
        </is>
      </c>
      <c r="M13" t="n">
        <v>36</v>
      </c>
      <c r="N13" t="n">
        <v>1</v>
      </c>
      <c r="O13" t="inlineStr">
        <is>
          <t>Ready</t>
        </is>
      </c>
      <c r="P13" t="inlineStr">
        <is>
          <t>operator</t>
        </is>
      </c>
      <c r="R13" t="inlineStr">
        <is>
          <t>Y</t>
        </is>
      </c>
      <c r="S13" t="inlineStr">
        <is>
          <t>COL-MH-DC-001-1</t>
        </is>
      </c>
      <c r="T13" t="inlineStr">
        <is>
          <t>N</t>
        </is>
      </c>
    </row>
    <row r="14">
      <c r="A14" t="inlineStr">
        <is>
          <t>MH-DC-001-MMR-SW-02</t>
        </is>
      </c>
      <c r="B14" t="inlineStr">
        <is>
          <t>MH-DC-001</t>
        </is>
      </c>
      <c r="C14" t="inlineStr">
        <is>
          <t>MH-DC-001-MMR-SW-02</t>
        </is>
      </c>
      <c r="D14" t="inlineStr">
        <is>
          <t>Switch</t>
        </is>
      </c>
      <c r="E14" t="inlineStr">
        <is>
          <t>leaf</t>
        </is>
      </c>
      <c r="F14" t="inlineStr">
        <is>
          <t>CISCO</t>
        </is>
      </c>
      <c r="G14" t="inlineStr">
        <is>
          <t>Nexus 93180YC</t>
        </is>
      </c>
      <c r="H14" t="inlineStr">
        <is>
          <t>NX-OS 10.3(4a)</t>
        </is>
      </c>
      <c r="I14" t="inlineStr">
        <is>
          <t>CS0011089</t>
        </is>
      </c>
      <c r="J14" t="inlineStr">
        <is>
          <t>172.16.40.32</t>
        </is>
      </c>
      <c r="K14" t="inlineStr">
        <is>
          <t>A4:5E:60:8A:B8:72</t>
        </is>
      </c>
      <c r="L14" t="inlineStr">
        <is>
          <t>MH-DC-001-RACK-B</t>
        </is>
      </c>
      <c r="M14" t="n">
        <v>2</v>
      </c>
      <c r="N14" t="n">
        <v>1</v>
      </c>
      <c r="O14" t="inlineStr">
        <is>
          <t>Ready</t>
        </is>
      </c>
      <c r="P14" t="inlineStr">
        <is>
          <t>operator</t>
        </is>
      </c>
      <c r="R14" t="inlineStr">
        <is>
          <t>Y</t>
        </is>
      </c>
      <c r="S14" t="inlineStr">
        <is>
          <t>COL-MH-DC-001-2</t>
        </is>
      </c>
      <c r="T14" t="inlineStr">
        <is>
          <t>N</t>
        </is>
      </c>
    </row>
    <row r="15">
      <c r="A15" t="inlineStr">
        <is>
          <t>MH-DC-001-MMR-SW-03</t>
        </is>
      </c>
      <c r="B15" t="inlineStr">
        <is>
          <t>MH-DC-001</t>
        </is>
      </c>
      <c r="C15" t="inlineStr">
        <is>
          <t>MH-DC-001-MMR-SW-03</t>
        </is>
      </c>
      <c r="D15" t="inlineStr">
        <is>
          <t>Switch</t>
        </is>
      </c>
      <c r="E15" t="inlineStr">
        <is>
          <t>leaf</t>
        </is>
      </c>
      <c r="F15" t="inlineStr">
        <is>
          <t>CISCO</t>
        </is>
      </c>
      <c r="G15" t="inlineStr">
        <is>
          <t>Nexus 93180YC</t>
        </is>
      </c>
      <c r="H15" t="inlineStr">
        <is>
          <t>NX-OS 10.3(4a)</t>
        </is>
      </c>
      <c r="I15" t="inlineStr">
        <is>
          <t>CS0011092</t>
        </is>
      </c>
      <c r="J15" t="inlineStr">
        <is>
          <t>172.16.40.33</t>
        </is>
      </c>
      <c r="K15" t="inlineStr">
        <is>
          <t>A4:5E:60:D8:28:E7</t>
        </is>
      </c>
      <c r="L15" t="inlineStr">
        <is>
          <t>MH-DC-001-RACK-B</t>
        </is>
      </c>
      <c r="M15" t="n">
        <v>3</v>
      </c>
      <c r="N15" t="n">
        <v>1</v>
      </c>
      <c r="O15" t="inlineStr">
        <is>
          <t>Ready</t>
        </is>
      </c>
      <c r="P15" t="inlineStr">
        <is>
          <t>operator</t>
        </is>
      </c>
      <c r="R15" t="inlineStr">
        <is>
          <t>Y</t>
        </is>
      </c>
      <c r="S15" t="inlineStr">
        <is>
          <t>COL-MH-DC-001-1</t>
        </is>
      </c>
      <c r="T15" t="inlineStr">
        <is>
          <t>N</t>
        </is>
      </c>
    </row>
    <row r="16">
      <c r="A16" t="inlineStr">
        <is>
          <t>MH-DC-001-MMR-SW-04</t>
        </is>
      </c>
      <c r="B16" t="inlineStr">
        <is>
          <t>MH-DC-001</t>
        </is>
      </c>
      <c r="C16" t="inlineStr">
        <is>
          <t>MH-DC-001-MMR-SW-04</t>
        </is>
      </c>
      <c r="D16" t="inlineStr">
        <is>
          <t>Switch</t>
        </is>
      </c>
      <c r="E16" t="inlineStr">
        <is>
          <t>leaf</t>
        </is>
      </c>
      <c r="F16" t="inlineStr">
        <is>
          <t>CISCO</t>
        </is>
      </c>
      <c r="G16" t="inlineStr">
        <is>
          <t>Nexus 93180YC</t>
        </is>
      </c>
      <c r="H16" t="inlineStr">
        <is>
          <t>NX-OS 10.3(4a)</t>
        </is>
      </c>
      <c r="I16" t="inlineStr">
        <is>
          <t>CS0011102</t>
        </is>
      </c>
      <c r="J16" t="inlineStr">
        <is>
          <t>172.16.40.34</t>
        </is>
      </c>
      <c r="K16" t="inlineStr">
        <is>
          <t>A4:5E:60:EB:3F:E8</t>
        </is>
      </c>
      <c r="L16" t="inlineStr">
        <is>
          <t>MH-DC-001-RACK-B</t>
        </is>
      </c>
      <c r="M16" t="n">
        <v>4</v>
      </c>
      <c r="N16" t="n">
        <v>1</v>
      </c>
      <c r="O16" t="inlineStr">
        <is>
          <t>Ready</t>
        </is>
      </c>
      <c r="P16" t="inlineStr">
        <is>
          <t>operator</t>
        </is>
      </c>
      <c r="R16" t="inlineStr">
        <is>
          <t>Y</t>
        </is>
      </c>
      <c r="S16" t="inlineStr">
        <is>
          <t>COL-MH-DC-001-2</t>
        </is>
      </c>
      <c r="T16" t="inlineStr">
        <is>
          <t>N</t>
        </is>
      </c>
    </row>
    <row r="17">
      <c r="A17" t="inlineStr">
        <is>
          <t>MH-DC-001-MMR-SW-05</t>
        </is>
      </c>
      <c r="B17" t="inlineStr">
        <is>
          <t>MH-DC-001</t>
        </is>
      </c>
      <c r="C17" t="inlineStr">
        <is>
          <t>MH-DC-001-MMR-SW-05</t>
        </is>
      </c>
      <c r="D17" t="inlineStr">
        <is>
          <t>Switch</t>
        </is>
      </c>
      <c r="E17" t="inlineStr">
        <is>
          <t>leaf</t>
        </is>
      </c>
      <c r="F17" t="inlineStr">
        <is>
          <t>JUNIPER</t>
        </is>
      </c>
      <c r="G17" t="inlineStr">
        <is>
          <t>QFX5120-48Y</t>
        </is>
      </c>
      <c r="H17" t="inlineStr">
        <is>
          <t>22.2R3</t>
        </is>
      </c>
      <c r="I17" t="inlineStr">
        <is>
          <t>JU0011111</t>
        </is>
      </c>
      <c r="J17" t="inlineStr">
        <is>
          <t>172.16.40.35</t>
        </is>
      </c>
      <c r="K17" t="inlineStr">
        <is>
          <t>A4:5E:60:B5:F7:8B</t>
        </is>
      </c>
      <c r="L17" t="inlineStr">
        <is>
          <t>MH-DC-001-RACK-B</t>
        </is>
      </c>
      <c r="M17" t="n">
        <v>5</v>
      </c>
      <c r="N17" t="n">
        <v>1</v>
      </c>
      <c r="O17" t="inlineStr">
        <is>
          <t>Ready</t>
        </is>
      </c>
      <c r="P17" t="inlineStr">
        <is>
          <t>operator</t>
        </is>
      </c>
      <c r="R17" t="inlineStr">
        <is>
          <t>Y</t>
        </is>
      </c>
      <c r="S17" t="inlineStr">
        <is>
          <t>COL-MH-DC-001-1</t>
        </is>
      </c>
      <c r="T17" t="inlineStr">
        <is>
          <t>N</t>
        </is>
      </c>
    </row>
    <row r="18">
      <c r="A18" t="inlineStr">
        <is>
          <t>MH-DC-001-MMR-SW-06</t>
        </is>
      </c>
      <c r="B18" t="inlineStr">
        <is>
          <t>MH-DC-001</t>
        </is>
      </c>
      <c r="C18" t="inlineStr">
        <is>
          <t>MH-DC-001-MMR-SW-06</t>
        </is>
      </c>
      <c r="D18" t="inlineStr">
        <is>
          <t>Switch</t>
        </is>
      </c>
      <c r="E18" t="inlineStr">
        <is>
          <t>leaf</t>
        </is>
      </c>
      <c r="F18" t="inlineStr">
        <is>
          <t>CISCO</t>
        </is>
      </c>
      <c r="G18" t="inlineStr">
        <is>
          <t>Nexus 93180YC</t>
        </is>
      </c>
      <c r="H18" t="inlineStr">
        <is>
          <t>NX-OS 10.3(4a)</t>
        </is>
      </c>
      <c r="I18" t="inlineStr">
        <is>
          <t>CS0011116</t>
        </is>
      </c>
      <c r="J18" t="inlineStr">
        <is>
          <t>172.16.40.36</t>
        </is>
      </c>
      <c r="K18" t="inlineStr">
        <is>
          <t>A4:5E:60:B9:04:38</t>
        </is>
      </c>
      <c r="L18" t="inlineStr">
        <is>
          <t>MH-DC-001-RACK-B</t>
        </is>
      </c>
      <c r="M18" t="n">
        <v>6</v>
      </c>
      <c r="N18" t="n">
        <v>1</v>
      </c>
      <c r="O18" t="inlineStr">
        <is>
          <t>Ready</t>
        </is>
      </c>
      <c r="P18" t="inlineStr">
        <is>
          <t>operator</t>
        </is>
      </c>
      <c r="R18" t="inlineStr">
        <is>
          <t>Y</t>
        </is>
      </c>
      <c r="S18" t="inlineStr">
        <is>
          <t>COL-MH-DC-001-2</t>
        </is>
      </c>
      <c r="T18" t="inlineStr">
        <is>
          <t>N</t>
        </is>
      </c>
    </row>
    <row r="19">
      <c r="A19" t="inlineStr">
        <is>
          <t>MH-DC-001-MMR-SW-07</t>
        </is>
      </c>
      <c r="B19" t="inlineStr">
        <is>
          <t>MH-DC-001</t>
        </is>
      </c>
      <c r="C19" t="inlineStr">
        <is>
          <t>MH-DC-001-MMR-SW-07</t>
        </is>
      </c>
      <c r="D19" t="inlineStr">
        <is>
          <t>Switch</t>
        </is>
      </c>
      <c r="E19" t="inlineStr">
        <is>
          <t>leaf</t>
        </is>
      </c>
      <c r="F19" t="inlineStr">
        <is>
          <t>CISCO</t>
        </is>
      </c>
      <c r="G19" t="inlineStr">
        <is>
          <t>Nexus 93180YC</t>
        </is>
      </c>
      <c r="H19" t="inlineStr">
        <is>
          <t>NX-OS 10.3(4a)</t>
        </is>
      </c>
      <c r="I19" t="inlineStr">
        <is>
          <t>CS0011119</t>
        </is>
      </c>
      <c r="J19" t="inlineStr">
        <is>
          <t>172.16.40.37</t>
        </is>
      </c>
      <c r="K19" t="inlineStr">
        <is>
          <t>A4:5E:60:C7:A9:B0</t>
        </is>
      </c>
      <c r="L19" t="inlineStr">
        <is>
          <t>MH-DC-001-RACK-B</t>
        </is>
      </c>
      <c r="M19" t="n">
        <v>7</v>
      </c>
      <c r="N19" t="n">
        <v>1</v>
      </c>
      <c r="O19" t="inlineStr">
        <is>
          <t>Ready</t>
        </is>
      </c>
      <c r="P19" t="inlineStr">
        <is>
          <t>operator</t>
        </is>
      </c>
      <c r="R19" t="inlineStr">
        <is>
          <t>Y</t>
        </is>
      </c>
      <c r="S19" t="inlineStr">
        <is>
          <t>COL-MH-DC-001-1</t>
        </is>
      </c>
      <c r="T19" t="inlineStr">
        <is>
          <t>N</t>
        </is>
      </c>
    </row>
    <row r="20">
      <c r="A20" t="inlineStr">
        <is>
          <t>MH-DC-001-MMR-SW-08</t>
        </is>
      </c>
      <c r="B20" t="inlineStr">
        <is>
          <t>MH-DC-001</t>
        </is>
      </c>
      <c r="C20" t="inlineStr">
        <is>
          <t>MH-DC-001-MMR-SW-08</t>
        </is>
      </c>
      <c r="D20" t="inlineStr">
        <is>
          <t>Switch</t>
        </is>
      </c>
      <c r="E20" t="inlineStr">
        <is>
          <t>leaf</t>
        </is>
      </c>
      <c r="F20" t="inlineStr">
        <is>
          <t>CISCO</t>
        </is>
      </c>
      <c r="G20" t="inlineStr">
        <is>
          <t>Nexus 93180YC</t>
        </is>
      </c>
      <c r="H20" t="inlineStr">
        <is>
          <t>NX-OS 10.3(4a)</t>
        </is>
      </c>
      <c r="I20" t="inlineStr">
        <is>
          <t>CS0011132</t>
        </is>
      </c>
      <c r="J20" t="inlineStr">
        <is>
          <t>172.16.40.38</t>
        </is>
      </c>
      <c r="K20" t="inlineStr">
        <is>
          <t>A4:5E:60:48:72:12</t>
        </is>
      </c>
      <c r="L20" t="inlineStr">
        <is>
          <t>MH-DC-001-RACK-B</t>
        </is>
      </c>
      <c r="M20" t="n">
        <v>8</v>
      </c>
      <c r="N20" t="n">
        <v>1</v>
      </c>
      <c r="O20" t="inlineStr">
        <is>
          <t>Ready</t>
        </is>
      </c>
      <c r="P20" t="inlineStr">
        <is>
          <t>operator</t>
        </is>
      </c>
      <c r="R20" t="inlineStr">
        <is>
          <t>Y</t>
        </is>
      </c>
      <c r="S20" t="inlineStr">
        <is>
          <t>COL-MH-DC-001-2</t>
        </is>
      </c>
      <c r="T20" t="inlineStr">
        <is>
          <t>N</t>
        </is>
      </c>
    </row>
    <row r="21">
      <c r="A21" t="inlineStr">
        <is>
          <t>MH-DC-001-MMR-SW-09</t>
        </is>
      </c>
      <c r="B21" t="inlineStr">
        <is>
          <t>MH-DC-001</t>
        </is>
      </c>
      <c r="C21" t="inlineStr">
        <is>
          <t>MH-DC-001-MMR-SW-09</t>
        </is>
      </c>
      <c r="D21" t="inlineStr">
        <is>
          <t>Switch</t>
        </is>
      </c>
      <c r="E21" t="inlineStr">
        <is>
          <t>leaf</t>
        </is>
      </c>
      <c r="F21" t="inlineStr">
        <is>
          <t>ARISTA</t>
        </is>
      </c>
      <c r="G21" t="inlineStr">
        <is>
          <t>7050SX3-48YC</t>
        </is>
      </c>
      <c r="H21" t="inlineStr">
        <is>
          <t>EOS 4.31.1F</t>
        </is>
      </c>
      <c r="I21" t="inlineStr">
        <is>
          <t>AR0011137</t>
        </is>
      </c>
      <c r="J21" t="inlineStr">
        <is>
          <t>172.16.40.39</t>
        </is>
      </c>
      <c r="K21" t="inlineStr">
        <is>
          <t>A4:5E:60:AF:71:03</t>
        </is>
      </c>
      <c r="L21" t="inlineStr">
        <is>
          <t>MH-DC-001-RACK-B</t>
        </is>
      </c>
      <c r="M21" t="n">
        <v>9</v>
      </c>
      <c r="N21" t="n">
        <v>1</v>
      </c>
      <c r="O21" t="inlineStr">
        <is>
          <t>Ready</t>
        </is>
      </c>
      <c r="P21" t="inlineStr">
        <is>
          <t>operator</t>
        </is>
      </c>
      <c r="R21" t="inlineStr">
        <is>
          <t>Y</t>
        </is>
      </c>
      <c r="S21" t="inlineStr">
        <is>
          <t>COL-MH-DC-001-1</t>
        </is>
      </c>
      <c r="T21" t="inlineStr">
        <is>
          <t>N</t>
        </is>
      </c>
    </row>
    <row r="22">
      <c r="A22" t="inlineStr">
        <is>
          <t>MH-DC-001-TOR-001</t>
        </is>
      </c>
      <c r="B22" t="inlineStr">
        <is>
          <t>MH-DC-001</t>
        </is>
      </c>
      <c r="C22" t="inlineStr">
        <is>
          <t>MH-DC-001-TOR-001</t>
        </is>
      </c>
      <c r="D22" t="inlineStr">
        <is>
          <t>Switch</t>
        </is>
      </c>
      <c r="E22" t="inlineStr">
        <is>
          <t>access</t>
        </is>
      </c>
      <c r="F22" t="inlineStr">
        <is>
          <t>CISCO</t>
        </is>
      </c>
      <c r="G22" t="inlineStr">
        <is>
          <t>Nexus 3172PQ</t>
        </is>
      </c>
      <c r="H22" t="inlineStr">
        <is>
          <t>NX-OS 9.3(12)</t>
        </is>
      </c>
      <c r="I22" t="inlineStr">
        <is>
          <t>CS0011146</t>
        </is>
      </c>
      <c r="J22" t="inlineStr">
        <is>
          <t>172.16.40.40</t>
        </is>
      </c>
      <c r="K22" t="inlineStr">
        <is>
          <t>A4:5E:60:F2:40:95</t>
        </is>
      </c>
      <c r="L22" t="inlineStr">
        <is>
          <t>MH-DC-001-RACK-B</t>
        </is>
      </c>
      <c r="M22" t="n">
        <v>10</v>
      </c>
      <c r="N22" t="n">
        <v>1</v>
      </c>
      <c r="O22" t="inlineStr">
        <is>
          <t>Ready</t>
        </is>
      </c>
      <c r="P22" t="inlineStr">
        <is>
          <t>operator</t>
        </is>
      </c>
      <c r="R22" t="inlineStr">
        <is>
          <t>Y</t>
        </is>
      </c>
      <c r="S22" t="inlineStr">
        <is>
          <t>COL-MH-DC-001-1</t>
        </is>
      </c>
      <c r="T22" t="inlineStr">
        <is>
          <t>N</t>
        </is>
      </c>
    </row>
    <row r="23">
      <c r="A23" t="inlineStr">
        <is>
          <t>MH-DC-001-TOR-002</t>
        </is>
      </c>
      <c r="B23" t="inlineStr">
        <is>
          <t>MH-DC-001</t>
        </is>
      </c>
      <c r="C23" t="inlineStr">
        <is>
          <t>MH-DC-001-TOR-002</t>
        </is>
      </c>
      <c r="D23" t="inlineStr">
        <is>
          <t>Switch</t>
        </is>
      </c>
      <c r="E23" t="inlineStr">
        <is>
          <t>access</t>
        </is>
      </c>
      <c r="F23" t="inlineStr">
        <is>
          <t>CISCO</t>
        </is>
      </c>
      <c r="G23" t="inlineStr">
        <is>
          <t>Nexus 93180YC</t>
        </is>
      </c>
      <c r="H23" t="inlineStr">
        <is>
          <t>NX-OS 10.3(4a)</t>
        </is>
      </c>
      <c r="I23" t="inlineStr">
        <is>
          <t>CS0011149</t>
        </is>
      </c>
      <c r="J23" t="inlineStr">
        <is>
          <t>172.16.40.41</t>
        </is>
      </c>
      <c r="K23" t="inlineStr">
        <is>
          <t>A4:5E:60:DE:74:0F</t>
        </is>
      </c>
      <c r="L23" t="inlineStr">
        <is>
          <t>MH-DC-001-RACK-B</t>
        </is>
      </c>
      <c r="M23" t="n">
        <v>11</v>
      </c>
      <c r="N23" t="n">
        <v>1</v>
      </c>
      <c r="O23" t="inlineStr">
        <is>
          <t>Ready</t>
        </is>
      </c>
      <c r="P23" t="inlineStr">
        <is>
          <t>operator</t>
        </is>
      </c>
      <c r="R23" t="inlineStr">
        <is>
          <t>Y</t>
        </is>
      </c>
      <c r="S23" t="inlineStr">
        <is>
          <t>COL-MH-DC-001-2</t>
        </is>
      </c>
      <c r="T23" t="inlineStr">
        <is>
          <t>N</t>
        </is>
      </c>
    </row>
    <row r="24">
      <c r="A24" t="inlineStr">
        <is>
          <t>MH-DC-001-TOR-003</t>
        </is>
      </c>
      <c r="B24" t="inlineStr">
        <is>
          <t>MH-DC-001</t>
        </is>
      </c>
      <c r="C24" t="inlineStr">
        <is>
          <t>MH-DC-001-TOR-003</t>
        </is>
      </c>
      <c r="D24" t="inlineStr">
        <is>
          <t>Switch</t>
        </is>
      </c>
      <c r="E24" t="inlineStr">
        <is>
          <t>access</t>
        </is>
      </c>
      <c r="F24" t="inlineStr">
        <is>
          <t>JUNIPER</t>
        </is>
      </c>
      <c r="G24" t="inlineStr">
        <is>
          <t>QFX5120-48Y</t>
        </is>
      </c>
      <c r="H24" t="inlineStr">
        <is>
          <t>22.2R3</t>
        </is>
      </c>
      <c r="I24" t="inlineStr">
        <is>
          <t>JU0011157</t>
        </is>
      </c>
      <c r="J24" t="inlineStr">
        <is>
          <t>172.16.40.42</t>
        </is>
      </c>
      <c r="K24" t="inlineStr">
        <is>
          <t>A4:5E:60:62:FA:14</t>
        </is>
      </c>
      <c r="L24" t="inlineStr">
        <is>
          <t>MH-DC-001-RACK-B</t>
        </is>
      </c>
      <c r="M24" t="n">
        <v>12</v>
      </c>
      <c r="N24" t="n">
        <v>1</v>
      </c>
      <c r="O24" t="inlineStr">
        <is>
          <t>Ready</t>
        </is>
      </c>
      <c r="P24" t="inlineStr">
        <is>
          <t>operator</t>
        </is>
      </c>
      <c r="R24" t="inlineStr">
        <is>
          <t>Y</t>
        </is>
      </c>
      <c r="S24" t="inlineStr">
        <is>
          <t>COL-MH-DC-001-1</t>
        </is>
      </c>
      <c r="T24" t="inlineStr">
        <is>
          <t>N</t>
        </is>
      </c>
    </row>
    <row r="25">
      <c r="A25" t="inlineStr">
        <is>
          <t>MH-DC-001-TOR-004</t>
        </is>
      </c>
      <c r="B25" t="inlineStr">
        <is>
          <t>MH-DC-001</t>
        </is>
      </c>
      <c r="C25" t="inlineStr">
        <is>
          <t>MH-DC-001-TOR-004</t>
        </is>
      </c>
      <c r="D25" t="inlineStr">
        <is>
          <t>Switch</t>
        </is>
      </c>
      <c r="E25" t="inlineStr">
        <is>
          <t>access</t>
        </is>
      </c>
      <c r="F25" t="inlineStr">
        <is>
          <t>CISCO</t>
        </is>
      </c>
      <c r="G25" t="inlineStr">
        <is>
          <t>Nexus 93180YC</t>
        </is>
      </c>
      <c r="H25" t="inlineStr">
        <is>
          <t>NX-OS 10.3(4a)</t>
        </is>
      </c>
      <c r="I25" t="inlineStr">
        <is>
          <t>CS0011165</t>
        </is>
      </c>
      <c r="J25" t="inlineStr">
        <is>
          <t>172.16.40.43</t>
        </is>
      </c>
      <c r="K25" t="inlineStr">
        <is>
          <t>A4:5E:60:06:1E:5D</t>
        </is>
      </c>
      <c r="L25" t="inlineStr">
        <is>
          <t>MH-DC-001-RACK-B</t>
        </is>
      </c>
      <c r="M25" t="n">
        <v>13</v>
      </c>
      <c r="N25" t="n">
        <v>1</v>
      </c>
      <c r="O25" t="inlineStr">
        <is>
          <t>Ready</t>
        </is>
      </c>
      <c r="P25" t="inlineStr">
        <is>
          <t>operator</t>
        </is>
      </c>
      <c r="R25" t="inlineStr">
        <is>
          <t>Y</t>
        </is>
      </c>
      <c r="S25" t="inlineStr">
        <is>
          <t>COL-MH-DC-001-2</t>
        </is>
      </c>
      <c r="T25" t="inlineStr">
        <is>
          <t>N</t>
        </is>
      </c>
    </row>
    <row r="26">
      <c r="A26" t="inlineStr">
        <is>
          <t>MH-DC-001-TOR-005</t>
        </is>
      </c>
      <c r="B26" t="inlineStr">
        <is>
          <t>MH-DC-001</t>
        </is>
      </c>
      <c r="C26" t="inlineStr">
        <is>
          <t>MH-DC-001-TOR-005</t>
        </is>
      </c>
      <c r="D26" t="inlineStr">
        <is>
          <t>Switch</t>
        </is>
      </c>
      <c r="E26" t="inlineStr">
        <is>
          <t>access</t>
        </is>
      </c>
      <c r="F26" t="inlineStr">
        <is>
          <t>JUNIPER</t>
        </is>
      </c>
      <c r="G26" t="inlineStr">
        <is>
          <t>QFX5120-48Y</t>
        </is>
      </c>
      <c r="H26" t="inlineStr">
        <is>
          <t>22.2R3</t>
        </is>
      </c>
      <c r="I26" t="inlineStr">
        <is>
          <t>JU0011172</t>
        </is>
      </c>
      <c r="J26" t="inlineStr">
        <is>
          <t>172.16.40.44</t>
        </is>
      </c>
      <c r="K26" t="inlineStr">
        <is>
          <t>A4:5E:60:B9:6D:0D</t>
        </is>
      </c>
      <c r="L26" t="inlineStr">
        <is>
          <t>MH-DC-001-RACK-B</t>
        </is>
      </c>
      <c r="M26" t="n">
        <v>14</v>
      </c>
      <c r="N26" t="n">
        <v>1</v>
      </c>
      <c r="O26" t="inlineStr">
        <is>
          <t>Ready</t>
        </is>
      </c>
      <c r="P26" t="inlineStr">
        <is>
          <t>operator</t>
        </is>
      </c>
      <c r="R26" t="inlineStr">
        <is>
          <t>Y</t>
        </is>
      </c>
      <c r="S26" t="inlineStr">
        <is>
          <t>COL-MH-DC-001-1</t>
        </is>
      </c>
      <c r="T26" t="inlineStr">
        <is>
          <t>N</t>
        </is>
      </c>
    </row>
    <row r="27">
      <c r="A27" t="inlineStr">
        <is>
          <t>MH-DC-001-TOR-006</t>
        </is>
      </c>
      <c r="B27" t="inlineStr">
        <is>
          <t>MH-DC-001</t>
        </is>
      </c>
      <c r="C27" t="inlineStr">
        <is>
          <t>MH-DC-001-TOR-006</t>
        </is>
      </c>
      <c r="D27" t="inlineStr">
        <is>
          <t>Switch</t>
        </is>
      </c>
      <c r="E27" t="inlineStr">
        <is>
          <t>access</t>
        </is>
      </c>
      <c r="F27" t="inlineStr">
        <is>
          <t>ARISTA</t>
        </is>
      </c>
      <c r="G27" t="inlineStr">
        <is>
          <t>7050SX3-48YC</t>
        </is>
      </c>
      <c r="H27" t="inlineStr">
        <is>
          <t>EOS 4.31.1F</t>
        </is>
      </c>
      <c r="I27" t="inlineStr">
        <is>
          <t>AR0011180</t>
        </is>
      </c>
      <c r="J27" t="inlineStr">
        <is>
          <t>172.16.40.45</t>
        </is>
      </c>
      <c r="K27" t="inlineStr">
        <is>
          <t>A4:5E:60:F6:66:F8</t>
        </is>
      </c>
      <c r="L27" t="inlineStr">
        <is>
          <t>MH-DC-001-RACK-B</t>
        </is>
      </c>
      <c r="M27" t="n">
        <v>15</v>
      </c>
      <c r="N27" t="n">
        <v>1</v>
      </c>
      <c r="O27" t="inlineStr">
        <is>
          <t>Ready</t>
        </is>
      </c>
      <c r="P27" t="inlineStr">
        <is>
          <t>operator</t>
        </is>
      </c>
      <c r="R27" t="inlineStr">
        <is>
          <t>Y</t>
        </is>
      </c>
      <c r="S27" t="inlineStr">
        <is>
          <t>COL-MH-DC-001-2</t>
        </is>
      </c>
      <c r="T27" t="inlineStr">
        <is>
          <t>N</t>
        </is>
      </c>
    </row>
    <row r="28">
      <c r="A28" t="inlineStr">
        <is>
          <t>MH-DC-001-TN-001</t>
        </is>
      </c>
      <c r="B28" t="inlineStr">
        <is>
          <t>MH-DC-001</t>
        </is>
      </c>
      <c r="C28" t="inlineStr">
        <is>
          <t>MH-DC-001-TN-001</t>
        </is>
      </c>
      <c r="D28" t="inlineStr">
        <is>
          <t>Tenant gear</t>
        </is>
      </c>
      <c r="E28" t="inlineStr">
        <is>
          <t>access</t>
        </is>
      </c>
      <c r="F28" t="inlineStr">
        <is>
          <t>Tenant-owned</t>
        </is>
      </c>
      <c r="G28" t="inlineStr">
        <is>
          <t>Mixed equipment</t>
        </is>
      </c>
      <c r="H28" t="inlineStr">
        <is>
          <t>—</t>
        </is>
      </c>
      <c r="L28" t="inlineStr">
        <is>
          <t>MH-DC-001-RACK-B</t>
        </is>
      </c>
      <c r="M28" t="n">
        <v>16</v>
      </c>
      <c r="N28" t="n">
        <v>6</v>
      </c>
      <c r="O28" t="inlineStr">
        <is>
          <t>Ready</t>
        </is>
      </c>
      <c r="P28" t="inlineStr">
        <is>
          <t>tenant</t>
        </is>
      </c>
      <c r="R28" t="inlineStr">
        <is>
          <t>N</t>
        </is>
      </c>
      <c r="T28" t="inlineStr">
        <is>
          <t>N</t>
        </is>
      </c>
    </row>
    <row r="29">
      <c r="A29" t="inlineStr">
        <is>
          <t>MH-DC-001-TN-002</t>
        </is>
      </c>
      <c r="B29" t="inlineStr">
        <is>
          <t>MH-DC-001</t>
        </is>
      </c>
      <c r="C29" t="inlineStr">
        <is>
          <t>MH-DC-001-TN-002</t>
        </is>
      </c>
      <c r="D29" t="inlineStr">
        <is>
          <t>Tenant gear</t>
        </is>
      </c>
      <c r="E29" t="inlineStr">
        <is>
          <t>access</t>
        </is>
      </c>
      <c r="F29" t="inlineStr">
        <is>
          <t>Tenant-owned</t>
        </is>
      </c>
      <c r="G29" t="inlineStr">
        <is>
          <t>Network stack</t>
        </is>
      </c>
      <c r="H29" t="inlineStr">
        <is>
          <t>—</t>
        </is>
      </c>
      <c r="L29" t="inlineStr">
        <is>
          <t>MH-DC-001-RACK-B</t>
        </is>
      </c>
      <c r="M29" t="n">
        <v>22</v>
      </c>
      <c r="N29" t="n">
        <v>6</v>
      </c>
      <c r="O29" t="inlineStr">
        <is>
          <t>Ready</t>
        </is>
      </c>
      <c r="P29" t="inlineStr">
        <is>
          <t>tenant</t>
        </is>
      </c>
      <c r="R29" t="inlineStr">
        <is>
          <t>N</t>
        </is>
      </c>
      <c r="T29" t="inlineStr">
        <is>
          <t>N</t>
        </is>
      </c>
    </row>
    <row r="30">
      <c r="A30" t="inlineStr">
        <is>
          <t>MH-DC-001-TN-003</t>
        </is>
      </c>
      <c r="B30" t="inlineStr">
        <is>
          <t>MH-DC-001</t>
        </is>
      </c>
      <c r="C30" t="inlineStr">
        <is>
          <t>MH-DC-001-TN-003</t>
        </is>
      </c>
      <c r="D30" t="inlineStr">
        <is>
          <t>Tenant gear</t>
        </is>
      </c>
      <c r="E30" t="inlineStr">
        <is>
          <t>access</t>
        </is>
      </c>
      <c r="F30" t="inlineStr">
        <is>
          <t>Tenant-owned</t>
        </is>
      </c>
      <c r="G30" t="inlineStr">
        <is>
          <t>Network stack</t>
        </is>
      </c>
      <c r="H30" t="inlineStr">
        <is>
          <t>—</t>
        </is>
      </c>
      <c r="L30" t="inlineStr">
        <is>
          <t>MH-DC-001-RACK-C</t>
        </is>
      </c>
      <c r="M30" t="n">
        <v>2</v>
      </c>
      <c r="N30" t="n">
        <v>8</v>
      </c>
      <c r="O30" t="inlineStr">
        <is>
          <t>Ready</t>
        </is>
      </c>
      <c r="P30" t="inlineStr">
        <is>
          <t>tenant</t>
        </is>
      </c>
      <c r="Q30" t="inlineStr">
        <is>
          <t>CUST-7349</t>
        </is>
      </c>
      <c r="R30" t="inlineStr">
        <is>
          <t>N</t>
        </is>
      </c>
      <c r="T30" t="inlineStr">
        <is>
          <t>N</t>
        </is>
      </c>
    </row>
    <row r="31">
      <c r="A31" t="inlineStr">
        <is>
          <t>MH-DC-001-TN-004</t>
        </is>
      </c>
      <c r="B31" t="inlineStr">
        <is>
          <t>MH-DC-001</t>
        </is>
      </c>
      <c r="C31" t="inlineStr">
        <is>
          <t>MH-DC-001-TN-004</t>
        </is>
      </c>
      <c r="D31" t="inlineStr">
        <is>
          <t>Tenant gear</t>
        </is>
      </c>
      <c r="E31" t="inlineStr">
        <is>
          <t>access</t>
        </is>
      </c>
      <c r="F31" t="inlineStr">
        <is>
          <t>Tenant-owned</t>
        </is>
      </c>
      <c r="G31" t="inlineStr">
        <is>
          <t>Network stack</t>
        </is>
      </c>
      <c r="H31" t="inlineStr">
        <is>
          <t>—</t>
        </is>
      </c>
      <c r="L31" t="inlineStr">
        <is>
          <t>MH-DC-001-RACK-C</t>
        </is>
      </c>
      <c r="M31" t="n">
        <v>10</v>
      </c>
      <c r="N31" t="n">
        <v>4</v>
      </c>
      <c r="O31" t="inlineStr">
        <is>
          <t>Ready</t>
        </is>
      </c>
      <c r="P31" t="inlineStr">
        <is>
          <t>tenant</t>
        </is>
      </c>
      <c r="Q31" t="inlineStr">
        <is>
          <t>CUST-7349</t>
        </is>
      </c>
      <c r="R31" t="inlineStr">
        <is>
          <t>N</t>
        </is>
      </c>
      <c r="T31" t="inlineStr">
        <is>
          <t>N</t>
        </is>
      </c>
    </row>
    <row r="32">
      <c r="A32" t="inlineStr">
        <is>
          <t>MH-DC-001-TN-005</t>
        </is>
      </c>
      <c r="B32" t="inlineStr">
        <is>
          <t>MH-DC-001</t>
        </is>
      </c>
      <c r="C32" t="inlineStr">
        <is>
          <t>MH-DC-001-TN-005</t>
        </is>
      </c>
      <c r="D32" t="inlineStr">
        <is>
          <t>Tenant gear</t>
        </is>
      </c>
      <c r="E32" t="inlineStr">
        <is>
          <t>access</t>
        </is>
      </c>
      <c r="F32" t="inlineStr">
        <is>
          <t>Tenant-owned</t>
        </is>
      </c>
      <c r="G32" t="inlineStr">
        <is>
          <t>Storage array</t>
        </is>
      </c>
      <c r="H32" t="inlineStr">
        <is>
          <t>—</t>
        </is>
      </c>
      <c r="L32" t="inlineStr">
        <is>
          <t>MH-DC-001-RACK-C</t>
        </is>
      </c>
      <c r="M32" t="n">
        <v>14</v>
      </c>
      <c r="N32" t="n">
        <v>4</v>
      </c>
      <c r="O32" t="inlineStr">
        <is>
          <t>Ready</t>
        </is>
      </c>
      <c r="P32" t="inlineStr">
        <is>
          <t>tenant</t>
        </is>
      </c>
      <c r="Q32" t="inlineStr">
        <is>
          <t>CUST-7349</t>
        </is>
      </c>
      <c r="R32" t="inlineStr">
        <is>
          <t>N</t>
        </is>
      </c>
      <c r="T32" t="inlineStr">
        <is>
          <t>N</t>
        </is>
      </c>
    </row>
    <row r="33">
      <c r="A33" t="inlineStr">
        <is>
          <t>MH-DC-001-TN-006</t>
        </is>
      </c>
      <c r="B33" t="inlineStr">
        <is>
          <t>MH-DC-001</t>
        </is>
      </c>
      <c r="C33" t="inlineStr">
        <is>
          <t>MH-DC-001-TN-006</t>
        </is>
      </c>
      <c r="D33" t="inlineStr">
        <is>
          <t>Tenant gear</t>
        </is>
      </c>
      <c r="E33" t="inlineStr">
        <is>
          <t>access</t>
        </is>
      </c>
      <c r="F33" t="inlineStr">
        <is>
          <t>Tenant-owned</t>
        </is>
      </c>
      <c r="G33" t="inlineStr">
        <is>
          <t>HPC nodes</t>
        </is>
      </c>
      <c r="H33" t="inlineStr">
        <is>
          <t>—</t>
        </is>
      </c>
      <c r="L33" t="inlineStr">
        <is>
          <t>MH-DC-001-RACK-C</t>
        </is>
      </c>
      <c r="M33" t="n">
        <v>18</v>
      </c>
      <c r="N33" t="n">
        <v>2</v>
      </c>
      <c r="O33" t="inlineStr">
        <is>
          <t>Ready</t>
        </is>
      </c>
      <c r="P33" t="inlineStr">
        <is>
          <t>tenant</t>
        </is>
      </c>
      <c r="Q33" t="inlineStr">
        <is>
          <t>CUST-7349</t>
        </is>
      </c>
      <c r="R33" t="inlineStr">
        <is>
          <t>N</t>
        </is>
      </c>
      <c r="T33" t="inlineStr">
        <is>
          <t>N</t>
        </is>
      </c>
    </row>
    <row r="34">
      <c r="A34" t="inlineStr">
        <is>
          <t>MH-DC-001-TN-007</t>
        </is>
      </c>
      <c r="B34" t="inlineStr">
        <is>
          <t>MH-DC-001</t>
        </is>
      </c>
      <c r="C34" t="inlineStr">
        <is>
          <t>MH-DC-001-TN-007</t>
        </is>
      </c>
      <c r="D34" t="inlineStr">
        <is>
          <t>Tenant gear</t>
        </is>
      </c>
      <c r="E34" t="inlineStr">
        <is>
          <t>access</t>
        </is>
      </c>
      <c r="F34" t="inlineStr">
        <is>
          <t>Tenant-owned</t>
        </is>
      </c>
      <c r="G34" t="inlineStr">
        <is>
          <t>Blade chassis</t>
        </is>
      </c>
      <c r="H34" t="inlineStr">
        <is>
          <t>—</t>
        </is>
      </c>
      <c r="L34" t="inlineStr">
        <is>
          <t>MH-DC-001-RACK-C</t>
        </is>
      </c>
      <c r="M34" t="n">
        <v>20</v>
      </c>
      <c r="N34" t="n">
        <v>8</v>
      </c>
      <c r="O34" t="inlineStr">
        <is>
          <t>Ready</t>
        </is>
      </c>
      <c r="P34" t="inlineStr">
        <is>
          <t>tenant</t>
        </is>
      </c>
      <c r="Q34" t="inlineStr">
        <is>
          <t>CUST-7349</t>
        </is>
      </c>
      <c r="R34" t="inlineStr">
        <is>
          <t>N</t>
        </is>
      </c>
      <c r="T34" t="inlineStr">
        <is>
          <t>N</t>
        </is>
      </c>
    </row>
    <row r="35">
      <c r="A35" t="inlineStr">
        <is>
          <t>MH-DC-001-TN-008</t>
        </is>
      </c>
      <c r="B35" t="inlineStr">
        <is>
          <t>MH-DC-001</t>
        </is>
      </c>
      <c r="C35" t="inlineStr">
        <is>
          <t>MH-DC-001-TN-008</t>
        </is>
      </c>
      <c r="D35" t="inlineStr">
        <is>
          <t>Tenant gear</t>
        </is>
      </c>
      <c r="E35" t="inlineStr">
        <is>
          <t>access</t>
        </is>
      </c>
      <c r="F35" t="inlineStr">
        <is>
          <t>Tenant-owned</t>
        </is>
      </c>
      <c r="G35" t="inlineStr">
        <is>
          <t>Mixed equipment</t>
        </is>
      </c>
      <c r="H35" t="inlineStr">
        <is>
          <t>—</t>
        </is>
      </c>
      <c r="L35" t="inlineStr">
        <is>
          <t>MH-DC-001-RACK-C</t>
        </is>
      </c>
      <c r="M35" t="n">
        <v>28</v>
      </c>
      <c r="N35" t="n">
        <v>4</v>
      </c>
      <c r="O35" t="inlineStr">
        <is>
          <t>Ready</t>
        </is>
      </c>
      <c r="P35" t="inlineStr">
        <is>
          <t>tenant</t>
        </is>
      </c>
      <c r="Q35" t="inlineStr">
        <is>
          <t>CUST-7349</t>
        </is>
      </c>
      <c r="R35" t="inlineStr">
        <is>
          <t>N</t>
        </is>
      </c>
      <c r="T35" t="inlineStr">
        <is>
          <t>N</t>
        </is>
      </c>
    </row>
    <row r="36">
      <c r="A36" t="inlineStr">
        <is>
          <t>MH-DC-001-TN-009</t>
        </is>
      </c>
      <c r="B36" t="inlineStr">
        <is>
          <t>MH-DC-001</t>
        </is>
      </c>
      <c r="C36" t="inlineStr">
        <is>
          <t>MH-DC-001-TN-009</t>
        </is>
      </c>
      <c r="D36" t="inlineStr">
        <is>
          <t>Tenant gear</t>
        </is>
      </c>
      <c r="E36" t="inlineStr">
        <is>
          <t>access</t>
        </is>
      </c>
      <c r="F36" t="inlineStr">
        <is>
          <t>Tenant-owned</t>
        </is>
      </c>
      <c r="G36" t="inlineStr">
        <is>
          <t>Blade chassis</t>
        </is>
      </c>
      <c r="H36" t="inlineStr">
        <is>
          <t>—</t>
        </is>
      </c>
      <c r="L36" t="inlineStr">
        <is>
          <t>MH-DC-001-RACK-C</t>
        </is>
      </c>
      <c r="M36" t="n">
        <v>32</v>
      </c>
      <c r="N36" t="n">
        <v>4</v>
      </c>
      <c r="O36" t="inlineStr">
        <is>
          <t>Ready</t>
        </is>
      </c>
      <c r="P36" t="inlineStr">
        <is>
          <t>tenant</t>
        </is>
      </c>
      <c r="Q36" t="inlineStr">
        <is>
          <t>CUST-7349</t>
        </is>
      </c>
      <c r="R36" t="inlineStr">
        <is>
          <t>N</t>
        </is>
      </c>
      <c r="T36" t="inlineStr">
        <is>
          <t>N</t>
        </is>
      </c>
    </row>
    <row r="37">
      <c r="A37" t="inlineStr">
        <is>
          <t>MH-DC-001-TN-010</t>
        </is>
      </c>
      <c r="B37" t="inlineStr">
        <is>
          <t>MH-DC-001</t>
        </is>
      </c>
      <c r="C37" t="inlineStr">
        <is>
          <t>MH-DC-001-TN-010</t>
        </is>
      </c>
      <c r="D37" t="inlineStr">
        <is>
          <t>Tenant gear</t>
        </is>
      </c>
      <c r="E37" t="inlineStr">
        <is>
          <t>access</t>
        </is>
      </c>
      <c r="F37" t="inlineStr">
        <is>
          <t>Tenant-owned</t>
        </is>
      </c>
      <c r="G37" t="inlineStr">
        <is>
          <t>Mixed equipment</t>
        </is>
      </c>
      <c r="H37" t="inlineStr">
        <is>
          <t>—</t>
        </is>
      </c>
      <c r="L37" t="inlineStr">
        <is>
          <t>MH-DC-001-RACK-D</t>
        </is>
      </c>
      <c r="M37" t="n">
        <v>2</v>
      </c>
      <c r="N37" t="n">
        <v>10</v>
      </c>
      <c r="O37" t="inlineStr">
        <is>
          <t>Ready</t>
        </is>
      </c>
      <c r="P37" t="inlineStr">
        <is>
          <t>tenant</t>
        </is>
      </c>
      <c r="Q37" t="inlineStr">
        <is>
          <t>CUST-2954</t>
        </is>
      </c>
      <c r="R37" t="inlineStr">
        <is>
          <t>N</t>
        </is>
      </c>
      <c r="T37" t="inlineStr">
        <is>
          <t>N</t>
        </is>
      </c>
    </row>
    <row r="38">
      <c r="A38" t="inlineStr">
        <is>
          <t>MH-DC-001-TN-011</t>
        </is>
      </c>
      <c r="B38" t="inlineStr">
        <is>
          <t>MH-DC-001</t>
        </is>
      </c>
      <c r="C38" t="inlineStr">
        <is>
          <t>MH-DC-001-TN-011</t>
        </is>
      </c>
      <c r="D38" t="inlineStr">
        <is>
          <t>Tenant gear</t>
        </is>
      </c>
      <c r="E38" t="inlineStr">
        <is>
          <t>access</t>
        </is>
      </c>
      <c r="F38" t="inlineStr">
        <is>
          <t>Tenant-owned</t>
        </is>
      </c>
      <c r="G38" t="inlineStr">
        <is>
          <t>Network stack</t>
        </is>
      </c>
      <c r="H38" t="inlineStr">
        <is>
          <t>—</t>
        </is>
      </c>
      <c r="L38" t="inlineStr">
        <is>
          <t>MH-DC-001-RACK-D</t>
        </is>
      </c>
      <c r="M38" t="n">
        <v>12</v>
      </c>
      <c r="N38" t="n">
        <v>2</v>
      </c>
      <c r="O38" t="inlineStr">
        <is>
          <t>Ready</t>
        </is>
      </c>
      <c r="P38" t="inlineStr">
        <is>
          <t>tenant</t>
        </is>
      </c>
      <c r="Q38" t="inlineStr">
        <is>
          <t>CUST-2954</t>
        </is>
      </c>
      <c r="R38" t="inlineStr">
        <is>
          <t>N</t>
        </is>
      </c>
      <c r="T38" t="inlineStr">
        <is>
          <t>N</t>
        </is>
      </c>
    </row>
    <row r="39">
      <c r="A39" t="inlineStr">
        <is>
          <t>MH-DC-001-TN-012</t>
        </is>
      </c>
      <c r="B39" t="inlineStr">
        <is>
          <t>MH-DC-001</t>
        </is>
      </c>
      <c r="C39" t="inlineStr">
        <is>
          <t>MH-DC-001-TN-012</t>
        </is>
      </c>
      <c r="D39" t="inlineStr">
        <is>
          <t>Tenant gear</t>
        </is>
      </c>
      <c r="E39" t="inlineStr">
        <is>
          <t>access</t>
        </is>
      </c>
      <c r="F39" t="inlineStr">
        <is>
          <t>Tenant-owned</t>
        </is>
      </c>
      <c r="G39" t="inlineStr">
        <is>
          <t>Network stack</t>
        </is>
      </c>
      <c r="H39" t="inlineStr">
        <is>
          <t>—</t>
        </is>
      </c>
      <c r="L39" t="inlineStr">
        <is>
          <t>MH-DC-001-RACK-D</t>
        </is>
      </c>
      <c r="M39" t="n">
        <v>14</v>
      </c>
      <c r="N39" t="n">
        <v>10</v>
      </c>
      <c r="O39" t="inlineStr">
        <is>
          <t>Ready</t>
        </is>
      </c>
      <c r="P39" t="inlineStr">
        <is>
          <t>tenant</t>
        </is>
      </c>
      <c r="Q39" t="inlineStr">
        <is>
          <t>CUST-2954</t>
        </is>
      </c>
      <c r="R39" t="inlineStr">
        <is>
          <t>N</t>
        </is>
      </c>
      <c r="T39" t="inlineStr">
        <is>
          <t>N</t>
        </is>
      </c>
    </row>
    <row r="40">
      <c r="A40" t="inlineStr">
        <is>
          <t>MH-DC-001-TN-013</t>
        </is>
      </c>
      <c r="B40" t="inlineStr">
        <is>
          <t>MH-DC-001</t>
        </is>
      </c>
      <c r="C40" t="inlineStr">
        <is>
          <t>MH-DC-001-TN-013</t>
        </is>
      </c>
      <c r="D40" t="inlineStr">
        <is>
          <t>Tenant gear</t>
        </is>
      </c>
      <c r="E40" t="inlineStr">
        <is>
          <t>access</t>
        </is>
      </c>
      <c r="F40" t="inlineStr">
        <is>
          <t>Tenant-owned</t>
        </is>
      </c>
      <c r="G40" t="inlineStr">
        <is>
          <t>Network stack</t>
        </is>
      </c>
      <c r="H40" t="inlineStr">
        <is>
          <t>—</t>
        </is>
      </c>
      <c r="L40" t="inlineStr">
        <is>
          <t>MH-DC-001-RACK-D</t>
        </is>
      </c>
      <c r="M40" t="n">
        <v>24</v>
      </c>
      <c r="N40" t="n">
        <v>2</v>
      </c>
      <c r="O40" t="inlineStr">
        <is>
          <t>Ready</t>
        </is>
      </c>
      <c r="P40" t="inlineStr">
        <is>
          <t>tenant</t>
        </is>
      </c>
      <c r="Q40" t="inlineStr">
        <is>
          <t>CUST-2954</t>
        </is>
      </c>
      <c r="R40" t="inlineStr">
        <is>
          <t>N</t>
        </is>
      </c>
      <c r="T40" t="inlineStr">
        <is>
          <t>N</t>
        </is>
      </c>
    </row>
    <row r="41">
      <c r="A41" t="inlineStr">
        <is>
          <t>MH-DC-001-TN-014</t>
        </is>
      </c>
      <c r="B41" t="inlineStr">
        <is>
          <t>MH-DC-001</t>
        </is>
      </c>
      <c r="C41" t="inlineStr">
        <is>
          <t>MH-DC-001-TN-014</t>
        </is>
      </c>
      <c r="D41" t="inlineStr">
        <is>
          <t>Tenant gear</t>
        </is>
      </c>
      <c r="E41" t="inlineStr">
        <is>
          <t>access</t>
        </is>
      </c>
      <c r="F41" t="inlineStr">
        <is>
          <t>Tenant-owned</t>
        </is>
      </c>
      <c r="G41" t="inlineStr">
        <is>
          <t>Storage array</t>
        </is>
      </c>
      <c r="H41" t="inlineStr">
        <is>
          <t>—</t>
        </is>
      </c>
      <c r="L41" t="inlineStr">
        <is>
          <t>MH-DC-001-RACK-D</t>
        </is>
      </c>
      <c r="M41" t="n">
        <v>26</v>
      </c>
      <c r="N41" t="n">
        <v>10</v>
      </c>
      <c r="O41" t="inlineStr">
        <is>
          <t>Ready</t>
        </is>
      </c>
      <c r="P41" t="inlineStr">
        <is>
          <t>tenant</t>
        </is>
      </c>
      <c r="Q41" t="inlineStr">
        <is>
          <t>CUST-2954</t>
        </is>
      </c>
      <c r="R41" t="inlineStr">
        <is>
          <t>N</t>
        </is>
      </c>
      <c r="T41" t="inlineStr">
        <is>
          <t>N</t>
        </is>
      </c>
    </row>
    <row r="42">
      <c r="A42" t="inlineStr">
        <is>
          <t>MH-DC-001-TN-015</t>
        </is>
      </c>
      <c r="B42" t="inlineStr">
        <is>
          <t>MH-DC-001</t>
        </is>
      </c>
      <c r="C42" t="inlineStr">
        <is>
          <t>MH-DC-001-TN-015</t>
        </is>
      </c>
      <c r="D42" t="inlineStr">
        <is>
          <t>Tenant gear</t>
        </is>
      </c>
      <c r="E42" t="inlineStr">
        <is>
          <t>access</t>
        </is>
      </c>
      <c r="F42" t="inlineStr">
        <is>
          <t>Tenant-owned</t>
        </is>
      </c>
      <c r="G42" t="inlineStr">
        <is>
          <t>Storage array</t>
        </is>
      </c>
      <c r="H42" t="inlineStr">
        <is>
          <t>—</t>
        </is>
      </c>
      <c r="L42" t="inlineStr">
        <is>
          <t>MH-DC-001-RACK-E</t>
        </is>
      </c>
      <c r="M42" t="n">
        <v>2</v>
      </c>
      <c r="N42" t="n">
        <v>10</v>
      </c>
      <c r="O42" t="inlineStr">
        <is>
          <t>Ready</t>
        </is>
      </c>
      <c r="P42" t="inlineStr">
        <is>
          <t>tenant</t>
        </is>
      </c>
      <c r="Q42" t="inlineStr">
        <is>
          <t>CUST-2954</t>
        </is>
      </c>
      <c r="R42" t="inlineStr">
        <is>
          <t>N</t>
        </is>
      </c>
      <c r="T42" t="inlineStr">
        <is>
          <t>N</t>
        </is>
      </c>
    </row>
    <row r="43">
      <c r="A43" t="inlineStr">
        <is>
          <t>MH-DC-001-TN-016</t>
        </is>
      </c>
      <c r="B43" t="inlineStr">
        <is>
          <t>MH-DC-001</t>
        </is>
      </c>
      <c r="C43" t="inlineStr">
        <is>
          <t>MH-DC-001-TN-016</t>
        </is>
      </c>
      <c r="D43" t="inlineStr">
        <is>
          <t>Tenant gear</t>
        </is>
      </c>
      <c r="E43" t="inlineStr">
        <is>
          <t>access</t>
        </is>
      </c>
      <c r="F43" t="inlineStr">
        <is>
          <t>Tenant-owned</t>
        </is>
      </c>
      <c r="G43" t="inlineStr">
        <is>
          <t>Rack servers</t>
        </is>
      </c>
      <c r="H43" t="inlineStr">
        <is>
          <t>—</t>
        </is>
      </c>
      <c r="L43" t="inlineStr">
        <is>
          <t>MH-DC-001-RACK-E</t>
        </is>
      </c>
      <c r="M43" t="n">
        <v>12</v>
      </c>
      <c r="N43" t="n">
        <v>8</v>
      </c>
      <c r="O43" t="inlineStr">
        <is>
          <t>Ready</t>
        </is>
      </c>
      <c r="P43" t="inlineStr">
        <is>
          <t>tenant</t>
        </is>
      </c>
      <c r="Q43" t="inlineStr">
        <is>
          <t>CUST-2954</t>
        </is>
      </c>
      <c r="R43" t="inlineStr">
        <is>
          <t>N</t>
        </is>
      </c>
      <c r="T43" t="inlineStr">
        <is>
          <t>N</t>
        </is>
      </c>
    </row>
    <row r="44">
      <c r="A44" t="inlineStr">
        <is>
          <t>MH-DC-001-TN-017</t>
        </is>
      </c>
      <c r="B44" t="inlineStr">
        <is>
          <t>MH-DC-001</t>
        </is>
      </c>
      <c r="C44" t="inlineStr">
        <is>
          <t>MH-DC-001-TN-017</t>
        </is>
      </c>
      <c r="D44" t="inlineStr">
        <is>
          <t>Tenant gear</t>
        </is>
      </c>
      <c r="E44" t="inlineStr">
        <is>
          <t>access</t>
        </is>
      </c>
      <c r="F44" t="inlineStr">
        <is>
          <t>Tenant-owned</t>
        </is>
      </c>
      <c r="G44" t="inlineStr">
        <is>
          <t>HPC nodes</t>
        </is>
      </c>
      <c r="H44" t="inlineStr">
        <is>
          <t>—</t>
        </is>
      </c>
      <c r="L44" t="inlineStr">
        <is>
          <t>MH-DC-001-RACK-E</t>
        </is>
      </c>
      <c r="M44" t="n">
        <v>20</v>
      </c>
      <c r="N44" t="n">
        <v>6</v>
      </c>
      <c r="O44" t="inlineStr">
        <is>
          <t>Ready</t>
        </is>
      </c>
      <c r="P44" t="inlineStr">
        <is>
          <t>tenant</t>
        </is>
      </c>
      <c r="Q44" t="inlineStr">
        <is>
          <t>CUST-2954</t>
        </is>
      </c>
      <c r="R44" t="inlineStr">
        <is>
          <t>N</t>
        </is>
      </c>
      <c r="T44" t="inlineStr">
        <is>
          <t>N</t>
        </is>
      </c>
    </row>
    <row r="45">
      <c r="A45" t="inlineStr">
        <is>
          <t>MH-DC-001-TN-018</t>
        </is>
      </c>
      <c r="B45" t="inlineStr">
        <is>
          <t>MH-DC-001</t>
        </is>
      </c>
      <c r="C45" t="inlineStr">
        <is>
          <t>MH-DC-001-TN-018</t>
        </is>
      </c>
      <c r="D45" t="inlineStr">
        <is>
          <t>Tenant gear</t>
        </is>
      </c>
      <c r="E45" t="inlineStr">
        <is>
          <t>access</t>
        </is>
      </c>
      <c r="F45" t="inlineStr">
        <is>
          <t>Tenant-owned</t>
        </is>
      </c>
      <c r="G45" t="inlineStr">
        <is>
          <t>HPC nodes</t>
        </is>
      </c>
      <c r="H45" t="inlineStr">
        <is>
          <t>—</t>
        </is>
      </c>
      <c r="L45" t="inlineStr">
        <is>
          <t>MH-DC-001-RACK-E</t>
        </is>
      </c>
      <c r="M45" t="n">
        <v>26</v>
      </c>
      <c r="N45" t="n">
        <v>6</v>
      </c>
      <c r="O45" t="inlineStr">
        <is>
          <t>Ready</t>
        </is>
      </c>
      <c r="P45" t="inlineStr">
        <is>
          <t>tenant</t>
        </is>
      </c>
      <c r="Q45" t="inlineStr">
        <is>
          <t>CUST-2954</t>
        </is>
      </c>
      <c r="R45" t="inlineStr">
        <is>
          <t>N</t>
        </is>
      </c>
      <c r="T45" t="inlineStr">
        <is>
          <t>N</t>
        </is>
      </c>
    </row>
    <row r="46">
      <c r="A46" t="inlineStr">
        <is>
          <t>MH-DC-001-TN-019</t>
        </is>
      </c>
      <c r="B46" t="inlineStr">
        <is>
          <t>MH-DC-001</t>
        </is>
      </c>
      <c r="C46" t="inlineStr">
        <is>
          <t>MH-DC-001-TN-019</t>
        </is>
      </c>
      <c r="D46" t="inlineStr">
        <is>
          <t>Tenant gear</t>
        </is>
      </c>
      <c r="E46" t="inlineStr">
        <is>
          <t>access</t>
        </is>
      </c>
      <c r="F46" t="inlineStr">
        <is>
          <t>Tenant-owned</t>
        </is>
      </c>
      <c r="G46" t="inlineStr">
        <is>
          <t>HPC nodes</t>
        </is>
      </c>
      <c r="H46" t="inlineStr">
        <is>
          <t>—</t>
        </is>
      </c>
      <c r="L46" t="inlineStr">
        <is>
          <t>MH-DC-001-RACK-E</t>
        </is>
      </c>
      <c r="M46" t="n">
        <v>32</v>
      </c>
      <c r="N46" t="n">
        <v>2</v>
      </c>
      <c r="O46" t="inlineStr">
        <is>
          <t>Ready</t>
        </is>
      </c>
      <c r="P46" t="inlineStr">
        <is>
          <t>tenant</t>
        </is>
      </c>
      <c r="Q46" t="inlineStr">
        <is>
          <t>CUST-2954</t>
        </is>
      </c>
      <c r="R46" t="inlineStr">
        <is>
          <t>N</t>
        </is>
      </c>
      <c r="T46" t="inlineStr">
        <is>
          <t>N</t>
        </is>
      </c>
    </row>
    <row r="47">
      <c r="A47" t="inlineStr">
        <is>
          <t>MH-DC-001-TN-020</t>
        </is>
      </c>
      <c r="B47" t="inlineStr">
        <is>
          <t>MH-DC-001</t>
        </is>
      </c>
      <c r="C47" t="inlineStr">
        <is>
          <t>MH-DC-001-TN-020</t>
        </is>
      </c>
      <c r="D47" t="inlineStr">
        <is>
          <t>Tenant gear</t>
        </is>
      </c>
      <c r="E47" t="inlineStr">
        <is>
          <t>access</t>
        </is>
      </c>
      <c r="F47" t="inlineStr">
        <is>
          <t>Tenant-owned</t>
        </is>
      </c>
      <c r="G47" t="inlineStr">
        <is>
          <t>HPC nodes</t>
        </is>
      </c>
      <c r="H47" t="inlineStr">
        <is>
          <t>—</t>
        </is>
      </c>
      <c r="L47" t="inlineStr">
        <is>
          <t>MH-DC-001-RACK-F</t>
        </is>
      </c>
      <c r="M47" t="n">
        <v>2</v>
      </c>
      <c r="N47" t="n">
        <v>8</v>
      </c>
      <c r="O47" t="inlineStr">
        <is>
          <t>Ready</t>
        </is>
      </c>
      <c r="P47" t="inlineStr">
        <is>
          <t>tenant</t>
        </is>
      </c>
      <c r="Q47" t="inlineStr">
        <is>
          <t>CUST-9111</t>
        </is>
      </c>
      <c r="R47" t="inlineStr">
        <is>
          <t>N</t>
        </is>
      </c>
      <c r="T47" t="inlineStr">
        <is>
          <t>N</t>
        </is>
      </c>
    </row>
    <row r="48">
      <c r="A48" t="inlineStr">
        <is>
          <t>MH-DC-001-TN-021</t>
        </is>
      </c>
      <c r="B48" t="inlineStr">
        <is>
          <t>MH-DC-001</t>
        </is>
      </c>
      <c r="C48" t="inlineStr">
        <is>
          <t>MH-DC-001-TN-021</t>
        </is>
      </c>
      <c r="D48" t="inlineStr">
        <is>
          <t>Tenant gear</t>
        </is>
      </c>
      <c r="E48" t="inlineStr">
        <is>
          <t>access</t>
        </is>
      </c>
      <c r="F48" t="inlineStr">
        <is>
          <t>Tenant-owned</t>
        </is>
      </c>
      <c r="G48" t="inlineStr">
        <is>
          <t>HPC nodes</t>
        </is>
      </c>
      <c r="H48" t="inlineStr">
        <is>
          <t>—</t>
        </is>
      </c>
      <c r="L48" t="inlineStr">
        <is>
          <t>MH-DC-001-RACK-F</t>
        </is>
      </c>
      <c r="M48" t="n">
        <v>10</v>
      </c>
      <c r="N48" t="n">
        <v>4</v>
      </c>
      <c r="O48" t="inlineStr">
        <is>
          <t>Ready</t>
        </is>
      </c>
      <c r="P48" t="inlineStr">
        <is>
          <t>tenant</t>
        </is>
      </c>
      <c r="Q48" t="inlineStr">
        <is>
          <t>CUST-9111</t>
        </is>
      </c>
      <c r="R48" t="inlineStr">
        <is>
          <t>N</t>
        </is>
      </c>
      <c r="T48" t="inlineStr">
        <is>
          <t>N</t>
        </is>
      </c>
    </row>
    <row r="49">
      <c r="A49" t="inlineStr">
        <is>
          <t>MH-DC-001-TN-022</t>
        </is>
      </c>
      <c r="B49" t="inlineStr">
        <is>
          <t>MH-DC-001</t>
        </is>
      </c>
      <c r="C49" t="inlineStr">
        <is>
          <t>MH-DC-001-TN-022</t>
        </is>
      </c>
      <c r="D49" t="inlineStr">
        <is>
          <t>Tenant gear</t>
        </is>
      </c>
      <c r="E49" t="inlineStr">
        <is>
          <t>access</t>
        </is>
      </c>
      <c r="F49" t="inlineStr">
        <is>
          <t>Tenant-owned</t>
        </is>
      </c>
      <c r="G49" t="inlineStr">
        <is>
          <t>HPC nodes</t>
        </is>
      </c>
      <c r="H49" t="inlineStr">
        <is>
          <t>—</t>
        </is>
      </c>
      <c r="L49" t="inlineStr">
        <is>
          <t>MH-DC-001-RACK-F</t>
        </is>
      </c>
      <c r="M49" t="n">
        <v>14</v>
      </c>
      <c r="N49" t="n">
        <v>8</v>
      </c>
      <c r="O49" t="inlineStr">
        <is>
          <t>Ready</t>
        </is>
      </c>
      <c r="P49" t="inlineStr">
        <is>
          <t>tenant</t>
        </is>
      </c>
      <c r="Q49" t="inlineStr">
        <is>
          <t>CUST-9111</t>
        </is>
      </c>
      <c r="R49" t="inlineStr">
        <is>
          <t>N</t>
        </is>
      </c>
      <c r="T49" t="inlineStr">
        <is>
          <t>N</t>
        </is>
      </c>
    </row>
    <row r="50">
      <c r="A50" t="inlineStr">
        <is>
          <t>MH-DC-001-TN-023</t>
        </is>
      </c>
      <c r="B50" t="inlineStr">
        <is>
          <t>MH-DC-001</t>
        </is>
      </c>
      <c r="C50" t="inlineStr">
        <is>
          <t>MH-DC-001-TN-023</t>
        </is>
      </c>
      <c r="D50" t="inlineStr">
        <is>
          <t>Tenant gear</t>
        </is>
      </c>
      <c r="E50" t="inlineStr">
        <is>
          <t>access</t>
        </is>
      </c>
      <c r="F50" t="inlineStr">
        <is>
          <t>Tenant-owned</t>
        </is>
      </c>
      <c r="G50" t="inlineStr">
        <is>
          <t>Rack servers</t>
        </is>
      </c>
      <c r="H50" t="inlineStr">
        <is>
          <t>—</t>
        </is>
      </c>
      <c r="L50" t="inlineStr">
        <is>
          <t>MH-DC-001-RACK-F</t>
        </is>
      </c>
      <c r="M50" t="n">
        <v>22</v>
      </c>
      <c r="N50" t="n">
        <v>6</v>
      </c>
      <c r="O50" t="inlineStr">
        <is>
          <t>Ready</t>
        </is>
      </c>
      <c r="P50" t="inlineStr">
        <is>
          <t>tenant</t>
        </is>
      </c>
      <c r="Q50" t="inlineStr">
        <is>
          <t>CUST-9111</t>
        </is>
      </c>
      <c r="R50" t="inlineStr">
        <is>
          <t>N</t>
        </is>
      </c>
      <c r="T50" t="inlineStr">
        <is>
          <t>N</t>
        </is>
      </c>
    </row>
    <row r="51">
      <c r="A51" t="inlineStr">
        <is>
          <t>MH-DC-001-TN-024</t>
        </is>
      </c>
      <c r="B51" t="inlineStr">
        <is>
          <t>MH-DC-001</t>
        </is>
      </c>
      <c r="C51" t="inlineStr">
        <is>
          <t>MH-DC-001-TN-024</t>
        </is>
      </c>
      <c r="D51" t="inlineStr">
        <is>
          <t>Tenant gear</t>
        </is>
      </c>
      <c r="E51" t="inlineStr">
        <is>
          <t>access</t>
        </is>
      </c>
      <c r="F51" t="inlineStr">
        <is>
          <t>Tenant-owned</t>
        </is>
      </c>
      <c r="G51" t="inlineStr">
        <is>
          <t>Network stack</t>
        </is>
      </c>
      <c r="H51" t="inlineStr">
        <is>
          <t>—</t>
        </is>
      </c>
      <c r="L51" t="inlineStr">
        <is>
          <t>MH-DC-001-RACK-F</t>
        </is>
      </c>
      <c r="M51" t="n">
        <v>28</v>
      </c>
      <c r="N51" t="n">
        <v>4</v>
      </c>
      <c r="O51" t="inlineStr">
        <is>
          <t>Ready</t>
        </is>
      </c>
      <c r="P51" t="inlineStr">
        <is>
          <t>tenant</t>
        </is>
      </c>
      <c r="Q51" t="inlineStr">
        <is>
          <t>CUST-9111</t>
        </is>
      </c>
      <c r="R51" t="inlineStr">
        <is>
          <t>N</t>
        </is>
      </c>
      <c r="T51" t="inlineStr">
        <is>
          <t>N</t>
        </is>
      </c>
    </row>
    <row r="52">
      <c r="A52" t="inlineStr">
        <is>
          <t>MH-DC-001-TN-025</t>
        </is>
      </c>
      <c r="B52" t="inlineStr">
        <is>
          <t>MH-DC-001</t>
        </is>
      </c>
      <c r="C52" t="inlineStr">
        <is>
          <t>MH-DC-001-TN-025</t>
        </is>
      </c>
      <c r="D52" t="inlineStr">
        <is>
          <t>Tenant gear</t>
        </is>
      </c>
      <c r="E52" t="inlineStr">
        <is>
          <t>access</t>
        </is>
      </c>
      <c r="F52" t="inlineStr">
        <is>
          <t>Tenant-owned</t>
        </is>
      </c>
      <c r="G52" t="inlineStr">
        <is>
          <t>Blade chassis</t>
        </is>
      </c>
      <c r="H52" t="inlineStr">
        <is>
          <t>—</t>
        </is>
      </c>
      <c r="L52" t="inlineStr">
        <is>
          <t>MH-DC-001-RACK-F</t>
        </is>
      </c>
      <c r="M52" t="n">
        <v>32</v>
      </c>
      <c r="N52" t="n">
        <v>4</v>
      </c>
      <c r="O52" t="inlineStr">
        <is>
          <t>Ready</t>
        </is>
      </c>
      <c r="P52" t="inlineStr">
        <is>
          <t>tenant</t>
        </is>
      </c>
      <c r="Q52" t="inlineStr">
        <is>
          <t>CUST-9111</t>
        </is>
      </c>
      <c r="R52" t="inlineStr">
        <is>
          <t>N</t>
        </is>
      </c>
      <c r="T52" t="inlineStr">
        <is>
          <t>N</t>
        </is>
      </c>
    </row>
    <row r="53">
      <c r="A53" t="inlineStr">
        <is>
          <t>MH-DC-001-TN-026</t>
        </is>
      </c>
      <c r="B53" t="inlineStr">
        <is>
          <t>MH-DC-001</t>
        </is>
      </c>
      <c r="C53" t="inlineStr">
        <is>
          <t>MH-DC-001-TN-026</t>
        </is>
      </c>
      <c r="D53" t="inlineStr">
        <is>
          <t>Tenant gear</t>
        </is>
      </c>
      <c r="E53" t="inlineStr">
        <is>
          <t>access</t>
        </is>
      </c>
      <c r="F53" t="inlineStr">
        <is>
          <t>Tenant-owned</t>
        </is>
      </c>
      <c r="G53" t="inlineStr">
        <is>
          <t>Storage array</t>
        </is>
      </c>
      <c r="H53" t="inlineStr">
        <is>
          <t>—</t>
        </is>
      </c>
      <c r="L53" t="inlineStr">
        <is>
          <t>MH-DC-001-RACK-G</t>
        </is>
      </c>
      <c r="M53" t="n">
        <v>2</v>
      </c>
      <c r="N53" t="n">
        <v>2</v>
      </c>
      <c r="O53" t="inlineStr">
        <is>
          <t>Ready</t>
        </is>
      </c>
      <c r="P53" t="inlineStr">
        <is>
          <t>tenant</t>
        </is>
      </c>
      <c r="Q53" t="inlineStr">
        <is>
          <t>CUST-9111</t>
        </is>
      </c>
      <c r="R53" t="inlineStr">
        <is>
          <t>N</t>
        </is>
      </c>
      <c r="T53" t="inlineStr">
        <is>
          <t>N</t>
        </is>
      </c>
    </row>
    <row r="54">
      <c r="A54" t="inlineStr">
        <is>
          <t>MH-DC-001-TN-027</t>
        </is>
      </c>
      <c r="B54" t="inlineStr">
        <is>
          <t>MH-DC-001</t>
        </is>
      </c>
      <c r="C54" t="inlineStr">
        <is>
          <t>MH-DC-001-TN-027</t>
        </is>
      </c>
      <c r="D54" t="inlineStr">
        <is>
          <t>Tenant gear</t>
        </is>
      </c>
      <c r="E54" t="inlineStr">
        <is>
          <t>access</t>
        </is>
      </c>
      <c r="F54" t="inlineStr">
        <is>
          <t>Tenant-owned</t>
        </is>
      </c>
      <c r="G54" t="inlineStr">
        <is>
          <t>Mixed equipment</t>
        </is>
      </c>
      <c r="H54" t="inlineStr">
        <is>
          <t>—</t>
        </is>
      </c>
      <c r="L54" t="inlineStr">
        <is>
          <t>MH-DC-001-RACK-G</t>
        </is>
      </c>
      <c r="M54" t="n">
        <v>4</v>
      </c>
      <c r="N54" t="n">
        <v>4</v>
      </c>
      <c r="O54" t="inlineStr">
        <is>
          <t>Ready</t>
        </is>
      </c>
      <c r="P54" t="inlineStr">
        <is>
          <t>tenant</t>
        </is>
      </c>
      <c r="Q54" t="inlineStr">
        <is>
          <t>CUST-9111</t>
        </is>
      </c>
      <c r="R54" t="inlineStr">
        <is>
          <t>N</t>
        </is>
      </c>
      <c r="T54" t="inlineStr">
        <is>
          <t>N</t>
        </is>
      </c>
    </row>
    <row r="55">
      <c r="A55" t="inlineStr">
        <is>
          <t>MH-DC-001-TN-028</t>
        </is>
      </c>
      <c r="B55" t="inlineStr">
        <is>
          <t>MH-DC-001</t>
        </is>
      </c>
      <c r="C55" t="inlineStr">
        <is>
          <t>MH-DC-001-TN-028</t>
        </is>
      </c>
      <c r="D55" t="inlineStr">
        <is>
          <t>Tenant gear</t>
        </is>
      </c>
      <c r="E55" t="inlineStr">
        <is>
          <t>access</t>
        </is>
      </c>
      <c r="F55" t="inlineStr">
        <is>
          <t>Tenant-owned</t>
        </is>
      </c>
      <c r="G55" t="inlineStr">
        <is>
          <t>Rack servers</t>
        </is>
      </c>
      <c r="H55" t="inlineStr">
        <is>
          <t>—</t>
        </is>
      </c>
      <c r="L55" t="inlineStr">
        <is>
          <t>MH-DC-001-RACK-G</t>
        </is>
      </c>
      <c r="M55" t="n">
        <v>8</v>
      </c>
      <c r="N55" t="n">
        <v>2</v>
      </c>
      <c r="O55" t="inlineStr">
        <is>
          <t>Ready</t>
        </is>
      </c>
      <c r="P55" t="inlineStr">
        <is>
          <t>tenant</t>
        </is>
      </c>
      <c r="Q55" t="inlineStr">
        <is>
          <t>CUST-9111</t>
        </is>
      </c>
      <c r="R55" t="inlineStr">
        <is>
          <t>N</t>
        </is>
      </c>
      <c r="T55" t="inlineStr">
        <is>
          <t>N</t>
        </is>
      </c>
    </row>
    <row r="56">
      <c r="A56" t="inlineStr">
        <is>
          <t>MH-DC-001-TN-029</t>
        </is>
      </c>
      <c r="B56" t="inlineStr">
        <is>
          <t>MH-DC-001</t>
        </is>
      </c>
      <c r="C56" t="inlineStr">
        <is>
          <t>MH-DC-001-TN-029</t>
        </is>
      </c>
      <c r="D56" t="inlineStr">
        <is>
          <t>Tenant gear</t>
        </is>
      </c>
      <c r="E56" t="inlineStr">
        <is>
          <t>access</t>
        </is>
      </c>
      <c r="F56" t="inlineStr">
        <is>
          <t>Tenant-owned</t>
        </is>
      </c>
      <c r="G56" t="inlineStr">
        <is>
          <t>Rack servers</t>
        </is>
      </c>
      <c r="H56" t="inlineStr">
        <is>
          <t>—</t>
        </is>
      </c>
      <c r="L56" t="inlineStr">
        <is>
          <t>MH-DC-001-RACK-G</t>
        </is>
      </c>
      <c r="M56" t="n">
        <v>10</v>
      </c>
      <c r="N56" t="n">
        <v>4</v>
      </c>
      <c r="O56" t="inlineStr">
        <is>
          <t>Ready</t>
        </is>
      </c>
      <c r="P56" t="inlineStr">
        <is>
          <t>tenant</t>
        </is>
      </c>
      <c r="Q56" t="inlineStr">
        <is>
          <t>CUST-9111</t>
        </is>
      </c>
      <c r="R56" t="inlineStr">
        <is>
          <t>N</t>
        </is>
      </c>
      <c r="T56" t="inlineStr">
        <is>
          <t>N</t>
        </is>
      </c>
    </row>
    <row r="57">
      <c r="A57" t="inlineStr">
        <is>
          <t>MH-DC-001-TN-030</t>
        </is>
      </c>
      <c r="B57" t="inlineStr">
        <is>
          <t>MH-DC-001</t>
        </is>
      </c>
      <c r="C57" t="inlineStr">
        <is>
          <t>MH-DC-001-TN-030</t>
        </is>
      </c>
      <c r="D57" t="inlineStr">
        <is>
          <t>Tenant gear</t>
        </is>
      </c>
      <c r="E57" t="inlineStr">
        <is>
          <t>access</t>
        </is>
      </c>
      <c r="F57" t="inlineStr">
        <is>
          <t>Tenant-owned</t>
        </is>
      </c>
      <c r="G57" t="inlineStr">
        <is>
          <t>Network stack</t>
        </is>
      </c>
      <c r="H57" t="inlineStr">
        <is>
          <t>—</t>
        </is>
      </c>
      <c r="L57" t="inlineStr">
        <is>
          <t>MH-DC-001-RACK-G</t>
        </is>
      </c>
      <c r="M57" t="n">
        <v>14</v>
      </c>
      <c r="N57" t="n">
        <v>2</v>
      </c>
      <c r="O57" t="inlineStr">
        <is>
          <t>Ready</t>
        </is>
      </c>
      <c r="P57" t="inlineStr">
        <is>
          <t>tenant</t>
        </is>
      </c>
      <c r="Q57" t="inlineStr">
        <is>
          <t>CUST-9111</t>
        </is>
      </c>
      <c r="R57" t="inlineStr">
        <is>
          <t>N</t>
        </is>
      </c>
      <c r="T57" t="inlineStr">
        <is>
          <t>N</t>
        </is>
      </c>
    </row>
    <row r="58">
      <c r="A58" t="inlineStr">
        <is>
          <t>MH-DC-001-TN-031</t>
        </is>
      </c>
      <c r="B58" t="inlineStr">
        <is>
          <t>MH-DC-001</t>
        </is>
      </c>
      <c r="C58" t="inlineStr">
        <is>
          <t>MH-DC-001-TN-031</t>
        </is>
      </c>
      <c r="D58" t="inlineStr">
        <is>
          <t>Tenant gear</t>
        </is>
      </c>
      <c r="E58" t="inlineStr">
        <is>
          <t>access</t>
        </is>
      </c>
      <c r="F58" t="inlineStr">
        <is>
          <t>Tenant-owned</t>
        </is>
      </c>
      <c r="G58" t="inlineStr">
        <is>
          <t>Storage array</t>
        </is>
      </c>
      <c r="H58" t="inlineStr">
        <is>
          <t>—</t>
        </is>
      </c>
      <c r="L58" t="inlineStr">
        <is>
          <t>MH-DC-001-RACK-G</t>
        </is>
      </c>
      <c r="M58" t="n">
        <v>16</v>
      </c>
      <c r="N58" t="n">
        <v>6</v>
      </c>
      <c r="O58" t="inlineStr">
        <is>
          <t>Ready</t>
        </is>
      </c>
      <c r="P58" t="inlineStr">
        <is>
          <t>tenant</t>
        </is>
      </c>
      <c r="Q58" t="inlineStr">
        <is>
          <t>CUST-9111</t>
        </is>
      </c>
      <c r="R58" t="inlineStr">
        <is>
          <t>N</t>
        </is>
      </c>
      <c r="T58" t="inlineStr">
        <is>
          <t>N</t>
        </is>
      </c>
    </row>
    <row r="59">
      <c r="A59" t="inlineStr">
        <is>
          <t>MH-DC-001-TN-032</t>
        </is>
      </c>
      <c r="B59" t="inlineStr">
        <is>
          <t>MH-DC-001</t>
        </is>
      </c>
      <c r="C59" t="inlineStr">
        <is>
          <t>MH-DC-001-TN-032</t>
        </is>
      </c>
      <c r="D59" t="inlineStr">
        <is>
          <t>Tenant gear</t>
        </is>
      </c>
      <c r="E59" t="inlineStr">
        <is>
          <t>access</t>
        </is>
      </c>
      <c r="F59" t="inlineStr">
        <is>
          <t>Tenant-owned</t>
        </is>
      </c>
      <c r="G59" t="inlineStr">
        <is>
          <t>Blade chassis</t>
        </is>
      </c>
      <c r="H59" t="inlineStr">
        <is>
          <t>—</t>
        </is>
      </c>
      <c r="L59" t="inlineStr">
        <is>
          <t>MH-DC-001-RACK-G</t>
        </is>
      </c>
      <c r="M59" t="n">
        <v>22</v>
      </c>
      <c r="N59" t="n">
        <v>6</v>
      </c>
      <c r="O59" t="inlineStr">
        <is>
          <t>Ready</t>
        </is>
      </c>
      <c r="P59" t="inlineStr">
        <is>
          <t>tenant</t>
        </is>
      </c>
      <c r="Q59" t="inlineStr">
        <is>
          <t>CUST-9111</t>
        </is>
      </c>
      <c r="R59" t="inlineStr">
        <is>
          <t>N</t>
        </is>
      </c>
      <c r="T59" t="inlineStr">
        <is>
          <t>N</t>
        </is>
      </c>
    </row>
    <row r="60">
      <c r="A60" t="inlineStr">
        <is>
          <t>MH-DC-001-TN-033</t>
        </is>
      </c>
      <c r="B60" t="inlineStr">
        <is>
          <t>MH-DC-001</t>
        </is>
      </c>
      <c r="C60" t="inlineStr">
        <is>
          <t>MH-DC-001-TN-033</t>
        </is>
      </c>
      <c r="D60" t="inlineStr">
        <is>
          <t>Tenant gear</t>
        </is>
      </c>
      <c r="E60" t="inlineStr">
        <is>
          <t>access</t>
        </is>
      </c>
      <c r="F60" t="inlineStr">
        <is>
          <t>Tenant-owned</t>
        </is>
      </c>
      <c r="G60" t="inlineStr">
        <is>
          <t>Mixed equipment</t>
        </is>
      </c>
      <c r="H60" t="inlineStr">
        <is>
          <t>—</t>
        </is>
      </c>
      <c r="L60" t="inlineStr">
        <is>
          <t>MH-DC-001-RACK-G</t>
        </is>
      </c>
      <c r="M60" t="n">
        <v>28</v>
      </c>
      <c r="N60" t="n">
        <v>2</v>
      </c>
      <c r="O60" t="inlineStr">
        <is>
          <t>Ready</t>
        </is>
      </c>
      <c r="P60" t="inlineStr">
        <is>
          <t>tenant</t>
        </is>
      </c>
      <c r="Q60" t="inlineStr">
        <is>
          <t>CUST-9111</t>
        </is>
      </c>
      <c r="R60" t="inlineStr">
        <is>
          <t>N</t>
        </is>
      </c>
      <c r="T60" t="inlineStr">
        <is>
          <t>N</t>
        </is>
      </c>
    </row>
    <row r="61">
      <c r="A61" t="inlineStr">
        <is>
          <t>MH-DC-001-TN-034</t>
        </is>
      </c>
      <c r="B61" t="inlineStr">
        <is>
          <t>MH-DC-001</t>
        </is>
      </c>
      <c r="C61" t="inlineStr">
        <is>
          <t>MH-DC-001-TN-034</t>
        </is>
      </c>
      <c r="D61" t="inlineStr">
        <is>
          <t>Tenant gear</t>
        </is>
      </c>
      <c r="E61" t="inlineStr">
        <is>
          <t>access</t>
        </is>
      </c>
      <c r="F61" t="inlineStr">
        <is>
          <t>Tenant-owned</t>
        </is>
      </c>
      <c r="G61" t="inlineStr">
        <is>
          <t>Storage array</t>
        </is>
      </c>
      <c r="H61" t="inlineStr">
        <is>
          <t>—</t>
        </is>
      </c>
      <c r="L61" t="inlineStr">
        <is>
          <t>MH-DC-001-RACK-G</t>
        </is>
      </c>
      <c r="M61" t="n">
        <v>30</v>
      </c>
      <c r="N61" t="n">
        <v>4</v>
      </c>
      <c r="O61" t="inlineStr">
        <is>
          <t>Ready</t>
        </is>
      </c>
      <c r="P61" t="inlineStr">
        <is>
          <t>tenant</t>
        </is>
      </c>
      <c r="Q61" t="inlineStr">
        <is>
          <t>CUST-9111</t>
        </is>
      </c>
      <c r="R61" t="inlineStr">
        <is>
          <t>N</t>
        </is>
      </c>
      <c r="T61" t="inlineStr">
        <is>
          <t>N</t>
        </is>
      </c>
    </row>
    <row r="62">
      <c r="A62" t="inlineStr">
        <is>
          <t>MH-DC-001-TN-035</t>
        </is>
      </c>
      <c r="B62" t="inlineStr">
        <is>
          <t>MH-DC-001</t>
        </is>
      </c>
      <c r="C62" t="inlineStr">
        <is>
          <t>MH-DC-001-TN-035</t>
        </is>
      </c>
      <c r="D62" t="inlineStr">
        <is>
          <t>Tenant gear</t>
        </is>
      </c>
      <c r="E62" t="inlineStr">
        <is>
          <t>access</t>
        </is>
      </c>
      <c r="F62" t="inlineStr">
        <is>
          <t>Tenant-owned</t>
        </is>
      </c>
      <c r="G62" t="inlineStr">
        <is>
          <t>Mixed equipment</t>
        </is>
      </c>
      <c r="H62" t="inlineStr">
        <is>
          <t>—</t>
        </is>
      </c>
      <c r="L62" t="inlineStr">
        <is>
          <t>MH-DC-001-RACK-H</t>
        </is>
      </c>
      <c r="M62" t="n">
        <v>2</v>
      </c>
      <c r="N62" t="n">
        <v>6</v>
      </c>
      <c r="O62" t="inlineStr">
        <is>
          <t>Ready</t>
        </is>
      </c>
      <c r="P62" t="inlineStr">
        <is>
          <t>tenant</t>
        </is>
      </c>
      <c r="Q62" t="inlineStr">
        <is>
          <t>CUST-6478</t>
        </is>
      </c>
      <c r="R62" t="inlineStr">
        <is>
          <t>N</t>
        </is>
      </c>
      <c r="T62" t="inlineStr">
        <is>
          <t>N</t>
        </is>
      </c>
    </row>
    <row r="63">
      <c r="A63" t="inlineStr">
        <is>
          <t>MH-DC-001-TN-036</t>
        </is>
      </c>
      <c r="B63" t="inlineStr">
        <is>
          <t>MH-DC-001</t>
        </is>
      </c>
      <c r="C63" t="inlineStr">
        <is>
          <t>MH-DC-001-TN-036</t>
        </is>
      </c>
      <c r="D63" t="inlineStr">
        <is>
          <t>Tenant gear</t>
        </is>
      </c>
      <c r="E63" t="inlineStr">
        <is>
          <t>access</t>
        </is>
      </c>
      <c r="F63" t="inlineStr">
        <is>
          <t>Tenant-owned</t>
        </is>
      </c>
      <c r="G63" t="inlineStr">
        <is>
          <t>Blade chassis</t>
        </is>
      </c>
      <c r="H63" t="inlineStr">
        <is>
          <t>—</t>
        </is>
      </c>
      <c r="L63" t="inlineStr">
        <is>
          <t>MH-DC-001-RACK-H</t>
        </is>
      </c>
      <c r="M63" t="n">
        <v>8</v>
      </c>
      <c r="N63" t="n">
        <v>10</v>
      </c>
      <c r="O63" t="inlineStr">
        <is>
          <t>Ready</t>
        </is>
      </c>
      <c r="P63" t="inlineStr">
        <is>
          <t>tenant</t>
        </is>
      </c>
      <c r="Q63" t="inlineStr">
        <is>
          <t>CUST-6478</t>
        </is>
      </c>
      <c r="R63" t="inlineStr">
        <is>
          <t>N</t>
        </is>
      </c>
      <c r="T63" t="inlineStr">
        <is>
          <t>N</t>
        </is>
      </c>
    </row>
    <row r="64">
      <c r="A64" t="inlineStr">
        <is>
          <t>MH-DC-001-TN-037</t>
        </is>
      </c>
      <c r="B64" t="inlineStr">
        <is>
          <t>MH-DC-001</t>
        </is>
      </c>
      <c r="C64" t="inlineStr">
        <is>
          <t>MH-DC-001-TN-037</t>
        </is>
      </c>
      <c r="D64" t="inlineStr">
        <is>
          <t>Tenant gear</t>
        </is>
      </c>
      <c r="E64" t="inlineStr">
        <is>
          <t>access</t>
        </is>
      </c>
      <c r="F64" t="inlineStr">
        <is>
          <t>Tenant-owned</t>
        </is>
      </c>
      <c r="G64" t="inlineStr">
        <is>
          <t>HPC nodes</t>
        </is>
      </c>
      <c r="H64" t="inlineStr">
        <is>
          <t>—</t>
        </is>
      </c>
      <c r="L64" t="inlineStr">
        <is>
          <t>MH-DC-001-RACK-H</t>
        </is>
      </c>
      <c r="M64" t="n">
        <v>18</v>
      </c>
      <c r="N64" t="n">
        <v>4</v>
      </c>
      <c r="O64" t="inlineStr">
        <is>
          <t>Ready</t>
        </is>
      </c>
      <c r="P64" t="inlineStr">
        <is>
          <t>tenant</t>
        </is>
      </c>
      <c r="Q64" t="inlineStr">
        <is>
          <t>CUST-6478</t>
        </is>
      </c>
      <c r="R64" t="inlineStr">
        <is>
          <t>N</t>
        </is>
      </c>
      <c r="T64" t="inlineStr">
        <is>
          <t>N</t>
        </is>
      </c>
    </row>
    <row r="65">
      <c r="A65" t="inlineStr">
        <is>
          <t>MH-DC-001-TN-038</t>
        </is>
      </c>
      <c r="B65" t="inlineStr">
        <is>
          <t>MH-DC-001</t>
        </is>
      </c>
      <c r="C65" t="inlineStr">
        <is>
          <t>MH-DC-001-TN-038</t>
        </is>
      </c>
      <c r="D65" t="inlineStr">
        <is>
          <t>Tenant gear</t>
        </is>
      </c>
      <c r="E65" t="inlineStr">
        <is>
          <t>access</t>
        </is>
      </c>
      <c r="F65" t="inlineStr">
        <is>
          <t>Tenant-owned</t>
        </is>
      </c>
      <c r="G65" t="inlineStr">
        <is>
          <t>Network stack</t>
        </is>
      </c>
      <c r="H65" t="inlineStr">
        <is>
          <t>—</t>
        </is>
      </c>
      <c r="L65" t="inlineStr">
        <is>
          <t>MH-DC-001-RACK-H</t>
        </is>
      </c>
      <c r="M65" t="n">
        <v>22</v>
      </c>
      <c r="N65" t="n">
        <v>8</v>
      </c>
      <c r="O65" t="inlineStr">
        <is>
          <t>Planned</t>
        </is>
      </c>
      <c r="P65" t="inlineStr">
        <is>
          <t>tenant</t>
        </is>
      </c>
      <c r="Q65" t="inlineStr">
        <is>
          <t>CUST-6478</t>
        </is>
      </c>
      <c r="R65" t="inlineStr">
        <is>
          <t>N</t>
        </is>
      </c>
      <c r="T65" t="inlineStr">
        <is>
          <t>N</t>
        </is>
      </c>
    </row>
    <row r="66">
      <c r="A66" t="inlineStr">
        <is>
          <t>MH-DC-001-TN-039</t>
        </is>
      </c>
      <c r="B66" t="inlineStr">
        <is>
          <t>MH-DC-001</t>
        </is>
      </c>
      <c r="C66" t="inlineStr">
        <is>
          <t>MH-DC-001-TN-039</t>
        </is>
      </c>
      <c r="D66" t="inlineStr">
        <is>
          <t>Tenant gear</t>
        </is>
      </c>
      <c r="E66" t="inlineStr">
        <is>
          <t>access</t>
        </is>
      </c>
      <c r="F66" t="inlineStr">
        <is>
          <t>Tenant-owned</t>
        </is>
      </c>
      <c r="G66" t="inlineStr">
        <is>
          <t>Blade chassis</t>
        </is>
      </c>
      <c r="H66" t="inlineStr">
        <is>
          <t>—</t>
        </is>
      </c>
      <c r="L66" t="inlineStr">
        <is>
          <t>MH-DC-001-RACK-H</t>
        </is>
      </c>
      <c r="M66" t="n">
        <v>30</v>
      </c>
      <c r="N66" t="n">
        <v>4</v>
      </c>
      <c r="O66" t="inlineStr">
        <is>
          <t>Planned</t>
        </is>
      </c>
      <c r="P66" t="inlineStr">
        <is>
          <t>tenant</t>
        </is>
      </c>
      <c r="Q66" t="inlineStr">
        <is>
          <t>CUST-6478</t>
        </is>
      </c>
      <c r="R66" t="inlineStr">
        <is>
          <t>N</t>
        </is>
      </c>
      <c r="T66" t="inlineStr">
        <is>
          <t>N</t>
        </is>
      </c>
    </row>
    <row r="67">
      <c r="A67" t="inlineStr">
        <is>
          <t>MH-DC-001-TN-040</t>
        </is>
      </c>
      <c r="B67" t="inlineStr">
        <is>
          <t>MH-DC-001</t>
        </is>
      </c>
      <c r="C67" t="inlineStr">
        <is>
          <t>MH-DC-001-TN-040</t>
        </is>
      </c>
      <c r="D67" t="inlineStr">
        <is>
          <t>Tenant gear</t>
        </is>
      </c>
      <c r="E67" t="inlineStr">
        <is>
          <t>access</t>
        </is>
      </c>
      <c r="F67" t="inlineStr">
        <is>
          <t>Tenant-owned</t>
        </is>
      </c>
      <c r="G67" t="inlineStr">
        <is>
          <t>Blade chassis</t>
        </is>
      </c>
      <c r="H67" t="inlineStr">
        <is>
          <t>—</t>
        </is>
      </c>
      <c r="L67" t="inlineStr">
        <is>
          <t>MH-DC-001-RACK-I</t>
        </is>
      </c>
      <c r="M67" t="n">
        <v>2</v>
      </c>
      <c r="N67" t="n">
        <v>2</v>
      </c>
      <c r="O67" t="inlineStr">
        <is>
          <t>Planned</t>
        </is>
      </c>
      <c r="P67" t="inlineStr">
        <is>
          <t>tenant</t>
        </is>
      </c>
      <c r="Q67" t="inlineStr">
        <is>
          <t>CUST-2063</t>
        </is>
      </c>
      <c r="R67" t="inlineStr">
        <is>
          <t>N</t>
        </is>
      </c>
      <c r="T67" t="inlineStr">
        <is>
          <t>N</t>
        </is>
      </c>
    </row>
    <row r="68">
      <c r="A68" t="inlineStr">
        <is>
          <t>MH-DC-001-TN-041</t>
        </is>
      </c>
      <c r="B68" t="inlineStr">
        <is>
          <t>MH-DC-001</t>
        </is>
      </c>
      <c r="C68" t="inlineStr">
        <is>
          <t>MH-DC-001-TN-041</t>
        </is>
      </c>
      <c r="D68" t="inlineStr">
        <is>
          <t>Tenant gear</t>
        </is>
      </c>
      <c r="E68" t="inlineStr">
        <is>
          <t>access</t>
        </is>
      </c>
      <c r="F68" t="inlineStr">
        <is>
          <t>Tenant-owned</t>
        </is>
      </c>
      <c r="G68" t="inlineStr">
        <is>
          <t>Rack servers</t>
        </is>
      </c>
      <c r="H68" t="inlineStr">
        <is>
          <t>—</t>
        </is>
      </c>
      <c r="L68" t="inlineStr">
        <is>
          <t>MH-DC-001-RACK-I</t>
        </is>
      </c>
      <c r="M68" t="n">
        <v>4</v>
      </c>
      <c r="N68" t="n">
        <v>8</v>
      </c>
      <c r="O68" t="inlineStr">
        <is>
          <t>Planned</t>
        </is>
      </c>
      <c r="P68" t="inlineStr">
        <is>
          <t>tenant</t>
        </is>
      </c>
      <c r="Q68" t="inlineStr">
        <is>
          <t>CUST-2063</t>
        </is>
      </c>
      <c r="R68" t="inlineStr">
        <is>
          <t>N</t>
        </is>
      </c>
      <c r="T68" t="inlineStr">
        <is>
          <t>N</t>
        </is>
      </c>
    </row>
    <row r="69">
      <c r="A69" t="inlineStr">
        <is>
          <t>MH-DC-001-TN-042</t>
        </is>
      </c>
      <c r="B69" t="inlineStr">
        <is>
          <t>MH-DC-001</t>
        </is>
      </c>
      <c r="C69" t="inlineStr">
        <is>
          <t>MH-DC-001-TN-042</t>
        </is>
      </c>
      <c r="D69" t="inlineStr">
        <is>
          <t>Tenant gear</t>
        </is>
      </c>
      <c r="E69" t="inlineStr">
        <is>
          <t>access</t>
        </is>
      </c>
      <c r="F69" t="inlineStr">
        <is>
          <t>Tenant-owned</t>
        </is>
      </c>
      <c r="G69" t="inlineStr">
        <is>
          <t>HPC nodes</t>
        </is>
      </c>
      <c r="H69" t="inlineStr">
        <is>
          <t>—</t>
        </is>
      </c>
      <c r="L69" t="inlineStr">
        <is>
          <t>MH-DC-001-RACK-I</t>
        </is>
      </c>
      <c r="M69" t="n">
        <v>12</v>
      </c>
      <c r="N69" t="n">
        <v>10</v>
      </c>
      <c r="O69" t="inlineStr">
        <is>
          <t>Ready</t>
        </is>
      </c>
      <c r="P69" t="inlineStr">
        <is>
          <t>tenant</t>
        </is>
      </c>
      <c r="Q69" t="inlineStr">
        <is>
          <t>CUST-2063</t>
        </is>
      </c>
      <c r="R69" t="inlineStr">
        <is>
          <t>N</t>
        </is>
      </c>
      <c r="T69" t="inlineStr">
        <is>
          <t>N</t>
        </is>
      </c>
    </row>
    <row r="70">
      <c r="A70" t="inlineStr">
        <is>
          <t>MH-DC-001-TN-043</t>
        </is>
      </c>
      <c r="B70" t="inlineStr">
        <is>
          <t>MH-DC-001</t>
        </is>
      </c>
      <c r="C70" t="inlineStr">
        <is>
          <t>MH-DC-001-TN-043</t>
        </is>
      </c>
      <c r="D70" t="inlineStr">
        <is>
          <t>Tenant gear</t>
        </is>
      </c>
      <c r="E70" t="inlineStr">
        <is>
          <t>access</t>
        </is>
      </c>
      <c r="F70" t="inlineStr">
        <is>
          <t>Tenant-owned</t>
        </is>
      </c>
      <c r="G70" t="inlineStr">
        <is>
          <t>Mixed equipment</t>
        </is>
      </c>
      <c r="H70" t="inlineStr">
        <is>
          <t>—</t>
        </is>
      </c>
      <c r="L70" t="inlineStr">
        <is>
          <t>MH-DC-001-RACK-I</t>
        </is>
      </c>
      <c r="M70" t="n">
        <v>22</v>
      </c>
      <c r="N70" t="n">
        <v>4</v>
      </c>
      <c r="O70" t="inlineStr">
        <is>
          <t>Ready</t>
        </is>
      </c>
      <c r="P70" t="inlineStr">
        <is>
          <t>tenant</t>
        </is>
      </c>
      <c r="Q70" t="inlineStr">
        <is>
          <t>CUST-2063</t>
        </is>
      </c>
      <c r="R70" t="inlineStr">
        <is>
          <t>N</t>
        </is>
      </c>
      <c r="T70" t="inlineStr">
        <is>
          <t>N</t>
        </is>
      </c>
    </row>
    <row r="71">
      <c r="A71" t="inlineStr">
        <is>
          <t>MH-DC-001-TN-044</t>
        </is>
      </c>
      <c r="B71" t="inlineStr">
        <is>
          <t>MH-DC-001</t>
        </is>
      </c>
      <c r="C71" t="inlineStr">
        <is>
          <t>MH-DC-001-TN-044</t>
        </is>
      </c>
      <c r="D71" t="inlineStr">
        <is>
          <t>Tenant gear</t>
        </is>
      </c>
      <c r="E71" t="inlineStr">
        <is>
          <t>access</t>
        </is>
      </c>
      <c r="F71" t="inlineStr">
        <is>
          <t>Tenant-owned</t>
        </is>
      </c>
      <c r="G71" t="inlineStr">
        <is>
          <t>Blade chassis</t>
        </is>
      </c>
      <c r="H71" t="inlineStr">
        <is>
          <t>—</t>
        </is>
      </c>
      <c r="L71" t="inlineStr">
        <is>
          <t>MH-DC-001-RACK-I</t>
        </is>
      </c>
      <c r="M71" t="n">
        <v>26</v>
      </c>
      <c r="N71" t="n">
        <v>4</v>
      </c>
      <c r="O71" t="inlineStr">
        <is>
          <t>Ready</t>
        </is>
      </c>
      <c r="P71" t="inlineStr">
        <is>
          <t>tenant</t>
        </is>
      </c>
      <c r="Q71" t="inlineStr">
        <is>
          <t>CUST-2063</t>
        </is>
      </c>
      <c r="R71" t="inlineStr">
        <is>
          <t>N</t>
        </is>
      </c>
      <c r="T71" t="inlineStr">
        <is>
          <t>N</t>
        </is>
      </c>
    </row>
    <row r="72">
      <c r="A72" t="inlineStr">
        <is>
          <t>MH-DC-001-TN-045</t>
        </is>
      </c>
      <c r="B72" t="inlineStr">
        <is>
          <t>MH-DC-001</t>
        </is>
      </c>
      <c r="C72" t="inlineStr">
        <is>
          <t>MH-DC-001-TN-045</t>
        </is>
      </c>
      <c r="D72" t="inlineStr">
        <is>
          <t>Tenant gear</t>
        </is>
      </c>
      <c r="E72" t="inlineStr">
        <is>
          <t>access</t>
        </is>
      </c>
      <c r="F72" t="inlineStr">
        <is>
          <t>Tenant-owned</t>
        </is>
      </c>
      <c r="G72" t="inlineStr">
        <is>
          <t>Network stack</t>
        </is>
      </c>
      <c r="H72" t="inlineStr">
        <is>
          <t>—</t>
        </is>
      </c>
      <c r="L72" t="inlineStr">
        <is>
          <t>MH-DC-001-RACK-I</t>
        </is>
      </c>
      <c r="M72" t="n">
        <v>30</v>
      </c>
      <c r="N72" t="n">
        <v>4</v>
      </c>
      <c r="O72" t="inlineStr">
        <is>
          <t>Ready</t>
        </is>
      </c>
      <c r="P72" t="inlineStr">
        <is>
          <t>tenant</t>
        </is>
      </c>
      <c r="Q72" t="inlineStr">
        <is>
          <t>CUST-2063</t>
        </is>
      </c>
      <c r="R72" t="inlineStr">
        <is>
          <t>N</t>
        </is>
      </c>
      <c r="T72" t="inlineStr">
        <is>
          <t>N</t>
        </is>
      </c>
    </row>
    <row r="73">
      <c r="A73" t="inlineStr">
        <is>
          <t>MH-DC-001-TN-046</t>
        </is>
      </c>
      <c r="B73" t="inlineStr">
        <is>
          <t>MH-DC-001</t>
        </is>
      </c>
      <c r="C73" t="inlineStr">
        <is>
          <t>MH-DC-001-TN-046</t>
        </is>
      </c>
      <c r="D73" t="inlineStr">
        <is>
          <t>Tenant gear</t>
        </is>
      </c>
      <c r="E73" t="inlineStr">
        <is>
          <t>access</t>
        </is>
      </c>
      <c r="F73" t="inlineStr">
        <is>
          <t>Tenant-owned</t>
        </is>
      </c>
      <c r="G73" t="inlineStr">
        <is>
          <t>Rack servers</t>
        </is>
      </c>
      <c r="H73" t="inlineStr">
        <is>
          <t>—</t>
        </is>
      </c>
      <c r="L73" t="inlineStr">
        <is>
          <t>MH-DC-001-RACK-J</t>
        </is>
      </c>
      <c r="M73" t="n">
        <v>2</v>
      </c>
      <c r="N73" t="n">
        <v>10</v>
      </c>
      <c r="O73" t="inlineStr">
        <is>
          <t>Planned</t>
        </is>
      </c>
      <c r="P73" t="inlineStr">
        <is>
          <t>tenant</t>
        </is>
      </c>
      <c r="Q73" t="inlineStr">
        <is>
          <t>CUST-8230</t>
        </is>
      </c>
      <c r="R73" t="inlineStr">
        <is>
          <t>N</t>
        </is>
      </c>
      <c r="T73" t="inlineStr">
        <is>
          <t>N</t>
        </is>
      </c>
    </row>
    <row r="74">
      <c r="A74" t="inlineStr">
        <is>
          <t>MH-DC-001-TN-047</t>
        </is>
      </c>
      <c r="B74" t="inlineStr">
        <is>
          <t>MH-DC-001</t>
        </is>
      </c>
      <c r="C74" t="inlineStr">
        <is>
          <t>MH-DC-001-TN-047</t>
        </is>
      </c>
      <c r="D74" t="inlineStr">
        <is>
          <t>Tenant gear</t>
        </is>
      </c>
      <c r="E74" t="inlineStr">
        <is>
          <t>access</t>
        </is>
      </c>
      <c r="F74" t="inlineStr">
        <is>
          <t>Tenant-owned</t>
        </is>
      </c>
      <c r="G74" t="inlineStr">
        <is>
          <t>Rack servers</t>
        </is>
      </c>
      <c r="H74" t="inlineStr">
        <is>
          <t>—</t>
        </is>
      </c>
      <c r="L74" t="inlineStr">
        <is>
          <t>MH-DC-001-RACK-J</t>
        </is>
      </c>
      <c r="M74" t="n">
        <v>12</v>
      </c>
      <c r="N74" t="n">
        <v>4</v>
      </c>
      <c r="O74" t="inlineStr">
        <is>
          <t>Planned</t>
        </is>
      </c>
      <c r="P74" t="inlineStr">
        <is>
          <t>tenant</t>
        </is>
      </c>
      <c r="Q74" t="inlineStr">
        <is>
          <t>CUST-8230</t>
        </is>
      </c>
      <c r="R74" t="inlineStr">
        <is>
          <t>N</t>
        </is>
      </c>
      <c r="T74" t="inlineStr">
        <is>
          <t>N</t>
        </is>
      </c>
    </row>
    <row r="75">
      <c r="A75" t="inlineStr">
        <is>
          <t>MH-DC-001-TN-048</t>
        </is>
      </c>
      <c r="B75" t="inlineStr">
        <is>
          <t>MH-DC-001</t>
        </is>
      </c>
      <c r="C75" t="inlineStr">
        <is>
          <t>MH-DC-001-TN-048</t>
        </is>
      </c>
      <c r="D75" t="inlineStr">
        <is>
          <t>Tenant gear</t>
        </is>
      </c>
      <c r="E75" t="inlineStr">
        <is>
          <t>access</t>
        </is>
      </c>
      <c r="F75" t="inlineStr">
        <is>
          <t>Tenant-owned</t>
        </is>
      </c>
      <c r="G75" t="inlineStr">
        <is>
          <t>Blade chassis</t>
        </is>
      </c>
      <c r="H75" t="inlineStr">
        <is>
          <t>—</t>
        </is>
      </c>
      <c r="L75" t="inlineStr">
        <is>
          <t>MH-DC-001-RACK-J</t>
        </is>
      </c>
      <c r="M75" t="n">
        <v>16</v>
      </c>
      <c r="N75" t="n">
        <v>2</v>
      </c>
      <c r="O75" t="inlineStr">
        <is>
          <t>Ready</t>
        </is>
      </c>
      <c r="P75" t="inlineStr">
        <is>
          <t>tenant</t>
        </is>
      </c>
      <c r="Q75" t="inlineStr">
        <is>
          <t>CUST-8230</t>
        </is>
      </c>
      <c r="R75" t="inlineStr">
        <is>
          <t>N</t>
        </is>
      </c>
      <c r="T75" t="inlineStr">
        <is>
          <t>N</t>
        </is>
      </c>
    </row>
    <row r="76">
      <c r="A76" t="inlineStr">
        <is>
          <t>MH-DC-001-TN-049</t>
        </is>
      </c>
      <c r="B76" t="inlineStr">
        <is>
          <t>MH-DC-001</t>
        </is>
      </c>
      <c r="C76" t="inlineStr">
        <is>
          <t>MH-DC-001-TN-049</t>
        </is>
      </c>
      <c r="D76" t="inlineStr">
        <is>
          <t>Tenant gear</t>
        </is>
      </c>
      <c r="E76" t="inlineStr">
        <is>
          <t>access</t>
        </is>
      </c>
      <c r="F76" t="inlineStr">
        <is>
          <t>Tenant-owned</t>
        </is>
      </c>
      <c r="G76" t="inlineStr">
        <is>
          <t>Mixed equipment</t>
        </is>
      </c>
      <c r="H76" t="inlineStr">
        <is>
          <t>—</t>
        </is>
      </c>
      <c r="L76" t="inlineStr">
        <is>
          <t>MH-DC-001-RACK-J</t>
        </is>
      </c>
      <c r="M76" t="n">
        <v>18</v>
      </c>
      <c r="N76" t="n">
        <v>6</v>
      </c>
      <c r="O76" t="inlineStr">
        <is>
          <t>Ready</t>
        </is>
      </c>
      <c r="P76" t="inlineStr">
        <is>
          <t>tenant</t>
        </is>
      </c>
      <c r="Q76" t="inlineStr">
        <is>
          <t>CUST-8230</t>
        </is>
      </c>
      <c r="R76" t="inlineStr">
        <is>
          <t>N</t>
        </is>
      </c>
      <c r="T76" t="inlineStr">
        <is>
          <t>N</t>
        </is>
      </c>
    </row>
    <row r="77">
      <c r="A77" t="inlineStr">
        <is>
          <t>MH-DC-001-TN-050</t>
        </is>
      </c>
      <c r="B77" t="inlineStr">
        <is>
          <t>MH-DC-001</t>
        </is>
      </c>
      <c r="C77" t="inlineStr">
        <is>
          <t>MH-DC-001-TN-050</t>
        </is>
      </c>
      <c r="D77" t="inlineStr">
        <is>
          <t>Tenant gear</t>
        </is>
      </c>
      <c r="E77" t="inlineStr">
        <is>
          <t>access</t>
        </is>
      </c>
      <c r="F77" t="inlineStr">
        <is>
          <t>Tenant-owned</t>
        </is>
      </c>
      <c r="G77" t="inlineStr">
        <is>
          <t>Rack servers</t>
        </is>
      </c>
      <c r="H77" t="inlineStr">
        <is>
          <t>—</t>
        </is>
      </c>
      <c r="L77" t="inlineStr">
        <is>
          <t>MH-DC-001-RACK-J</t>
        </is>
      </c>
      <c r="M77" t="n">
        <v>24</v>
      </c>
      <c r="N77" t="n">
        <v>4</v>
      </c>
      <c r="O77" t="inlineStr">
        <is>
          <t>Ready</t>
        </is>
      </c>
      <c r="P77" t="inlineStr">
        <is>
          <t>tenant</t>
        </is>
      </c>
      <c r="Q77" t="inlineStr">
        <is>
          <t>CUST-8230</t>
        </is>
      </c>
      <c r="R77" t="inlineStr">
        <is>
          <t>N</t>
        </is>
      </c>
      <c r="T77" t="inlineStr">
        <is>
          <t>N</t>
        </is>
      </c>
    </row>
    <row r="78">
      <c r="A78" t="inlineStr">
        <is>
          <t>MH-DC-001-TN-051</t>
        </is>
      </c>
      <c r="B78" t="inlineStr">
        <is>
          <t>MH-DC-001</t>
        </is>
      </c>
      <c r="C78" t="inlineStr">
        <is>
          <t>MH-DC-001-TN-051</t>
        </is>
      </c>
      <c r="D78" t="inlineStr">
        <is>
          <t>Tenant gear</t>
        </is>
      </c>
      <c r="E78" t="inlineStr">
        <is>
          <t>access</t>
        </is>
      </c>
      <c r="F78" t="inlineStr">
        <is>
          <t>Tenant-owned</t>
        </is>
      </c>
      <c r="G78" t="inlineStr">
        <is>
          <t>Storage array</t>
        </is>
      </c>
      <c r="H78" t="inlineStr">
        <is>
          <t>—</t>
        </is>
      </c>
      <c r="L78" t="inlineStr">
        <is>
          <t>MH-DC-001-RACK-J</t>
        </is>
      </c>
      <c r="M78" t="n">
        <v>28</v>
      </c>
      <c r="N78" t="n">
        <v>4</v>
      </c>
      <c r="O78" t="inlineStr">
        <is>
          <t>Ready</t>
        </is>
      </c>
      <c r="P78" t="inlineStr">
        <is>
          <t>tenant</t>
        </is>
      </c>
      <c r="Q78" t="inlineStr">
        <is>
          <t>CUST-8230</t>
        </is>
      </c>
      <c r="R78" t="inlineStr">
        <is>
          <t>N</t>
        </is>
      </c>
      <c r="T78" t="inlineStr">
        <is>
          <t>N</t>
        </is>
      </c>
    </row>
    <row r="79">
      <c r="A79" t="inlineStr">
        <is>
          <t>MH-DC-001-TN-052</t>
        </is>
      </c>
      <c r="B79" t="inlineStr">
        <is>
          <t>MH-DC-001</t>
        </is>
      </c>
      <c r="C79" t="inlineStr">
        <is>
          <t>MH-DC-001-TN-052</t>
        </is>
      </c>
      <c r="D79" t="inlineStr">
        <is>
          <t>Tenant gear</t>
        </is>
      </c>
      <c r="E79" t="inlineStr">
        <is>
          <t>access</t>
        </is>
      </c>
      <c r="F79" t="inlineStr">
        <is>
          <t>Tenant-owned</t>
        </is>
      </c>
      <c r="G79" t="inlineStr">
        <is>
          <t>Network stack</t>
        </is>
      </c>
      <c r="H79" t="inlineStr">
        <is>
          <t>—</t>
        </is>
      </c>
      <c r="L79" t="inlineStr">
        <is>
          <t>MH-DC-001-RACK-J</t>
        </is>
      </c>
      <c r="M79" t="n">
        <v>32</v>
      </c>
      <c r="N79" t="n">
        <v>2</v>
      </c>
      <c r="O79" t="inlineStr">
        <is>
          <t>Planned</t>
        </is>
      </c>
      <c r="P79" t="inlineStr">
        <is>
          <t>tenant</t>
        </is>
      </c>
      <c r="Q79" t="inlineStr">
        <is>
          <t>CUST-8230</t>
        </is>
      </c>
      <c r="R79" t="inlineStr">
        <is>
          <t>N</t>
        </is>
      </c>
      <c r="T79" t="inlineStr">
        <is>
          <t>N</t>
        </is>
      </c>
    </row>
    <row r="80">
      <c r="A80" t="inlineStr">
        <is>
          <t>MH-DC-001-TN-053</t>
        </is>
      </c>
      <c r="B80" t="inlineStr">
        <is>
          <t>MH-DC-001</t>
        </is>
      </c>
      <c r="C80" t="inlineStr">
        <is>
          <t>MH-DC-001-TN-053</t>
        </is>
      </c>
      <c r="D80" t="inlineStr">
        <is>
          <t>Tenant gear</t>
        </is>
      </c>
      <c r="E80" t="inlineStr">
        <is>
          <t>access</t>
        </is>
      </c>
      <c r="F80" t="inlineStr">
        <is>
          <t>Tenant-owned</t>
        </is>
      </c>
      <c r="G80" t="inlineStr">
        <is>
          <t>Storage array</t>
        </is>
      </c>
      <c r="H80" t="inlineStr">
        <is>
          <t>—</t>
        </is>
      </c>
      <c r="L80" t="inlineStr">
        <is>
          <t>MH-DC-001-RACK-K</t>
        </is>
      </c>
      <c r="M80" t="n">
        <v>2</v>
      </c>
      <c r="N80" t="n">
        <v>10</v>
      </c>
      <c r="O80" t="inlineStr">
        <is>
          <t>Ready</t>
        </is>
      </c>
      <c r="P80" t="inlineStr">
        <is>
          <t>tenant</t>
        </is>
      </c>
      <c r="Q80" t="inlineStr">
        <is>
          <t>CUST-8230</t>
        </is>
      </c>
      <c r="R80" t="inlineStr">
        <is>
          <t>N</t>
        </is>
      </c>
      <c r="T80" t="inlineStr">
        <is>
          <t>N</t>
        </is>
      </c>
    </row>
    <row r="81">
      <c r="A81" t="inlineStr">
        <is>
          <t>MH-DC-001-TN-054</t>
        </is>
      </c>
      <c r="B81" t="inlineStr">
        <is>
          <t>MH-DC-001</t>
        </is>
      </c>
      <c r="C81" t="inlineStr">
        <is>
          <t>MH-DC-001-TN-054</t>
        </is>
      </c>
      <c r="D81" t="inlineStr">
        <is>
          <t>Tenant gear</t>
        </is>
      </c>
      <c r="E81" t="inlineStr">
        <is>
          <t>access</t>
        </is>
      </c>
      <c r="F81" t="inlineStr">
        <is>
          <t>Tenant-owned</t>
        </is>
      </c>
      <c r="G81" t="inlineStr">
        <is>
          <t>HPC nodes</t>
        </is>
      </c>
      <c r="H81" t="inlineStr">
        <is>
          <t>—</t>
        </is>
      </c>
      <c r="L81" t="inlineStr">
        <is>
          <t>MH-DC-001-RACK-K</t>
        </is>
      </c>
      <c r="M81" t="n">
        <v>12</v>
      </c>
      <c r="N81" t="n">
        <v>10</v>
      </c>
      <c r="O81" t="inlineStr">
        <is>
          <t>Ready</t>
        </is>
      </c>
      <c r="P81" t="inlineStr">
        <is>
          <t>tenant</t>
        </is>
      </c>
      <c r="Q81" t="inlineStr">
        <is>
          <t>CUST-8230</t>
        </is>
      </c>
      <c r="R81" t="inlineStr">
        <is>
          <t>N</t>
        </is>
      </c>
      <c r="T81" t="inlineStr">
        <is>
          <t>N</t>
        </is>
      </c>
    </row>
    <row r="82">
      <c r="A82" t="inlineStr">
        <is>
          <t>MH-DC-001-TN-055</t>
        </is>
      </c>
      <c r="B82" t="inlineStr">
        <is>
          <t>MH-DC-001</t>
        </is>
      </c>
      <c r="C82" t="inlineStr">
        <is>
          <t>MH-DC-001-TN-055</t>
        </is>
      </c>
      <c r="D82" t="inlineStr">
        <is>
          <t>Tenant gear</t>
        </is>
      </c>
      <c r="E82" t="inlineStr">
        <is>
          <t>access</t>
        </is>
      </c>
      <c r="F82" t="inlineStr">
        <is>
          <t>Tenant-owned</t>
        </is>
      </c>
      <c r="G82" t="inlineStr">
        <is>
          <t>HPC nodes</t>
        </is>
      </c>
      <c r="H82" t="inlineStr">
        <is>
          <t>—</t>
        </is>
      </c>
      <c r="L82" t="inlineStr">
        <is>
          <t>MH-DC-001-RACK-K</t>
        </is>
      </c>
      <c r="M82" t="n">
        <v>22</v>
      </c>
      <c r="N82" t="n">
        <v>4</v>
      </c>
      <c r="O82" t="inlineStr">
        <is>
          <t>Planned</t>
        </is>
      </c>
      <c r="P82" t="inlineStr">
        <is>
          <t>tenant</t>
        </is>
      </c>
      <c r="Q82" t="inlineStr">
        <is>
          <t>CUST-8230</t>
        </is>
      </c>
      <c r="R82" t="inlineStr">
        <is>
          <t>N</t>
        </is>
      </c>
      <c r="T82" t="inlineStr">
        <is>
          <t>N</t>
        </is>
      </c>
    </row>
    <row r="83">
      <c r="A83" t="inlineStr">
        <is>
          <t>MH-DC-001-TN-056</t>
        </is>
      </c>
      <c r="B83" t="inlineStr">
        <is>
          <t>MH-DC-001</t>
        </is>
      </c>
      <c r="C83" t="inlineStr">
        <is>
          <t>MH-DC-001-TN-056</t>
        </is>
      </c>
      <c r="D83" t="inlineStr">
        <is>
          <t>Tenant gear</t>
        </is>
      </c>
      <c r="E83" t="inlineStr">
        <is>
          <t>access</t>
        </is>
      </c>
      <c r="F83" t="inlineStr">
        <is>
          <t>Tenant-owned</t>
        </is>
      </c>
      <c r="G83" t="inlineStr">
        <is>
          <t>Storage array</t>
        </is>
      </c>
      <c r="H83" t="inlineStr">
        <is>
          <t>—</t>
        </is>
      </c>
      <c r="L83" t="inlineStr">
        <is>
          <t>MH-DC-001-RACK-K</t>
        </is>
      </c>
      <c r="M83" t="n">
        <v>26</v>
      </c>
      <c r="N83" t="n">
        <v>4</v>
      </c>
      <c r="O83" t="inlineStr">
        <is>
          <t>Planned</t>
        </is>
      </c>
      <c r="P83" t="inlineStr">
        <is>
          <t>tenant</t>
        </is>
      </c>
      <c r="Q83" t="inlineStr">
        <is>
          <t>CUST-8230</t>
        </is>
      </c>
      <c r="R83" t="inlineStr">
        <is>
          <t>N</t>
        </is>
      </c>
      <c r="T83" t="inlineStr">
        <is>
          <t>N</t>
        </is>
      </c>
    </row>
    <row r="84">
      <c r="A84" t="inlineStr">
        <is>
          <t>MH-DC-001-TN-057</t>
        </is>
      </c>
      <c r="B84" t="inlineStr">
        <is>
          <t>MH-DC-001</t>
        </is>
      </c>
      <c r="C84" t="inlineStr">
        <is>
          <t>MH-DC-001-TN-057</t>
        </is>
      </c>
      <c r="D84" t="inlineStr">
        <is>
          <t>Tenant gear</t>
        </is>
      </c>
      <c r="E84" t="inlineStr">
        <is>
          <t>access</t>
        </is>
      </c>
      <c r="F84" t="inlineStr">
        <is>
          <t>Tenant-owned</t>
        </is>
      </c>
      <c r="G84" t="inlineStr">
        <is>
          <t>Storage array</t>
        </is>
      </c>
      <c r="H84" t="inlineStr">
        <is>
          <t>—</t>
        </is>
      </c>
      <c r="L84" t="inlineStr">
        <is>
          <t>MH-DC-001-RACK-L</t>
        </is>
      </c>
      <c r="M84" t="n">
        <v>2</v>
      </c>
      <c r="N84" t="n">
        <v>8</v>
      </c>
      <c r="O84" t="inlineStr">
        <is>
          <t>Planned</t>
        </is>
      </c>
      <c r="P84" t="inlineStr">
        <is>
          <t>tenant</t>
        </is>
      </c>
      <c r="Q84" t="inlineStr">
        <is>
          <t>CUST-8230</t>
        </is>
      </c>
      <c r="R84" t="inlineStr">
        <is>
          <t>N</t>
        </is>
      </c>
      <c r="T84" t="inlineStr">
        <is>
          <t>N</t>
        </is>
      </c>
    </row>
    <row r="85">
      <c r="A85" t="inlineStr">
        <is>
          <t>MH-DC-001-TN-058</t>
        </is>
      </c>
      <c r="B85" t="inlineStr">
        <is>
          <t>MH-DC-001</t>
        </is>
      </c>
      <c r="C85" t="inlineStr">
        <is>
          <t>MH-DC-001-TN-058</t>
        </is>
      </c>
      <c r="D85" t="inlineStr">
        <is>
          <t>Tenant gear</t>
        </is>
      </c>
      <c r="E85" t="inlineStr">
        <is>
          <t>access</t>
        </is>
      </c>
      <c r="F85" t="inlineStr">
        <is>
          <t>Tenant-owned</t>
        </is>
      </c>
      <c r="G85" t="inlineStr">
        <is>
          <t>Mixed equipment</t>
        </is>
      </c>
      <c r="H85" t="inlineStr">
        <is>
          <t>—</t>
        </is>
      </c>
      <c r="L85" t="inlineStr">
        <is>
          <t>MH-DC-001-RACK-L</t>
        </is>
      </c>
      <c r="M85" t="n">
        <v>10</v>
      </c>
      <c r="N85" t="n">
        <v>4</v>
      </c>
      <c r="O85" t="inlineStr">
        <is>
          <t>Planned</t>
        </is>
      </c>
      <c r="P85" t="inlineStr">
        <is>
          <t>tenant</t>
        </is>
      </c>
      <c r="Q85" t="inlineStr">
        <is>
          <t>CUST-8230</t>
        </is>
      </c>
      <c r="R85" t="inlineStr">
        <is>
          <t>N</t>
        </is>
      </c>
      <c r="T85" t="inlineStr">
        <is>
          <t>N</t>
        </is>
      </c>
    </row>
    <row r="86">
      <c r="A86" t="inlineStr">
        <is>
          <t>MH-DC-001-TN-059</t>
        </is>
      </c>
      <c r="B86" t="inlineStr">
        <is>
          <t>MH-DC-001</t>
        </is>
      </c>
      <c r="C86" t="inlineStr">
        <is>
          <t>MH-DC-001-TN-059</t>
        </is>
      </c>
      <c r="D86" t="inlineStr">
        <is>
          <t>Tenant gear</t>
        </is>
      </c>
      <c r="E86" t="inlineStr">
        <is>
          <t>access</t>
        </is>
      </c>
      <c r="F86" t="inlineStr">
        <is>
          <t>Tenant-owned</t>
        </is>
      </c>
      <c r="G86" t="inlineStr">
        <is>
          <t>HPC nodes</t>
        </is>
      </c>
      <c r="H86" t="inlineStr">
        <is>
          <t>—</t>
        </is>
      </c>
      <c r="L86" t="inlineStr">
        <is>
          <t>MH-DC-001-RACK-L</t>
        </is>
      </c>
      <c r="M86" t="n">
        <v>14</v>
      </c>
      <c r="N86" t="n">
        <v>6</v>
      </c>
      <c r="O86" t="inlineStr">
        <is>
          <t>Planned</t>
        </is>
      </c>
      <c r="P86" t="inlineStr">
        <is>
          <t>tenant</t>
        </is>
      </c>
      <c r="Q86" t="inlineStr">
        <is>
          <t>CUST-8230</t>
        </is>
      </c>
      <c r="R86" t="inlineStr">
        <is>
          <t>N</t>
        </is>
      </c>
      <c r="T86" t="inlineStr">
        <is>
          <t>N</t>
        </is>
      </c>
    </row>
    <row r="87">
      <c r="A87" t="inlineStr">
        <is>
          <t>MH-DC-001-TN-060</t>
        </is>
      </c>
      <c r="B87" t="inlineStr">
        <is>
          <t>MH-DC-001</t>
        </is>
      </c>
      <c r="C87" t="inlineStr">
        <is>
          <t>MH-DC-001-TN-060</t>
        </is>
      </c>
      <c r="D87" t="inlineStr">
        <is>
          <t>Tenant gear</t>
        </is>
      </c>
      <c r="E87" t="inlineStr">
        <is>
          <t>access</t>
        </is>
      </c>
      <c r="F87" t="inlineStr">
        <is>
          <t>Tenant-owned</t>
        </is>
      </c>
      <c r="G87" t="inlineStr">
        <is>
          <t>Mixed equipment</t>
        </is>
      </c>
      <c r="H87" t="inlineStr">
        <is>
          <t>—</t>
        </is>
      </c>
      <c r="L87" t="inlineStr">
        <is>
          <t>MH-DC-001-RACK-L</t>
        </is>
      </c>
      <c r="M87" t="n">
        <v>20</v>
      </c>
      <c r="N87" t="n">
        <v>8</v>
      </c>
      <c r="O87" t="inlineStr">
        <is>
          <t>Planned</t>
        </is>
      </c>
      <c r="P87" t="inlineStr">
        <is>
          <t>tenant</t>
        </is>
      </c>
      <c r="Q87" t="inlineStr">
        <is>
          <t>CUST-8230</t>
        </is>
      </c>
      <c r="R87" t="inlineStr">
        <is>
          <t>N</t>
        </is>
      </c>
      <c r="T87" t="inlineStr">
        <is>
          <t>N</t>
        </is>
      </c>
    </row>
    <row r="88">
      <c r="A88" t="inlineStr">
        <is>
          <t>MH-DC-001-TN-061</t>
        </is>
      </c>
      <c r="B88" t="inlineStr">
        <is>
          <t>MH-DC-001</t>
        </is>
      </c>
      <c r="C88" t="inlineStr">
        <is>
          <t>MH-DC-001-TN-061</t>
        </is>
      </c>
      <c r="D88" t="inlineStr">
        <is>
          <t>Tenant gear</t>
        </is>
      </c>
      <c r="E88" t="inlineStr">
        <is>
          <t>access</t>
        </is>
      </c>
      <c r="F88" t="inlineStr">
        <is>
          <t>Tenant-owned</t>
        </is>
      </c>
      <c r="G88" t="inlineStr">
        <is>
          <t>HPC nodes</t>
        </is>
      </c>
      <c r="H88" t="inlineStr">
        <is>
          <t>—</t>
        </is>
      </c>
      <c r="L88" t="inlineStr">
        <is>
          <t>MH-DC-001-RACK-L</t>
        </is>
      </c>
      <c r="M88" t="n">
        <v>28</v>
      </c>
      <c r="N88" t="n">
        <v>8</v>
      </c>
      <c r="O88" t="inlineStr">
        <is>
          <t>Planned</t>
        </is>
      </c>
      <c r="P88" t="inlineStr">
        <is>
          <t>tenant</t>
        </is>
      </c>
      <c r="Q88" t="inlineStr">
        <is>
          <t>CUST-8230</t>
        </is>
      </c>
      <c r="R88" t="inlineStr">
        <is>
          <t>N</t>
        </is>
      </c>
      <c r="T88" t="inlineStr">
        <is>
          <t>N</t>
        </is>
      </c>
    </row>
    <row r="89">
      <c r="A89" t="inlineStr">
        <is>
          <t>MH-DC-001-TN-062</t>
        </is>
      </c>
      <c r="B89" t="inlineStr">
        <is>
          <t>MH-DC-001</t>
        </is>
      </c>
      <c r="C89" t="inlineStr">
        <is>
          <t>MH-DC-001-TN-062</t>
        </is>
      </c>
      <c r="D89" t="inlineStr">
        <is>
          <t>Tenant gear</t>
        </is>
      </c>
      <c r="E89" t="inlineStr">
        <is>
          <t>access</t>
        </is>
      </c>
      <c r="F89" t="inlineStr">
        <is>
          <t>Tenant-owned</t>
        </is>
      </c>
      <c r="G89" t="inlineStr">
        <is>
          <t>Storage array</t>
        </is>
      </c>
      <c r="H89" t="inlineStr">
        <is>
          <t>—</t>
        </is>
      </c>
      <c r="L89" t="inlineStr">
        <is>
          <t>MH-DC-001-RACK-M</t>
        </is>
      </c>
      <c r="M89" t="n">
        <v>2</v>
      </c>
      <c r="N89" t="n">
        <v>10</v>
      </c>
      <c r="O89" t="inlineStr">
        <is>
          <t>Planned</t>
        </is>
      </c>
      <c r="P89" t="inlineStr">
        <is>
          <t>tenant</t>
        </is>
      </c>
      <c r="Q89" t="inlineStr">
        <is>
          <t>CUST-6468</t>
        </is>
      </c>
      <c r="R89" t="inlineStr">
        <is>
          <t>N</t>
        </is>
      </c>
      <c r="T89" t="inlineStr">
        <is>
          <t>N</t>
        </is>
      </c>
    </row>
    <row r="90">
      <c r="A90" t="inlineStr">
        <is>
          <t>MH-DC-001-TN-063</t>
        </is>
      </c>
      <c r="B90" t="inlineStr">
        <is>
          <t>MH-DC-001</t>
        </is>
      </c>
      <c r="C90" t="inlineStr">
        <is>
          <t>MH-DC-001-TN-063</t>
        </is>
      </c>
      <c r="D90" t="inlineStr">
        <is>
          <t>Tenant gear</t>
        </is>
      </c>
      <c r="E90" t="inlineStr">
        <is>
          <t>access</t>
        </is>
      </c>
      <c r="F90" t="inlineStr">
        <is>
          <t>Tenant-owned</t>
        </is>
      </c>
      <c r="G90" t="inlineStr">
        <is>
          <t>Storage array</t>
        </is>
      </c>
      <c r="H90" t="inlineStr">
        <is>
          <t>—</t>
        </is>
      </c>
      <c r="L90" t="inlineStr">
        <is>
          <t>MH-DC-001-RACK-M</t>
        </is>
      </c>
      <c r="M90" t="n">
        <v>12</v>
      </c>
      <c r="N90" t="n">
        <v>8</v>
      </c>
      <c r="O90" t="inlineStr">
        <is>
          <t>Planned</t>
        </is>
      </c>
      <c r="P90" t="inlineStr">
        <is>
          <t>tenant</t>
        </is>
      </c>
      <c r="Q90" t="inlineStr">
        <is>
          <t>CUST-6468</t>
        </is>
      </c>
      <c r="R90" t="inlineStr">
        <is>
          <t>N</t>
        </is>
      </c>
      <c r="T90" t="inlineStr">
        <is>
          <t>N</t>
        </is>
      </c>
    </row>
    <row r="91">
      <c r="A91" t="inlineStr">
        <is>
          <t>MH-DC-001-TN-064</t>
        </is>
      </c>
      <c r="B91" t="inlineStr">
        <is>
          <t>MH-DC-001</t>
        </is>
      </c>
      <c r="C91" t="inlineStr">
        <is>
          <t>MH-DC-001-TN-064</t>
        </is>
      </c>
      <c r="D91" t="inlineStr">
        <is>
          <t>Tenant gear</t>
        </is>
      </c>
      <c r="E91" t="inlineStr">
        <is>
          <t>access</t>
        </is>
      </c>
      <c r="F91" t="inlineStr">
        <is>
          <t>Tenant-owned</t>
        </is>
      </c>
      <c r="G91" t="inlineStr">
        <is>
          <t>Blade chassis</t>
        </is>
      </c>
      <c r="H91" t="inlineStr">
        <is>
          <t>—</t>
        </is>
      </c>
      <c r="L91" t="inlineStr">
        <is>
          <t>MH-DC-001-RACK-M</t>
        </is>
      </c>
      <c r="M91" t="n">
        <v>20</v>
      </c>
      <c r="N91" t="n">
        <v>2</v>
      </c>
      <c r="O91" t="inlineStr">
        <is>
          <t>Planned</t>
        </is>
      </c>
      <c r="P91" t="inlineStr">
        <is>
          <t>tenant</t>
        </is>
      </c>
      <c r="Q91" t="inlineStr">
        <is>
          <t>CUST-6468</t>
        </is>
      </c>
      <c r="R91" t="inlineStr">
        <is>
          <t>N</t>
        </is>
      </c>
      <c r="T91" t="inlineStr">
        <is>
          <t>N</t>
        </is>
      </c>
    </row>
    <row r="92">
      <c r="A92" t="inlineStr">
        <is>
          <t>MH-DC-001-TN-065</t>
        </is>
      </c>
      <c r="B92" t="inlineStr">
        <is>
          <t>MH-DC-001</t>
        </is>
      </c>
      <c r="C92" t="inlineStr">
        <is>
          <t>MH-DC-001-TN-065</t>
        </is>
      </c>
      <c r="D92" t="inlineStr">
        <is>
          <t>Tenant gear</t>
        </is>
      </c>
      <c r="E92" t="inlineStr">
        <is>
          <t>access</t>
        </is>
      </c>
      <c r="F92" t="inlineStr">
        <is>
          <t>Tenant-owned</t>
        </is>
      </c>
      <c r="G92" t="inlineStr">
        <is>
          <t>Storage array</t>
        </is>
      </c>
      <c r="H92" t="inlineStr">
        <is>
          <t>—</t>
        </is>
      </c>
      <c r="L92" t="inlineStr">
        <is>
          <t>MH-DC-001-RACK-M</t>
        </is>
      </c>
      <c r="M92" t="n">
        <v>22</v>
      </c>
      <c r="N92" t="n">
        <v>10</v>
      </c>
      <c r="O92" t="inlineStr">
        <is>
          <t>Planned</t>
        </is>
      </c>
      <c r="P92" t="inlineStr">
        <is>
          <t>tenant</t>
        </is>
      </c>
      <c r="Q92" t="inlineStr">
        <is>
          <t>CUST-6468</t>
        </is>
      </c>
      <c r="R92" t="inlineStr">
        <is>
          <t>N</t>
        </is>
      </c>
      <c r="T92" t="inlineStr">
        <is>
          <t>N</t>
        </is>
      </c>
    </row>
    <row r="93">
      <c r="A93" t="inlineStr">
        <is>
          <t>MH-DC-001-TN-066</t>
        </is>
      </c>
      <c r="B93" t="inlineStr">
        <is>
          <t>MH-DC-001</t>
        </is>
      </c>
      <c r="C93" t="inlineStr">
        <is>
          <t>MH-DC-001-TN-066</t>
        </is>
      </c>
      <c r="D93" t="inlineStr">
        <is>
          <t>Tenant gear</t>
        </is>
      </c>
      <c r="E93" t="inlineStr">
        <is>
          <t>access</t>
        </is>
      </c>
      <c r="F93" t="inlineStr">
        <is>
          <t>Tenant-owned</t>
        </is>
      </c>
      <c r="G93" t="inlineStr">
        <is>
          <t>Storage array</t>
        </is>
      </c>
      <c r="H93" t="inlineStr">
        <is>
          <t>—</t>
        </is>
      </c>
      <c r="L93" t="inlineStr">
        <is>
          <t>MH-DC-001-RACK-N</t>
        </is>
      </c>
      <c r="M93" t="n">
        <v>2</v>
      </c>
      <c r="N93" t="n">
        <v>10</v>
      </c>
      <c r="O93" t="inlineStr">
        <is>
          <t>Ready</t>
        </is>
      </c>
      <c r="P93" t="inlineStr">
        <is>
          <t>tenant</t>
        </is>
      </c>
      <c r="Q93" t="inlineStr">
        <is>
          <t>CUST-6468</t>
        </is>
      </c>
      <c r="R93" t="inlineStr">
        <is>
          <t>N</t>
        </is>
      </c>
      <c r="T93" t="inlineStr">
        <is>
          <t>N</t>
        </is>
      </c>
    </row>
    <row r="94">
      <c r="A94" t="inlineStr">
        <is>
          <t>MH-DC-001-TN-067</t>
        </is>
      </c>
      <c r="B94" t="inlineStr">
        <is>
          <t>MH-DC-001</t>
        </is>
      </c>
      <c r="C94" t="inlineStr">
        <is>
          <t>MH-DC-001-TN-067</t>
        </is>
      </c>
      <c r="D94" t="inlineStr">
        <is>
          <t>Tenant gear</t>
        </is>
      </c>
      <c r="E94" t="inlineStr">
        <is>
          <t>access</t>
        </is>
      </c>
      <c r="F94" t="inlineStr">
        <is>
          <t>Tenant-owned</t>
        </is>
      </c>
      <c r="G94" t="inlineStr">
        <is>
          <t>Blade chassis</t>
        </is>
      </c>
      <c r="H94" t="inlineStr">
        <is>
          <t>—</t>
        </is>
      </c>
      <c r="L94" t="inlineStr">
        <is>
          <t>MH-DC-001-RACK-N</t>
        </is>
      </c>
      <c r="M94" t="n">
        <v>12</v>
      </c>
      <c r="N94" t="n">
        <v>2</v>
      </c>
      <c r="O94" t="inlineStr">
        <is>
          <t>Planned</t>
        </is>
      </c>
      <c r="P94" t="inlineStr">
        <is>
          <t>tenant</t>
        </is>
      </c>
      <c r="Q94" t="inlineStr">
        <is>
          <t>CUST-6468</t>
        </is>
      </c>
      <c r="R94" t="inlineStr">
        <is>
          <t>N</t>
        </is>
      </c>
      <c r="T94" t="inlineStr">
        <is>
          <t>N</t>
        </is>
      </c>
    </row>
    <row r="95">
      <c r="A95" t="inlineStr">
        <is>
          <t>MH-DC-001-TN-068</t>
        </is>
      </c>
      <c r="B95" t="inlineStr">
        <is>
          <t>MH-DC-001</t>
        </is>
      </c>
      <c r="C95" t="inlineStr">
        <is>
          <t>MH-DC-001-TN-068</t>
        </is>
      </c>
      <c r="D95" t="inlineStr">
        <is>
          <t>Tenant gear</t>
        </is>
      </c>
      <c r="E95" t="inlineStr">
        <is>
          <t>access</t>
        </is>
      </c>
      <c r="F95" t="inlineStr">
        <is>
          <t>Tenant-owned</t>
        </is>
      </c>
      <c r="G95" t="inlineStr">
        <is>
          <t>Network stack</t>
        </is>
      </c>
      <c r="H95" t="inlineStr">
        <is>
          <t>—</t>
        </is>
      </c>
      <c r="L95" t="inlineStr">
        <is>
          <t>MH-DC-001-RACK-N</t>
        </is>
      </c>
      <c r="M95" t="n">
        <v>14</v>
      </c>
      <c r="N95" t="n">
        <v>8</v>
      </c>
      <c r="O95" t="inlineStr">
        <is>
          <t>Planned</t>
        </is>
      </c>
      <c r="P95" t="inlineStr">
        <is>
          <t>tenant</t>
        </is>
      </c>
      <c r="Q95" t="inlineStr">
        <is>
          <t>CUST-6468</t>
        </is>
      </c>
      <c r="R95" t="inlineStr">
        <is>
          <t>N</t>
        </is>
      </c>
      <c r="T95" t="inlineStr">
        <is>
          <t>N</t>
        </is>
      </c>
    </row>
    <row r="96">
      <c r="A96" t="inlineStr">
        <is>
          <t>MH-DC-001-TN-069</t>
        </is>
      </c>
      <c r="B96" t="inlineStr">
        <is>
          <t>MH-DC-001</t>
        </is>
      </c>
      <c r="C96" t="inlineStr">
        <is>
          <t>MH-DC-001-TN-069</t>
        </is>
      </c>
      <c r="D96" t="inlineStr">
        <is>
          <t>Tenant gear</t>
        </is>
      </c>
      <c r="E96" t="inlineStr">
        <is>
          <t>access</t>
        </is>
      </c>
      <c r="F96" t="inlineStr">
        <is>
          <t>Tenant-owned</t>
        </is>
      </c>
      <c r="G96" t="inlineStr">
        <is>
          <t>Storage array</t>
        </is>
      </c>
      <c r="H96" t="inlineStr">
        <is>
          <t>—</t>
        </is>
      </c>
      <c r="L96" t="inlineStr">
        <is>
          <t>MH-DC-001-RACK-N</t>
        </is>
      </c>
      <c r="M96" t="n">
        <v>22</v>
      </c>
      <c r="N96" t="n">
        <v>2</v>
      </c>
      <c r="O96" t="inlineStr">
        <is>
          <t>Ready</t>
        </is>
      </c>
      <c r="P96" t="inlineStr">
        <is>
          <t>tenant</t>
        </is>
      </c>
      <c r="Q96" t="inlineStr">
        <is>
          <t>CUST-6468</t>
        </is>
      </c>
      <c r="R96" t="inlineStr">
        <is>
          <t>N</t>
        </is>
      </c>
      <c r="T96" t="inlineStr">
        <is>
          <t>N</t>
        </is>
      </c>
    </row>
    <row r="97">
      <c r="A97" t="inlineStr">
        <is>
          <t>MH-DC-001-TN-070</t>
        </is>
      </c>
      <c r="B97" t="inlineStr">
        <is>
          <t>MH-DC-001</t>
        </is>
      </c>
      <c r="C97" t="inlineStr">
        <is>
          <t>MH-DC-001-TN-070</t>
        </is>
      </c>
      <c r="D97" t="inlineStr">
        <is>
          <t>Tenant gear</t>
        </is>
      </c>
      <c r="E97" t="inlineStr">
        <is>
          <t>access</t>
        </is>
      </c>
      <c r="F97" t="inlineStr">
        <is>
          <t>Tenant-owned</t>
        </is>
      </c>
      <c r="G97" t="inlineStr">
        <is>
          <t>Network stack</t>
        </is>
      </c>
      <c r="H97" t="inlineStr">
        <is>
          <t>—</t>
        </is>
      </c>
      <c r="L97" t="inlineStr">
        <is>
          <t>MH-DC-001-RACK-N</t>
        </is>
      </c>
      <c r="M97" t="n">
        <v>24</v>
      </c>
      <c r="N97" t="n">
        <v>8</v>
      </c>
      <c r="O97" t="inlineStr">
        <is>
          <t>Planned</t>
        </is>
      </c>
      <c r="P97" t="inlineStr">
        <is>
          <t>tenant</t>
        </is>
      </c>
      <c r="Q97" t="inlineStr">
        <is>
          <t>CUST-6468</t>
        </is>
      </c>
      <c r="R97" t="inlineStr">
        <is>
          <t>N</t>
        </is>
      </c>
      <c r="T97" t="inlineStr">
        <is>
          <t>N</t>
        </is>
      </c>
    </row>
    <row r="98">
      <c r="A98" t="inlineStr">
        <is>
          <t>MH-DC-001-TN-071</t>
        </is>
      </c>
      <c r="B98" t="inlineStr">
        <is>
          <t>MH-DC-001</t>
        </is>
      </c>
      <c r="C98" t="inlineStr">
        <is>
          <t>MH-DC-001-TN-071</t>
        </is>
      </c>
      <c r="D98" t="inlineStr">
        <is>
          <t>Tenant gear</t>
        </is>
      </c>
      <c r="E98" t="inlineStr">
        <is>
          <t>access</t>
        </is>
      </c>
      <c r="F98" t="inlineStr">
        <is>
          <t>Tenant-owned</t>
        </is>
      </c>
      <c r="G98" t="inlineStr">
        <is>
          <t>Rack servers</t>
        </is>
      </c>
      <c r="H98" t="inlineStr">
        <is>
          <t>—</t>
        </is>
      </c>
      <c r="L98" t="inlineStr">
        <is>
          <t>MH-DC-001-RACK-N</t>
        </is>
      </c>
      <c r="M98" t="n">
        <v>32</v>
      </c>
      <c r="N98" t="n">
        <v>2</v>
      </c>
      <c r="O98" t="inlineStr">
        <is>
          <t>Planned</t>
        </is>
      </c>
      <c r="P98" t="inlineStr">
        <is>
          <t>tenant</t>
        </is>
      </c>
      <c r="Q98" t="inlineStr">
        <is>
          <t>CUST-6468</t>
        </is>
      </c>
      <c r="R98" t="inlineStr">
        <is>
          <t>N</t>
        </is>
      </c>
      <c r="T98" t="inlineStr">
        <is>
          <t>N</t>
        </is>
      </c>
    </row>
    <row r="99">
      <c r="A99" t="inlineStr">
        <is>
          <t>MH-DC-001-TN-072</t>
        </is>
      </c>
      <c r="B99" t="inlineStr">
        <is>
          <t>MH-DC-001</t>
        </is>
      </c>
      <c r="C99" t="inlineStr">
        <is>
          <t>MH-DC-001-TN-072</t>
        </is>
      </c>
      <c r="D99" t="inlineStr">
        <is>
          <t>Tenant gear</t>
        </is>
      </c>
      <c r="E99" t="inlineStr">
        <is>
          <t>access</t>
        </is>
      </c>
      <c r="F99" t="inlineStr">
        <is>
          <t>Tenant-owned</t>
        </is>
      </c>
      <c r="G99" t="inlineStr">
        <is>
          <t>Blade chassis</t>
        </is>
      </c>
      <c r="H99" t="inlineStr">
        <is>
          <t>—</t>
        </is>
      </c>
      <c r="L99" t="inlineStr">
        <is>
          <t>MH-DC-001-RACK-O</t>
        </is>
      </c>
      <c r="M99" t="n">
        <v>2</v>
      </c>
      <c r="N99" t="n">
        <v>4</v>
      </c>
      <c r="O99" t="inlineStr">
        <is>
          <t>Ready</t>
        </is>
      </c>
      <c r="P99" t="inlineStr">
        <is>
          <t>tenant</t>
        </is>
      </c>
      <c r="Q99" t="inlineStr">
        <is>
          <t>CUST-9982</t>
        </is>
      </c>
      <c r="R99" t="inlineStr">
        <is>
          <t>N</t>
        </is>
      </c>
      <c r="T99" t="inlineStr">
        <is>
          <t>N</t>
        </is>
      </c>
    </row>
    <row r="100">
      <c r="A100" t="inlineStr">
        <is>
          <t>MH-DC-001-TN-073</t>
        </is>
      </c>
      <c r="B100" t="inlineStr">
        <is>
          <t>MH-DC-001</t>
        </is>
      </c>
      <c r="C100" t="inlineStr">
        <is>
          <t>MH-DC-001-TN-073</t>
        </is>
      </c>
      <c r="D100" t="inlineStr">
        <is>
          <t>Tenant gear</t>
        </is>
      </c>
      <c r="E100" t="inlineStr">
        <is>
          <t>access</t>
        </is>
      </c>
      <c r="F100" t="inlineStr">
        <is>
          <t>Tenant-owned</t>
        </is>
      </c>
      <c r="G100" t="inlineStr">
        <is>
          <t>Storage array</t>
        </is>
      </c>
      <c r="H100" t="inlineStr">
        <is>
          <t>—</t>
        </is>
      </c>
      <c r="L100" t="inlineStr">
        <is>
          <t>MH-DC-001-RACK-O</t>
        </is>
      </c>
      <c r="M100" t="n">
        <v>6</v>
      </c>
      <c r="N100" t="n">
        <v>4</v>
      </c>
      <c r="O100" t="inlineStr">
        <is>
          <t>Planned</t>
        </is>
      </c>
      <c r="P100" t="inlineStr">
        <is>
          <t>tenant</t>
        </is>
      </c>
      <c r="Q100" t="inlineStr">
        <is>
          <t>CUST-9982</t>
        </is>
      </c>
      <c r="R100" t="inlineStr">
        <is>
          <t>N</t>
        </is>
      </c>
      <c r="T100" t="inlineStr">
        <is>
          <t>N</t>
        </is>
      </c>
    </row>
    <row r="101">
      <c r="A101" t="inlineStr">
        <is>
          <t>MH-DC-001-TN-074</t>
        </is>
      </c>
      <c r="B101" t="inlineStr">
        <is>
          <t>MH-DC-001</t>
        </is>
      </c>
      <c r="C101" t="inlineStr">
        <is>
          <t>MH-DC-001-TN-074</t>
        </is>
      </c>
      <c r="D101" t="inlineStr">
        <is>
          <t>Tenant gear</t>
        </is>
      </c>
      <c r="E101" t="inlineStr">
        <is>
          <t>access</t>
        </is>
      </c>
      <c r="F101" t="inlineStr">
        <is>
          <t>Tenant-owned</t>
        </is>
      </c>
      <c r="G101" t="inlineStr">
        <is>
          <t>Blade chassis</t>
        </is>
      </c>
      <c r="H101" t="inlineStr">
        <is>
          <t>—</t>
        </is>
      </c>
      <c r="L101" t="inlineStr">
        <is>
          <t>MH-DC-001-RACK-O</t>
        </is>
      </c>
      <c r="M101" t="n">
        <v>10</v>
      </c>
      <c r="N101" t="n">
        <v>2</v>
      </c>
      <c r="O101" t="inlineStr">
        <is>
          <t>Planned</t>
        </is>
      </c>
      <c r="P101" t="inlineStr">
        <is>
          <t>tenant</t>
        </is>
      </c>
      <c r="Q101" t="inlineStr">
        <is>
          <t>CUST-9982</t>
        </is>
      </c>
      <c r="R101" t="inlineStr">
        <is>
          <t>N</t>
        </is>
      </c>
      <c r="T101" t="inlineStr">
        <is>
          <t>N</t>
        </is>
      </c>
    </row>
    <row r="102">
      <c r="A102" t="inlineStr">
        <is>
          <t>MH-DC-001-TN-075</t>
        </is>
      </c>
      <c r="B102" t="inlineStr">
        <is>
          <t>MH-DC-001</t>
        </is>
      </c>
      <c r="C102" t="inlineStr">
        <is>
          <t>MH-DC-001-TN-075</t>
        </is>
      </c>
      <c r="D102" t="inlineStr">
        <is>
          <t>Tenant gear</t>
        </is>
      </c>
      <c r="E102" t="inlineStr">
        <is>
          <t>access</t>
        </is>
      </c>
      <c r="F102" t="inlineStr">
        <is>
          <t>Tenant-owned</t>
        </is>
      </c>
      <c r="G102" t="inlineStr">
        <is>
          <t>Mixed equipment</t>
        </is>
      </c>
      <c r="H102" t="inlineStr">
        <is>
          <t>—</t>
        </is>
      </c>
      <c r="L102" t="inlineStr">
        <is>
          <t>MH-DC-001-RACK-O</t>
        </is>
      </c>
      <c r="M102" t="n">
        <v>12</v>
      </c>
      <c r="N102" t="n">
        <v>2</v>
      </c>
      <c r="O102" t="inlineStr">
        <is>
          <t>Ready</t>
        </is>
      </c>
      <c r="P102" t="inlineStr">
        <is>
          <t>tenant</t>
        </is>
      </c>
      <c r="Q102" t="inlineStr">
        <is>
          <t>CUST-9982</t>
        </is>
      </c>
      <c r="R102" t="inlineStr">
        <is>
          <t>N</t>
        </is>
      </c>
      <c r="T102" t="inlineStr">
        <is>
          <t>N</t>
        </is>
      </c>
    </row>
    <row r="103">
      <c r="A103" t="inlineStr">
        <is>
          <t>MH-DC-001-TN-076</t>
        </is>
      </c>
      <c r="B103" t="inlineStr">
        <is>
          <t>MH-DC-001</t>
        </is>
      </c>
      <c r="C103" t="inlineStr">
        <is>
          <t>MH-DC-001-TN-076</t>
        </is>
      </c>
      <c r="D103" t="inlineStr">
        <is>
          <t>Tenant gear</t>
        </is>
      </c>
      <c r="E103" t="inlineStr">
        <is>
          <t>access</t>
        </is>
      </c>
      <c r="F103" t="inlineStr">
        <is>
          <t>Tenant-owned</t>
        </is>
      </c>
      <c r="G103" t="inlineStr">
        <is>
          <t>HPC nodes</t>
        </is>
      </c>
      <c r="H103" t="inlineStr">
        <is>
          <t>—</t>
        </is>
      </c>
      <c r="L103" t="inlineStr">
        <is>
          <t>MH-DC-001-RACK-O</t>
        </is>
      </c>
      <c r="M103" t="n">
        <v>14</v>
      </c>
      <c r="N103" t="n">
        <v>10</v>
      </c>
      <c r="O103" t="inlineStr">
        <is>
          <t>Ready</t>
        </is>
      </c>
      <c r="P103" t="inlineStr">
        <is>
          <t>tenant</t>
        </is>
      </c>
      <c r="Q103" t="inlineStr">
        <is>
          <t>CUST-9982</t>
        </is>
      </c>
      <c r="R103" t="inlineStr">
        <is>
          <t>N</t>
        </is>
      </c>
      <c r="T103" t="inlineStr">
        <is>
          <t>N</t>
        </is>
      </c>
    </row>
    <row r="104">
      <c r="A104" t="inlineStr">
        <is>
          <t>MH-DC-001-TN-077</t>
        </is>
      </c>
      <c r="B104" t="inlineStr">
        <is>
          <t>MH-DC-001</t>
        </is>
      </c>
      <c r="C104" t="inlineStr">
        <is>
          <t>MH-DC-001-TN-077</t>
        </is>
      </c>
      <c r="D104" t="inlineStr">
        <is>
          <t>Tenant gear</t>
        </is>
      </c>
      <c r="E104" t="inlineStr">
        <is>
          <t>access</t>
        </is>
      </c>
      <c r="F104" t="inlineStr">
        <is>
          <t>Tenant-owned</t>
        </is>
      </c>
      <c r="G104" t="inlineStr">
        <is>
          <t>Mixed equipment</t>
        </is>
      </c>
      <c r="H104" t="inlineStr">
        <is>
          <t>—</t>
        </is>
      </c>
      <c r="L104" t="inlineStr">
        <is>
          <t>MH-DC-001-RACK-O</t>
        </is>
      </c>
      <c r="M104" t="n">
        <v>24</v>
      </c>
      <c r="N104" t="n">
        <v>10</v>
      </c>
      <c r="O104" t="inlineStr">
        <is>
          <t>Planned</t>
        </is>
      </c>
      <c r="P104" t="inlineStr">
        <is>
          <t>tenant</t>
        </is>
      </c>
      <c r="Q104" t="inlineStr">
        <is>
          <t>CUST-9982</t>
        </is>
      </c>
      <c r="R104" t="inlineStr">
        <is>
          <t>N</t>
        </is>
      </c>
      <c r="T104" t="inlineStr">
        <is>
          <t>N</t>
        </is>
      </c>
    </row>
    <row r="105">
      <c r="A105" t="inlineStr">
        <is>
          <t>MH-DC-001-TN-078</t>
        </is>
      </c>
      <c r="B105" t="inlineStr">
        <is>
          <t>MH-DC-001</t>
        </is>
      </c>
      <c r="C105" t="inlineStr">
        <is>
          <t>MH-DC-001-TN-078</t>
        </is>
      </c>
      <c r="D105" t="inlineStr">
        <is>
          <t>Tenant gear</t>
        </is>
      </c>
      <c r="E105" t="inlineStr">
        <is>
          <t>access</t>
        </is>
      </c>
      <c r="F105" t="inlineStr">
        <is>
          <t>Tenant-owned</t>
        </is>
      </c>
      <c r="G105" t="inlineStr">
        <is>
          <t>Storage array</t>
        </is>
      </c>
      <c r="H105" t="inlineStr">
        <is>
          <t>—</t>
        </is>
      </c>
      <c r="L105" t="inlineStr">
        <is>
          <t>MH-DC-001-RACK-O</t>
        </is>
      </c>
      <c r="M105" t="n">
        <v>34</v>
      </c>
      <c r="N105" t="n">
        <v>2</v>
      </c>
      <c r="O105" t="inlineStr">
        <is>
          <t>Ready</t>
        </is>
      </c>
      <c r="P105" t="inlineStr">
        <is>
          <t>tenant</t>
        </is>
      </c>
      <c r="Q105" t="inlineStr">
        <is>
          <t>CUST-9982</t>
        </is>
      </c>
      <c r="R105" t="inlineStr">
        <is>
          <t>N</t>
        </is>
      </c>
      <c r="T105" t="inlineStr">
        <is>
          <t>N</t>
        </is>
      </c>
    </row>
    <row r="106">
      <c r="A106" t="inlineStr">
        <is>
          <t>MH-DC-001-TN-079</t>
        </is>
      </c>
      <c r="B106" t="inlineStr">
        <is>
          <t>MH-DC-001</t>
        </is>
      </c>
      <c r="C106" t="inlineStr">
        <is>
          <t>MH-DC-001-TN-079</t>
        </is>
      </c>
      <c r="D106" t="inlineStr">
        <is>
          <t>Tenant gear</t>
        </is>
      </c>
      <c r="E106" t="inlineStr">
        <is>
          <t>access</t>
        </is>
      </c>
      <c r="F106" t="inlineStr">
        <is>
          <t>Tenant-owned</t>
        </is>
      </c>
      <c r="G106" t="inlineStr">
        <is>
          <t>Mixed equipment</t>
        </is>
      </c>
      <c r="H106" t="inlineStr">
        <is>
          <t>—</t>
        </is>
      </c>
      <c r="L106" t="inlineStr">
        <is>
          <t>MH-DC-001-RACK-P</t>
        </is>
      </c>
      <c r="M106" t="n">
        <v>2</v>
      </c>
      <c r="N106" t="n">
        <v>6</v>
      </c>
      <c r="O106" t="inlineStr">
        <is>
          <t>Planned</t>
        </is>
      </c>
      <c r="P106" t="inlineStr">
        <is>
          <t>tenant</t>
        </is>
      </c>
      <c r="Q106" t="inlineStr">
        <is>
          <t>CUST-1202</t>
        </is>
      </c>
      <c r="R106" t="inlineStr">
        <is>
          <t>N</t>
        </is>
      </c>
      <c r="T106" t="inlineStr">
        <is>
          <t>N</t>
        </is>
      </c>
    </row>
    <row r="107">
      <c r="A107" t="inlineStr">
        <is>
          <t>MH-DC-001-TN-080</t>
        </is>
      </c>
      <c r="B107" t="inlineStr">
        <is>
          <t>MH-DC-001</t>
        </is>
      </c>
      <c r="C107" t="inlineStr">
        <is>
          <t>MH-DC-001-TN-080</t>
        </is>
      </c>
      <c r="D107" t="inlineStr">
        <is>
          <t>Tenant gear</t>
        </is>
      </c>
      <c r="E107" t="inlineStr">
        <is>
          <t>access</t>
        </is>
      </c>
      <c r="F107" t="inlineStr">
        <is>
          <t>Tenant-owned</t>
        </is>
      </c>
      <c r="G107" t="inlineStr">
        <is>
          <t>HPC nodes</t>
        </is>
      </c>
      <c r="H107" t="inlineStr">
        <is>
          <t>—</t>
        </is>
      </c>
      <c r="L107" t="inlineStr">
        <is>
          <t>MH-DC-001-RACK-P</t>
        </is>
      </c>
      <c r="M107" t="n">
        <v>8</v>
      </c>
      <c r="N107" t="n">
        <v>4</v>
      </c>
      <c r="O107" t="inlineStr">
        <is>
          <t>Planned</t>
        </is>
      </c>
      <c r="P107" t="inlineStr">
        <is>
          <t>tenant</t>
        </is>
      </c>
      <c r="Q107" t="inlineStr">
        <is>
          <t>CUST-1202</t>
        </is>
      </c>
      <c r="R107" t="inlineStr">
        <is>
          <t>N</t>
        </is>
      </c>
      <c r="T107" t="inlineStr">
        <is>
          <t>N</t>
        </is>
      </c>
    </row>
    <row r="108">
      <c r="A108" t="inlineStr">
        <is>
          <t>MH-DC-001-TN-081</t>
        </is>
      </c>
      <c r="B108" t="inlineStr">
        <is>
          <t>MH-DC-001</t>
        </is>
      </c>
      <c r="C108" t="inlineStr">
        <is>
          <t>MH-DC-001-TN-081</t>
        </is>
      </c>
      <c r="D108" t="inlineStr">
        <is>
          <t>Tenant gear</t>
        </is>
      </c>
      <c r="E108" t="inlineStr">
        <is>
          <t>access</t>
        </is>
      </c>
      <c r="F108" t="inlineStr">
        <is>
          <t>Tenant-owned</t>
        </is>
      </c>
      <c r="G108" t="inlineStr">
        <is>
          <t>Blade chassis</t>
        </is>
      </c>
      <c r="H108" t="inlineStr">
        <is>
          <t>—</t>
        </is>
      </c>
      <c r="L108" t="inlineStr">
        <is>
          <t>MH-DC-001-RACK-P</t>
        </is>
      </c>
      <c r="M108" t="n">
        <v>12</v>
      </c>
      <c r="N108" t="n">
        <v>6</v>
      </c>
      <c r="O108" t="inlineStr">
        <is>
          <t>Ready</t>
        </is>
      </c>
      <c r="P108" t="inlineStr">
        <is>
          <t>tenant</t>
        </is>
      </c>
      <c r="Q108" t="inlineStr">
        <is>
          <t>CUST-1202</t>
        </is>
      </c>
      <c r="R108" t="inlineStr">
        <is>
          <t>N</t>
        </is>
      </c>
      <c r="T108" t="inlineStr">
        <is>
          <t>N</t>
        </is>
      </c>
    </row>
    <row r="109">
      <c r="A109" t="inlineStr">
        <is>
          <t>MH-DC-001-BMS-01</t>
        </is>
      </c>
      <c r="B109" t="inlineStr">
        <is>
          <t>MH-DC-001</t>
        </is>
      </c>
      <c r="C109" t="inlineStr">
        <is>
          <t>MH-DC-001-BMS-01</t>
        </is>
      </c>
      <c r="D109" t="inlineStr">
        <is>
          <t>Server</t>
        </is>
      </c>
      <c r="E109" t="inlineStr">
        <is>
          <t>access</t>
        </is>
      </c>
      <c r="F109" t="inlineStr">
        <is>
          <t>DELL</t>
        </is>
      </c>
      <c r="G109" t="inlineStr">
        <is>
          <t>PowerEdge R640</t>
        </is>
      </c>
      <c r="H109" t="inlineStr">
        <is>
          <t>ESXi 7.0u3</t>
        </is>
      </c>
      <c r="I109" t="inlineStr">
        <is>
          <t>DL0011754</t>
        </is>
      </c>
      <c r="J109" t="inlineStr">
        <is>
          <t>172.16.40.127</t>
        </is>
      </c>
      <c r="K109" t="inlineStr">
        <is>
          <t>A4:5E:60:F6:F0:87</t>
        </is>
      </c>
      <c r="L109" t="inlineStr">
        <is>
          <t>MH-DC-001-RACK-U</t>
        </is>
      </c>
      <c r="M109" t="n">
        <v>2</v>
      </c>
      <c r="N109" t="n">
        <v>1</v>
      </c>
      <c r="O109" t="inlineStr">
        <is>
          <t>Ready</t>
        </is>
      </c>
      <c r="P109" t="inlineStr">
        <is>
          <t>operator</t>
        </is>
      </c>
      <c r="R109" t="inlineStr">
        <is>
          <t>Y</t>
        </is>
      </c>
      <c r="S109" t="inlineStr">
        <is>
          <t>COL-MH-DC-001-2</t>
        </is>
      </c>
      <c r="T109" t="inlineStr">
        <is>
          <t>N</t>
        </is>
      </c>
    </row>
    <row r="110">
      <c r="A110" t="inlineStr">
        <is>
          <t>MH-DC-001-BMS-02</t>
        </is>
      </c>
      <c r="B110" t="inlineStr">
        <is>
          <t>MH-DC-001</t>
        </is>
      </c>
      <c r="C110" t="inlineStr">
        <is>
          <t>MH-DC-001-BMS-02</t>
        </is>
      </c>
      <c r="D110" t="inlineStr">
        <is>
          <t>Server</t>
        </is>
      </c>
      <c r="E110" t="inlineStr">
        <is>
          <t>access</t>
        </is>
      </c>
      <c r="F110" t="inlineStr">
        <is>
          <t>DELL</t>
        </is>
      </c>
      <c r="G110" t="inlineStr">
        <is>
          <t>PowerEdge R640</t>
        </is>
      </c>
      <c r="H110" t="inlineStr">
        <is>
          <t>ESXi 7.0u3</t>
        </is>
      </c>
      <c r="I110" t="inlineStr">
        <is>
          <t>DL0011762</t>
        </is>
      </c>
      <c r="J110" t="inlineStr">
        <is>
          <t>172.16.40.128</t>
        </is>
      </c>
      <c r="K110" t="inlineStr">
        <is>
          <t>A4:5E:60:5C:CC:A7</t>
        </is>
      </c>
      <c r="L110" t="inlineStr">
        <is>
          <t>MH-DC-001-RACK-U</t>
        </is>
      </c>
      <c r="M110" t="n">
        <v>3</v>
      </c>
      <c r="N110" t="n">
        <v>1</v>
      </c>
      <c r="O110" t="inlineStr">
        <is>
          <t>Ready</t>
        </is>
      </c>
      <c r="P110" t="inlineStr">
        <is>
          <t>operator</t>
        </is>
      </c>
      <c r="R110" t="inlineStr">
        <is>
          <t>Y</t>
        </is>
      </c>
      <c r="S110" t="inlineStr">
        <is>
          <t>COL-MH-DC-001-1</t>
        </is>
      </c>
      <c r="T110" t="inlineStr">
        <is>
          <t>N</t>
        </is>
      </c>
    </row>
    <row r="111">
      <c r="A111" t="inlineStr">
        <is>
          <t>MH-DC-001-ACS-01</t>
        </is>
      </c>
      <c r="B111" t="inlineStr">
        <is>
          <t>MH-DC-001</t>
        </is>
      </c>
      <c r="C111" t="inlineStr">
        <is>
          <t>MH-DC-001-ACS-01</t>
        </is>
      </c>
      <c r="D111" t="inlineStr">
        <is>
          <t>Server</t>
        </is>
      </c>
      <c r="E111" t="inlineStr">
        <is>
          <t>access</t>
        </is>
      </c>
      <c r="F111" t="inlineStr">
        <is>
          <t>SUPERMICRO</t>
        </is>
      </c>
      <c r="G111" t="inlineStr">
        <is>
          <t>SYS-121H</t>
        </is>
      </c>
      <c r="H111" t="inlineStr">
        <is>
          <t>Ubuntu 22.04</t>
        </is>
      </c>
      <c r="I111" t="inlineStr">
        <is>
          <t>SM0011765</t>
        </is>
      </c>
      <c r="J111" t="inlineStr">
        <is>
          <t>172.16.40.129</t>
        </is>
      </c>
      <c r="K111" t="inlineStr">
        <is>
          <t>A4:5E:60:75:E5:C9</t>
        </is>
      </c>
      <c r="L111" t="inlineStr">
        <is>
          <t>MH-DC-001-RACK-U</t>
        </is>
      </c>
      <c r="M111" t="n">
        <v>4</v>
      </c>
      <c r="N111" t="n">
        <v>1</v>
      </c>
      <c r="O111" t="inlineStr">
        <is>
          <t>Ready</t>
        </is>
      </c>
      <c r="P111" t="inlineStr">
        <is>
          <t>operator</t>
        </is>
      </c>
      <c r="R111" t="inlineStr">
        <is>
          <t>Y</t>
        </is>
      </c>
      <c r="S111" t="inlineStr">
        <is>
          <t>COL-MH-DC-001-1</t>
        </is>
      </c>
      <c r="T111" t="inlineStr">
        <is>
          <t>N</t>
        </is>
      </c>
    </row>
    <row r="112">
      <c r="A112" t="inlineStr">
        <is>
          <t>MH-DC-001-NVR-01</t>
        </is>
      </c>
      <c r="B112" t="inlineStr">
        <is>
          <t>MH-DC-001</t>
        </is>
      </c>
      <c r="C112" t="inlineStr">
        <is>
          <t>MH-DC-001-NVR-01</t>
        </is>
      </c>
      <c r="D112" t="inlineStr">
        <is>
          <t>Server</t>
        </is>
      </c>
      <c r="E112" t="inlineStr">
        <is>
          <t>access</t>
        </is>
      </c>
      <c r="F112" t="inlineStr">
        <is>
          <t>HPE</t>
        </is>
      </c>
      <c r="G112" t="inlineStr">
        <is>
          <t>ProLiant DL380 Gen11</t>
        </is>
      </c>
      <c r="H112" t="inlineStr">
        <is>
          <t>RHEL 9.3</t>
        </is>
      </c>
      <c r="I112" t="inlineStr">
        <is>
          <t>HP0011772</t>
        </is>
      </c>
      <c r="J112" t="inlineStr">
        <is>
          <t>172.16.40.130</t>
        </is>
      </c>
      <c r="K112" t="inlineStr">
        <is>
          <t>A4:5E:60:13:C5:EA</t>
        </is>
      </c>
      <c r="L112" t="inlineStr">
        <is>
          <t>MH-DC-001-RACK-U</t>
        </is>
      </c>
      <c r="M112" t="n">
        <v>5</v>
      </c>
      <c r="N112" t="n">
        <v>2</v>
      </c>
      <c r="O112" t="inlineStr">
        <is>
          <t>Ready</t>
        </is>
      </c>
      <c r="P112" t="inlineStr">
        <is>
          <t>operator</t>
        </is>
      </c>
      <c r="R112" t="inlineStr">
        <is>
          <t>Y</t>
        </is>
      </c>
      <c r="S112" t="inlineStr">
        <is>
          <t>COL-MH-DC-001-2</t>
        </is>
      </c>
      <c r="T112" t="inlineStr">
        <is>
          <t>N</t>
        </is>
      </c>
    </row>
    <row r="113">
      <c r="A113" t="inlineStr">
        <is>
          <t>MH-DC-001-NVR-02</t>
        </is>
      </c>
      <c r="B113" t="inlineStr">
        <is>
          <t>MH-DC-001</t>
        </is>
      </c>
      <c r="C113" t="inlineStr">
        <is>
          <t>MH-DC-001-NVR-02</t>
        </is>
      </c>
      <c r="D113" t="inlineStr">
        <is>
          <t>Server</t>
        </is>
      </c>
      <c r="E113" t="inlineStr">
        <is>
          <t>access</t>
        </is>
      </c>
      <c r="F113" t="inlineStr">
        <is>
          <t>SUPERMICRO</t>
        </is>
      </c>
      <c r="G113" t="inlineStr">
        <is>
          <t>SYS-121H</t>
        </is>
      </c>
      <c r="H113" t="inlineStr">
        <is>
          <t>Ubuntu 22.04</t>
        </is>
      </c>
      <c r="I113" t="inlineStr">
        <is>
          <t>SM0011779</t>
        </is>
      </c>
      <c r="J113" t="inlineStr">
        <is>
          <t>172.16.40.131</t>
        </is>
      </c>
      <c r="K113" t="inlineStr">
        <is>
          <t>A4:5E:60:8D:93:D8</t>
        </is>
      </c>
      <c r="L113" t="inlineStr">
        <is>
          <t>MH-DC-001-RACK-U</t>
        </is>
      </c>
      <c r="M113" t="n">
        <v>7</v>
      </c>
      <c r="N113" t="n">
        <v>2</v>
      </c>
      <c r="O113" t="inlineStr">
        <is>
          <t>Ready</t>
        </is>
      </c>
      <c r="P113" t="inlineStr">
        <is>
          <t>operator</t>
        </is>
      </c>
      <c r="R113" t="inlineStr">
        <is>
          <t>Y</t>
        </is>
      </c>
      <c r="S113" t="inlineStr">
        <is>
          <t>COL-MH-DC-001-1</t>
        </is>
      </c>
      <c r="T113" t="inlineStr">
        <is>
          <t>N</t>
        </is>
      </c>
    </row>
    <row r="114">
      <c r="A114" t="inlineStr">
        <is>
          <t>MH-DC-001-JMP-01</t>
        </is>
      </c>
      <c r="B114" t="inlineStr">
        <is>
          <t>MH-DC-001</t>
        </is>
      </c>
      <c r="C114" t="inlineStr">
        <is>
          <t>MH-DC-001-JMP-01</t>
        </is>
      </c>
      <c r="D114" t="inlineStr">
        <is>
          <t>Server</t>
        </is>
      </c>
      <c r="E114" t="inlineStr">
        <is>
          <t>access</t>
        </is>
      </c>
      <c r="F114" t="inlineStr">
        <is>
          <t>SUPERMICRO</t>
        </is>
      </c>
      <c r="G114" t="inlineStr">
        <is>
          <t>SYS-121H</t>
        </is>
      </c>
      <c r="H114" t="inlineStr">
        <is>
          <t>Ubuntu 22.04</t>
        </is>
      </c>
      <c r="I114" t="inlineStr">
        <is>
          <t>SM0011787</t>
        </is>
      </c>
      <c r="J114" t="inlineStr">
        <is>
          <t>172.16.40.132</t>
        </is>
      </c>
      <c r="K114" t="inlineStr">
        <is>
          <t>A4:5E:60:0A:CB:A4</t>
        </is>
      </c>
      <c r="L114" t="inlineStr">
        <is>
          <t>MH-DC-001-RACK-U</t>
        </is>
      </c>
      <c r="M114" t="n">
        <v>9</v>
      </c>
      <c r="N114" t="n">
        <v>1</v>
      </c>
      <c r="O114" t="inlineStr">
        <is>
          <t>Ready</t>
        </is>
      </c>
      <c r="P114" t="inlineStr">
        <is>
          <t>operator</t>
        </is>
      </c>
      <c r="R114" t="inlineStr">
        <is>
          <t>Y</t>
        </is>
      </c>
      <c r="S114" t="inlineStr">
        <is>
          <t>COL-MH-DC-001-1</t>
        </is>
      </c>
      <c r="T114" t="inlineStr">
        <is>
          <t>N</t>
        </is>
      </c>
    </row>
    <row r="115">
      <c r="A115" t="inlineStr">
        <is>
          <t>MH-DC-001-JMP-02</t>
        </is>
      </c>
      <c r="B115" t="inlineStr">
        <is>
          <t>MH-DC-001</t>
        </is>
      </c>
      <c r="C115" t="inlineStr">
        <is>
          <t>MH-DC-001-JMP-02</t>
        </is>
      </c>
      <c r="D115" t="inlineStr">
        <is>
          <t>Server</t>
        </is>
      </c>
      <c r="E115" t="inlineStr">
        <is>
          <t>access</t>
        </is>
      </c>
      <c r="F115" t="inlineStr">
        <is>
          <t>HPE</t>
        </is>
      </c>
      <c r="G115" t="inlineStr">
        <is>
          <t>ProLiant DL380 Gen11</t>
        </is>
      </c>
      <c r="H115" t="inlineStr">
        <is>
          <t>RHEL 9.3</t>
        </is>
      </c>
      <c r="I115" t="inlineStr">
        <is>
          <t>HP0011793</t>
        </is>
      </c>
      <c r="J115" t="inlineStr">
        <is>
          <t>172.16.40.133</t>
        </is>
      </c>
      <c r="K115" t="inlineStr">
        <is>
          <t>A4:5E:60:B6:CB:A6</t>
        </is>
      </c>
      <c r="L115" t="inlineStr">
        <is>
          <t>MH-DC-001-RACK-U</t>
        </is>
      </c>
      <c r="M115" t="n">
        <v>10</v>
      </c>
      <c r="N115" t="n">
        <v>1</v>
      </c>
      <c r="O115" t="inlineStr">
        <is>
          <t>Ready</t>
        </is>
      </c>
      <c r="P115" t="inlineStr">
        <is>
          <t>operator</t>
        </is>
      </c>
      <c r="R115" t="inlineStr">
        <is>
          <t>Y</t>
        </is>
      </c>
      <c r="S115" t="inlineStr">
        <is>
          <t>COL-MH-DC-001-2</t>
        </is>
      </c>
      <c r="T115" t="inlineStr">
        <is>
          <t>N</t>
        </is>
      </c>
    </row>
    <row r="116">
      <c r="A116" t="inlineStr">
        <is>
          <t>MH-DC-001-BKP-01</t>
        </is>
      </c>
      <c r="B116" t="inlineStr">
        <is>
          <t>MH-DC-001</t>
        </is>
      </c>
      <c r="C116" t="inlineStr">
        <is>
          <t>MH-DC-001-BKP-01</t>
        </is>
      </c>
      <c r="D116" t="inlineStr">
        <is>
          <t>Server</t>
        </is>
      </c>
      <c r="E116" t="inlineStr">
        <is>
          <t>access</t>
        </is>
      </c>
      <c r="F116" t="inlineStr">
        <is>
          <t>DELL</t>
        </is>
      </c>
      <c r="G116" t="inlineStr">
        <is>
          <t>PowerEdge R760</t>
        </is>
      </c>
      <c r="H116" t="inlineStr">
        <is>
          <t>ESXi 8.0u2</t>
        </is>
      </c>
      <c r="I116" t="inlineStr">
        <is>
          <t>DL0011804</t>
        </is>
      </c>
      <c r="J116" t="inlineStr">
        <is>
          <t>172.16.40.134</t>
        </is>
      </c>
      <c r="K116" t="inlineStr">
        <is>
          <t>A4:5E:60:4C:E0:FB</t>
        </is>
      </c>
      <c r="L116" t="inlineStr">
        <is>
          <t>MH-DC-001-RACK-U</t>
        </is>
      </c>
      <c r="M116" t="n">
        <v>11</v>
      </c>
      <c r="N116" t="n">
        <v>2</v>
      </c>
      <c r="O116" t="inlineStr">
        <is>
          <t>Ready</t>
        </is>
      </c>
      <c r="P116" t="inlineStr">
        <is>
          <t>operator</t>
        </is>
      </c>
      <c r="R116" t="inlineStr">
        <is>
          <t>Y</t>
        </is>
      </c>
      <c r="S116" t="inlineStr">
        <is>
          <t>COL-MH-DC-001-1</t>
        </is>
      </c>
      <c r="T116" t="inlineStr">
        <is>
          <t>N</t>
        </is>
      </c>
    </row>
    <row r="117">
      <c r="A117" t="inlineStr">
        <is>
          <t>MH-DC-001-DCIM-01</t>
        </is>
      </c>
      <c r="B117" t="inlineStr">
        <is>
          <t>MH-DC-001</t>
        </is>
      </c>
      <c r="C117" t="inlineStr">
        <is>
          <t>MH-DC-001-DCIM-01</t>
        </is>
      </c>
      <c r="D117" t="inlineStr">
        <is>
          <t>Server</t>
        </is>
      </c>
      <c r="E117" t="inlineStr">
        <is>
          <t>access</t>
        </is>
      </c>
      <c r="F117" t="inlineStr">
        <is>
          <t>SUPERMICRO</t>
        </is>
      </c>
      <c r="G117" t="inlineStr">
        <is>
          <t>SYS-121H</t>
        </is>
      </c>
      <c r="H117" t="inlineStr">
        <is>
          <t>Ubuntu 22.04</t>
        </is>
      </c>
      <c r="I117" t="inlineStr">
        <is>
          <t>SM0011811</t>
        </is>
      </c>
      <c r="J117" t="inlineStr">
        <is>
          <t>172.16.40.135</t>
        </is>
      </c>
      <c r="K117" t="inlineStr">
        <is>
          <t>A4:5E:60:08:99:7B</t>
        </is>
      </c>
      <c r="L117" t="inlineStr">
        <is>
          <t>MH-DC-001-RACK-U</t>
        </is>
      </c>
      <c r="M117" t="n">
        <v>13</v>
      </c>
      <c r="N117" t="n">
        <v>1</v>
      </c>
      <c r="O117" t="inlineStr">
        <is>
          <t>Ready</t>
        </is>
      </c>
      <c r="P117" t="inlineStr">
        <is>
          <t>operator</t>
        </is>
      </c>
      <c r="R117" t="inlineStr">
        <is>
          <t>Y</t>
        </is>
      </c>
      <c r="S117" t="inlineStr">
        <is>
          <t>COL-MH-DC-001-1</t>
        </is>
      </c>
      <c r="T117" t="inlineStr">
        <is>
          <t>N</t>
        </is>
      </c>
    </row>
    <row r="118">
      <c r="A118" t="inlineStr">
        <is>
          <t>MH-DC-001-DCIM-02</t>
        </is>
      </c>
      <c r="B118" t="inlineStr">
        <is>
          <t>MH-DC-001</t>
        </is>
      </c>
      <c r="C118" t="inlineStr">
        <is>
          <t>MH-DC-001-DCIM-02</t>
        </is>
      </c>
      <c r="D118" t="inlineStr">
        <is>
          <t>Server</t>
        </is>
      </c>
      <c r="E118" t="inlineStr">
        <is>
          <t>access</t>
        </is>
      </c>
      <c r="F118" t="inlineStr">
        <is>
          <t>SUPERMICRO</t>
        </is>
      </c>
      <c r="G118" t="inlineStr">
        <is>
          <t>SYS-121H</t>
        </is>
      </c>
      <c r="H118" t="inlineStr">
        <is>
          <t>Ubuntu 22.04</t>
        </is>
      </c>
      <c r="I118" t="inlineStr">
        <is>
          <t>SM0011812</t>
        </is>
      </c>
      <c r="J118" t="inlineStr">
        <is>
          <t>172.16.40.136</t>
        </is>
      </c>
      <c r="K118" t="inlineStr">
        <is>
          <t>A4:5E:60:AB:75:74</t>
        </is>
      </c>
      <c r="L118" t="inlineStr">
        <is>
          <t>MH-DC-001-RACK-U</t>
        </is>
      </c>
      <c r="M118" t="n">
        <v>14</v>
      </c>
      <c r="N118" t="n">
        <v>1</v>
      </c>
      <c r="O118" t="inlineStr">
        <is>
          <t>Ready</t>
        </is>
      </c>
      <c r="P118" t="inlineStr">
        <is>
          <t>operator</t>
        </is>
      </c>
      <c r="R118" t="inlineStr">
        <is>
          <t>Y</t>
        </is>
      </c>
      <c r="S118" t="inlineStr">
        <is>
          <t>COL-MH-DC-001-2</t>
        </is>
      </c>
      <c r="T118" t="inlineStr">
        <is>
          <t>N</t>
        </is>
      </c>
    </row>
    <row r="119">
      <c r="A119" t="inlineStr">
        <is>
          <t>MH-DC-001-MON-01</t>
        </is>
      </c>
      <c r="B119" t="inlineStr">
        <is>
          <t>MH-DC-001</t>
        </is>
      </c>
      <c r="C119" t="inlineStr">
        <is>
          <t>MH-DC-001-MON-01</t>
        </is>
      </c>
      <c r="D119" t="inlineStr">
        <is>
          <t>Server</t>
        </is>
      </c>
      <c r="E119" t="inlineStr">
        <is>
          <t>access</t>
        </is>
      </c>
      <c r="F119" t="inlineStr">
        <is>
          <t>HPE</t>
        </is>
      </c>
      <c r="G119" t="inlineStr">
        <is>
          <t>ProLiant DL380 Gen11</t>
        </is>
      </c>
      <c r="H119" t="inlineStr">
        <is>
          <t>RHEL 9.3</t>
        </is>
      </c>
      <c r="I119" t="inlineStr">
        <is>
          <t>HP0011825</t>
        </is>
      </c>
      <c r="J119" t="inlineStr">
        <is>
          <t>172.16.40.137</t>
        </is>
      </c>
      <c r="K119" t="inlineStr">
        <is>
          <t>A4:5E:60:3A:44:87</t>
        </is>
      </c>
      <c r="L119" t="inlineStr">
        <is>
          <t>MH-DC-001-RACK-U</t>
        </is>
      </c>
      <c r="M119" t="n">
        <v>15</v>
      </c>
      <c r="N119" t="n">
        <v>1</v>
      </c>
      <c r="O119" t="inlineStr">
        <is>
          <t>Ready</t>
        </is>
      </c>
      <c r="P119" t="inlineStr">
        <is>
          <t>operator</t>
        </is>
      </c>
      <c r="R119" t="inlineStr">
        <is>
          <t>Y</t>
        </is>
      </c>
      <c r="S119" t="inlineStr">
        <is>
          <t>COL-MH-DC-001-2</t>
        </is>
      </c>
      <c r="T119" t="inlineStr">
        <is>
          <t>N</t>
        </is>
      </c>
    </row>
    <row r="120">
      <c r="A120" t="inlineStr">
        <is>
          <t>MH-DC-001-MON-02</t>
        </is>
      </c>
      <c r="B120" t="inlineStr">
        <is>
          <t>MH-DC-001</t>
        </is>
      </c>
      <c r="C120" t="inlineStr">
        <is>
          <t>MH-DC-001-MON-02</t>
        </is>
      </c>
      <c r="D120" t="inlineStr">
        <is>
          <t>Server</t>
        </is>
      </c>
      <c r="E120" t="inlineStr">
        <is>
          <t>access</t>
        </is>
      </c>
      <c r="F120" t="inlineStr">
        <is>
          <t>DELL</t>
        </is>
      </c>
      <c r="G120" t="inlineStr">
        <is>
          <t>PowerEdge R760</t>
        </is>
      </c>
      <c r="H120" t="inlineStr">
        <is>
          <t>ESXi 8.0u2</t>
        </is>
      </c>
      <c r="I120" t="inlineStr">
        <is>
          <t>DL0011829</t>
        </is>
      </c>
      <c r="J120" t="inlineStr">
        <is>
          <t>172.16.40.138</t>
        </is>
      </c>
      <c r="K120" t="inlineStr">
        <is>
          <t>A4:5E:60:72:5C:E6</t>
        </is>
      </c>
      <c r="L120" t="inlineStr">
        <is>
          <t>MH-DC-001-RACK-U</t>
        </is>
      </c>
      <c r="M120" t="n">
        <v>16</v>
      </c>
      <c r="N120" t="n">
        <v>1</v>
      </c>
      <c r="O120" t="inlineStr">
        <is>
          <t>Ready</t>
        </is>
      </c>
      <c r="P120" t="inlineStr">
        <is>
          <t>operator</t>
        </is>
      </c>
      <c r="R120" t="inlineStr">
        <is>
          <t>Y</t>
        </is>
      </c>
      <c r="S120" t="inlineStr">
        <is>
          <t>COL-MH-DC-001-1</t>
        </is>
      </c>
      <c r="T120" t="inlineStr">
        <is>
          <t>N</t>
        </is>
      </c>
    </row>
    <row r="121">
      <c r="A121" t="inlineStr">
        <is>
          <t>MH-DC-002-PE-T4-01</t>
        </is>
      </c>
      <c r="B121" t="inlineStr">
        <is>
          <t>MH-DC-002</t>
        </is>
      </c>
      <c r="C121" t="inlineStr">
        <is>
          <t>MH-DC-002-PE-T4-01</t>
        </is>
      </c>
      <c r="D121" t="inlineStr">
        <is>
          <t>Router</t>
        </is>
      </c>
      <c r="E121" t="inlineStr">
        <is>
          <t>core</t>
        </is>
      </c>
      <c r="F121" t="inlineStr">
        <is>
          <t>JUNIPER</t>
        </is>
      </c>
      <c r="G121" t="inlineStr">
        <is>
          <t>MX204</t>
        </is>
      </c>
      <c r="H121" t="inlineStr">
        <is>
          <t>21.4R3-S5.5</t>
        </is>
      </c>
      <c r="I121" t="inlineStr">
        <is>
          <t>JU0011001</t>
        </is>
      </c>
      <c r="J121" t="inlineStr">
        <is>
          <t>172.25.40.20</t>
        </is>
      </c>
      <c r="K121" t="inlineStr">
        <is>
          <t>A4:5E:60:D1:8C:60</t>
        </is>
      </c>
      <c r="L121" t="inlineStr">
        <is>
          <t>MH-DC-002-RACK-A</t>
        </is>
      </c>
      <c r="M121" t="n">
        <v>2</v>
      </c>
      <c r="N121" t="n">
        <v>1</v>
      </c>
      <c r="O121" t="inlineStr">
        <is>
          <t>Ready</t>
        </is>
      </c>
      <c r="P121" t="inlineStr">
        <is>
          <t>operator</t>
        </is>
      </c>
      <c r="R121" t="inlineStr">
        <is>
          <t>Y</t>
        </is>
      </c>
      <c r="S121" t="inlineStr">
        <is>
          <t>COL-MH-DC-002-1</t>
        </is>
      </c>
      <c r="T121" t="inlineStr">
        <is>
          <t>Y</t>
        </is>
      </c>
    </row>
    <row r="122">
      <c r="A122" t="inlineStr">
        <is>
          <t>MH-DC-002-PE-T4-02</t>
        </is>
      </c>
      <c r="B122" t="inlineStr">
        <is>
          <t>MH-DC-002</t>
        </is>
      </c>
      <c r="C122" t="inlineStr">
        <is>
          <t>MH-DC-002-PE-T4-02</t>
        </is>
      </c>
      <c r="D122" t="inlineStr">
        <is>
          <t>Router</t>
        </is>
      </c>
      <c r="E122" t="inlineStr">
        <is>
          <t>core</t>
        </is>
      </c>
      <c r="F122" t="inlineStr">
        <is>
          <t>JUNIPER</t>
        </is>
      </c>
      <c r="G122" t="inlineStr">
        <is>
          <t>MX204</t>
        </is>
      </c>
      <c r="H122" t="inlineStr">
        <is>
          <t>21.4R3-S5.5</t>
        </is>
      </c>
      <c r="I122" t="inlineStr">
        <is>
          <t>JU0011008</t>
        </is>
      </c>
      <c r="J122" t="inlineStr">
        <is>
          <t>172.25.40.21</t>
        </is>
      </c>
      <c r="K122" t="inlineStr">
        <is>
          <t>A4:5E:60:58:5F:94</t>
        </is>
      </c>
      <c r="L122" t="inlineStr">
        <is>
          <t>MH-DC-002-RACK-A</t>
        </is>
      </c>
      <c r="M122" t="n">
        <v>3</v>
      </c>
      <c r="N122" t="n">
        <v>1</v>
      </c>
      <c r="O122" t="inlineStr">
        <is>
          <t>Ready</t>
        </is>
      </c>
      <c r="P122" t="inlineStr">
        <is>
          <t>operator</t>
        </is>
      </c>
      <c r="R122" t="inlineStr">
        <is>
          <t>Y</t>
        </is>
      </c>
      <c r="S122" t="inlineStr">
        <is>
          <t>COL-MH-DC-002-2</t>
        </is>
      </c>
      <c r="T122" t="inlineStr">
        <is>
          <t>Y</t>
        </is>
      </c>
    </row>
    <row r="123">
      <c r="A123" t="inlineStr">
        <is>
          <t>MH-DC-002-PE-T4-03</t>
        </is>
      </c>
      <c r="B123" t="inlineStr">
        <is>
          <t>MH-DC-002</t>
        </is>
      </c>
      <c r="C123" t="inlineStr">
        <is>
          <t>MH-DC-002-PE-T4-03</t>
        </is>
      </c>
      <c r="D123" t="inlineStr">
        <is>
          <t>Router</t>
        </is>
      </c>
      <c r="E123" t="inlineStr">
        <is>
          <t>core</t>
        </is>
      </c>
      <c r="F123" t="inlineStr">
        <is>
          <t>CISCO</t>
        </is>
      </c>
      <c r="G123" t="inlineStr">
        <is>
          <t>ASR 9006</t>
        </is>
      </c>
      <c r="H123" t="inlineStr">
        <is>
          <t>IOS XR 7.9.2</t>
        </is>
      </c>
      <c r="I123" t="inlineStr">
        <is>
          <t>CS0011017</t>
        </is>
      </c>
      <c r="J123" t="inlineStr">
        <is>
          <t>172.25.40.22</t>
        </is>
      </c>
      <c r="K123" t="inlineStr">
        <is>
          <t>A4:5E:60:CC:DF:44</t>
        </is>
      </c>
      <c r="L123" t="inlineStr">
        <is>
          <t>MH-DC-002-RACK-A</t>
        </is>
      </c>
      <c r="M123" t="n">
        <v>4</v>
      </c>
      <c r="N123" t="n">
        <v>1</v>
      </c>
      <c r="O123" t="inlineStr">
        <is>
          <t>Ready</t>
        </is>
      </c>
      <c r="P123" t="inlineStr">
        <is>
          <t>operator</t>
        </is>
      </c>
      <c r="R123" t="inlineStr">
        <is>
          <t>Y</t>
        </is>
      </c>
      <c r="S123" t="inlineStr">
        <is>
          <t>COL-MH-DC-002-1</t>
        </is>
      </c>
      <c r="T123" t="inlineStr">
        <is>
          <t>Y</t>
        </is>
      </c>
    </row>
    <row r="124">
      <c r="A124" t="inlineStr">
        <is>
          <t>MH-DC-002-PE-T4-04</t>
        </is>
      </c>
      <c r="B124" t="inlineStr">
        <is>
          <t>MH-DC-002</t>
        </is>
      </c>
      <c r="C124" t="inlineStr">
        <is>
          <t>MH-DC-002-PE-T4-04</t>
        </is>
      </c>
      <c r="D124" t="inlineStr">
        <is>
          <t>Router</t>
        </is>
      </c>
      <c r="E124" t="inlineStr">
        <is>
          <t>core</t>
        </is>
      </c>
      <c r="F124" t="inlineStr">
        <is>
          <t>CISCO</t>
        </is>
      </c>
      <c r="G124" t="inlineStr">
        <is>
          <t>ASR 9006</t>
        </is>
      </c>
      <c r="H124" t="inlineStr">
        <is>
          <t>IOS XR 7.9.2</t>
        </is>
      </c>
      <c r="I124" t="inlineStr">
        <is>
          <t>CS0011023</t>
        </is>
      </c>
      <c r="J124" t="inlineStr">
        <is>
          <t>172.25.40.23</t>
        </is>
      </c>
      <c r="K124" t="inlineStr">
        <is>
          <t>A4:5E:60:15:F0:8B</t>
        </is>
      </c>
      <c r="L124" t="inlineStr">
        <is>
          <t>MH-DC-002-RACK-A</t>
        </is>
      </c>
      <c r="M124" t="n">
        <v>5</v>
      </c>
      <c r="N124" t="n">
        <v>1</v>
      </c>
      <c r="O124" t="inlineStr">
        <is>
          <t>Ready</t>
        </is>
      </c>
      <c r="P124" t="inlineStr">
        <is>
          <t>operator</t>
        </is>
      </c>
      <c r="R124" t="inlineStr">
        <is>
          <t>Y</t>
        </is>
      </c>
      <c r="S124" t="inlineStr">
        <is>
          <t>COL-MH-DC-002-2</t>
        </is>
      </c>
      <c r="T124" t="inlineStr">
        <is>
          <t>Y</t>
        </is>
      </c>
    </row>
    <row r="125">
      <c r="A125" t="inlineStr">
        <is>
          <t>MH-DC-002-FW-01</t>
        </is>
      </c>
      <c r="B125" t="inlineStr">
        <is>
          <t>MH-DC-002</t>
        </is>
      </c>
      <c r="C125" t="inlineStr">
        <is>
          <t>MH-DC-002-FW-01</t>
        </is>
      </c>
      <c r="D125" t="inlineStr">
        <is>
          <t>Firewall</t>
        </is>
      </c>
      <c r="E125" t="inlineStr">
        <is>
          <t>core</t>
        </is>
      </c>
      <c r="F125" t="inlineStr">
        <is>
          <t>FORTINET</t>
        </is>
      </c>
      <c r="G125" t="inlineStr">
        <is>
          <t>FortiGate 3700F</t>
        </is>
      </c>
      <c r="H125" t="inlineStr">
        <is>
          <t>FortiOS 7.4.3</t>
        </is>
      </c>
      <c r="I125" t="inlineStr">
        <is>
          <t>FG0011028</t>
        </is>
      </c>
      <c r="J125" t="inlineStr">
        <is>
          <t>172.25.40.24</t>
        </is>
      </c>
      <c r="K125" t="inlineStr">
        <is>
          <t>A4:5E:60:A2:17:62</t>
        </is>
      </c>
      <c r="L125" t="inlineStr">
        <is>
          <t>MH-DC-002-RACK-A</t>
        </is>
      </c>
      <c r="M125" t="n">
        <v>6</v>
      </c>
      <c r="N125" t="n">
        <v>3</v>
      </c>
      <c r="O125" t="inlineStr">
        <is>
          <t>Ready</t>
        </is>
      </c>
      <c r="P125" t="inlineStr">
        <is>
          <t>operator</t>
        </is>
      </c>
      <c r="R125" t="inlineStr">
        <is>
          <t>Y</t>
        </is>
      </c>
      <c r="S125" t="inlineStr">
        <is>
          <t>COL-MH-DC-002-2</t>
        </is>
      </c>
      <c r="T125" t="inlineStr">
        <is>
          <t>N</t>
        </is>
      </c>
    </row>
    <row r="126">
      <c r="A126" t="inlineStr">
        <is>
          <t>MH-DC-002-OLA-01</t>
        </is>
      </c>
      <c r="B126" t="inlineStr">
        <is>
          <t>MH-DC-002</t>
        </is>
      </c>
      <c r="C126" t="inlineStr">
        <is>
          <t>MH-DC-002-OLA-01</t>
        </is>
      </c>
      <c r="D126" t="inlineStr">
        <is>
          <t>DWDM</t>
        </is>
      </c>
      <c r="E126" t="inlineStr">
        <is>
          <t>core</t>
        </is>
      </c>
      <c r="F126" t="inlineStr">
        <is>
          <t>NOKIA</t>
        </is>
      </c>
      <c r="G126" t="inlineStr">
        <is>
          <t>1830 PSS-16II</t>
        </is>
      </c>
      <c r="H126" t="inlineStr">
        <is>
          <t>R23.6</t>
        </is>
      </c>
      <c r="I126" t="inlineStr">
        <is>
          <t>NK0011036</t>
        </is>
      </c>
      <c r="J126" t="inlineStr">
        <is>
          <t>172.25.40.25</t>
        </is>
      </c>
      <c r="K126" t="inlineStr">
        <is>
          <t>A4:5E:60:3D:D8:21</t>
        </is>
      </c>
      <c r="L126" t="inlineStr">
        <is>
          <t>MH-DC-002-RACK-A</t>
        </is>
      </c>
      <c r="M126" t="n">
        <v>9</v>
      </c>
      <c r="N126" t="n">
        <v>6</v>
      </c>
      <c r="O126" t="inlineStr">
        <is>
          <t>Ready</t>
        </is>
      </c>
      <c r="P126" t="inlineStr">
        <is>
          <t>operator</t>
        </is>
      </c>
      <c r="R126" t="inlineStr">
        <is>
          <t>Y</t>
        </is>
      </c>
      <c r="S126" t="inlineStr">
        <is>
          <t>COL-MH-DC-002-1</t>
        </is>
      </c>
      <c r="T126" t="inlineStr">
        <is>
          <t>N</t>
        </is>
      </c>
    </row>
    <row r="127">
      <c r="A127" t="inlineStr">
        <is>
          <t>MH-DC-002-AGG-R01</t>
        </is>
      </c>
      <c r="B127" t="inlineStr">
        <is>
          <t>MH-DC-002</t>
        </is>
      </c>
      <c r="C127" t="inlineStr">
        <is>
          <t>MH-DC-002-AGG-R01</t>
        </is>
      </c>
      <c r="D127" t="inlineStr">
        <is>
          <t>Router</t>
        </is>
      </c>
      <c r="E127" t="inlineStr">
        <is>
          <t>spine</t>
        </is>
      </c>
      <c r="F127" t="inlineStr">
        <is>
          <t>JUNIPER</t>
        </is>
      </c>
      <c r="G127" t="inlineStr">
        <is>
          <t>MX480</t>
        </is>
      </c>
      <c r="H127" t="inlineStr">
        <is>
          <t>22.2R3-S2</t>
        </is>
      </c>
      <c r="I127" t="inlineStr">
        <is>
          <t>JU0011043</t>
        </is>
      </c>
      <c r="J127" t="inlineStr">
        <is>
          <t>172.25.40.26</t>
        </is>
      </c>
      <c r="K127" t="inlineStr">
        <is>
          <t>A4:5E:60:DE:9D:73</t>
        </is>
      </c>
      <c r="L127" t="inlineStr">
        <is>
          <t>MH-DC-002-RACK-A</t>
        </is>
      </c>
      <c r="M127" t="n">
        <v>15</v>
      </c>
      <c r="N127" t="n">
        <v>4</v>
      </c>
      <c r="O127" t="inlineStr">
        <is>
          <t>Ready</t>
        </is>
      </c>
      <c r="P127" t="inlineStr">
        <is>
          <t>operator</t>
        </is>
      </c>
      <c r="R127" t="inlineStr">
        <is>
          <t>Y</t>
        </is>
      </c>
      <c r="S127" t="inlineStr">
        <is>
          <t>COL-MH-DC-002-2</t>
        </is>
      </c>
      <c r="T127" t="inlineStr">
        <is>
          <t>N</t>
        </is>
      </c>
    </row>
    <row r="128">
      <c r="A128" t="inlineStr">
        <is>
          <t>MH-DC-002-AGG-R02</t>
        </is>
      </c>
      <c r="B128" t="inlineStr">
        <is>
          <t>MH-DC-002</t>
        </is>
      </c>
      <c r="C128" t="inlineStr">
        <is>
          <t>MH-DC-002-AGG-R02</t>
        </is>
      </c>
      <c r="D128" t="inlineStr">
        <is>
          <t>Router</t>
        </is>
      </c>
      <c r="E128" t="inlineStr">
        <is>
          <t>spine</t>
        </is>
      </c>
      <c r="F128" t="inlineStr">
        <is>
          <t>JUNIPER</t>
        </is>
      </c>
      <c r="G128" t="inlineStr">
        <is>
          <t>MX480</t>
        </is>
      </c>
      <c r="H128" t="inlineStr">
        <is>
          <t>22.2R3-S2</t>
        </is>
      </c>
      <c r="I128" t="inlineStr">
        <is>
          <t>JU0011052</t>
        </is>
      </c>
      <c r="J128" t="inlineStr">
        <is>
          <t>172.25.40.27</t>
        </is>
      </c>
      <c r="K128" t="inlineStr">
        <is>
          <t>A4:5E:60:4D:66:60</t>
        </is>
      </c>
      <c r="L128" t="inlineStr">
        <is>
          <t>MH-DC-002-RACK-A</t>
        </is>
      </c>
      <c r="M128" t="n">
        <v>19</v>
      </c>
      <c r="N128" t="n">
        <v>4</v>
      </c>
      <c r="O128" t="inlineStr">
        <is>
          <t>Ready</t>
        </is>
      </c>
      <c r="P128" t="inlineStr">
        <is>
          <t>operator</t>
        </is>
      </c>
      <c r="R128" t="inlineStr">
        <is>
          <t>Y</t>
        </is>
      </c>
      <c r="S128" t="inlineStr">
        <is>
          <t>COL-MH-DC-002-1</t>
        </is>
      </c>
      <c r="T128" t="inlineStr">
        <is>
          <t>N</t>
        </is>
      </c>
    </row>
    <row r="129">
      <c r="A129" t="inlineStr">
        <is>
          <t>MH-DC-002-MMR-SW-01</t>
        </is>
      </c>
      <c r="B129" t="inlineStr">
        <is>
          <t>MH-DC-002</t>
        </is>
      </c>
      <c r="C129" t="inlineStr">
        <is>
          <t>MH-DC-002-MMR-SW-01</t>
        </is>
      </c>
      <c r="D129" t="inlineStr">
        <is>
          <t>Switch</t>
        </is>
      </c>
      <c r="E129" t="inlineStr">
        <is>
          <t>leaf</t>
        </is>
      </c>
      <c r="F129" t="inlineStr">
        <is>
          <t>ARISTA</t>
        </is>
      </c>
      <c r="G129" t="inlineStr">
        <is>
          <t>7050QX-32S</t>
        </is>
      </c>
      <c r="H129" t="inlineStr">
        <is>
          <t>EOS 4.28.10M</t>
        </is>
      </c>
      <c r="I129" t="inlineStr">
        <is>
          <t>AR0011061</t>
        </is>
      </c>
      <c r="J129" t="inlineStr">
        <is>
          <t>172.25.40.28</t>
        </is>
      </c>
      <c r="K129" t="inlineStr">
        <is>
          <t>A4:5E:60:57:3A:A2</t>
        </is>
      </c>
      <c r="L129" t="inlineStr">
        <is>
          <t>MH-DC-002-RACK-A</t>
        </is>
      </c>
      <c r="M129" t="n">
        <v>23</v>
      </c>
      <c r="N129" t="n">
        <v>1</v>
      </c>
      <c r="O129" t="inlineStr">
        <is>
          <t>Ready</t>
        </is>
      </c>
      <c r="P129" t="inlineStr">
        <is>
          <t>operator</t>
        </is>
      </c>
      <c r="R129" t="inlineStr">
        <is>
          <t>Y</t>
        </is>
      </c>
      <c r="S129" t="inlineStr">
        <is>
          <t>COL-MH-DC-002-2</t>
        </is>
      </c>
      <c r="T129" t="inlineStr">
        <is>
          <t>N</t>
        </is>
      </c>
    </row>
    <row r="130">
      <c r="A130" t="inlineStr">
        <is>
          <t>MH-DC-002-MMR-SW-02</t>
        </is>
      </c>
      <c r="B130" t="inlineStr">
        <is>
          <t>MH-DC-002</t>
        </is>
      </c>
      <c r="C130" t="inlineStr">
        <is>
          <t>MH-DC-002-MMR-SW-02</t>
        </is>
      </c>
      <c r="D130" t="inlineStr">
        <is>
          <t>Switch</t>
        </is>
      </c>
      <c r="E130" t="inlineStr">
        <is>
          <t>leaf</t>
        </is>
      </c>
      <c r="F130" t="inlineStr">
        <is>
          <t>JUNIPER</t>
        </is>
      </c>
      <c r="G130" t="inlineStr">
        <is>
          <t>QFX5120-48Y</t>
        </is>
      </c>
      <c r="H130" t="inlineStr">
        <is>
          <t>22.2R3</t>
        </is>
      </c>
      <c r="I130" t="inlineStr">
        <is>
          <t>JU0011066</t>
        </is>
      </c>
      <c r="J130" t="inlineStr">
        <is>
          <t>172.25.40.29</t>
        </is>
      </c>
      <c r="K130" t="inlineStr">
        <is>
          <t>A4:5E:60:6E:DA:D1</t>
        </is>
      </c>
      <c r="L130" t="inlineStr">
        <is>
          <t>MH-DC-002-RACK-A</t>
        </is>
      </c>
      <c r="M130" t="n">
        <v>24</v>
      </c>
      <c r="N130" t="n">
        <v>1</v>
      </c>
      <c r="O130" t="inlineStr">
        <is>
          <t>Ready</t>
        </is>
      </c>
      <c r="P130" t="inlineStr">
        <is>
          <t>operator</t>
        </is>
      </c>
      <c r="R130" t="inlineStr">
        <is>
          <t>Y</t>
        </is>
      </c>
      <c r="S130" t="inlineStr">
        <is>
          <t>COL-MH-DC-002-1</t>
        </is>
      </c>
      <c r="T130" t="inlineStr">
        <is>
          <t>N</t>
        </is>
      </c>
    </row>
    <row r="131">
      <c r="A131" t="inlineStr">
        <is>
          <t>MH-DC-002-MMR-SW-03</t>
        </is>
      </c>
      <c r="B131" t="inlineStr">
        <is>
          <t>MH-DC-002</t>
        </is>
      </c>
      <c r="C131" t="inlineStr">
        <is>
          <t>MH-DC-002-MMR-SW-03</t>
        </is>
      </c>
      <c r="D131" t="inlineStr">
        <is>
          <t>Switch</t>
        </is>
      </c>
      <c r="E131" t="inlineStr">
        <is>
          <t>leaf</t>
        </is>
      </c>
      <c r="F131" t="inlineStr">
        <is>
          <t>CISCO</t>
        </is>
      </c>
      <c r="G131" t="inlineStr">
        <is>
          <t>Nexus 93180YC</t>
        </is>
      </c>
      <c r="H131" t="inlineStr">
        <is>
          <t>NX-OS 10.3(4a)</t>
        </is>
      </c>
      <c r="I131" t="inlineStr">
        <is>
          <t>CS0011070</t>
        </is>
      </c>
      <c r="J131" t="inlineStr">
        <is>
          <t>172.25.40.30</t>
        </is>
      </c>
      <c r="K131" t="inlineStr">
        <is>
          <t>A4:5E:60:75:3F:6F</t>
        </is>
      </c>
      <c r="L131" t="inlineStr">
        <is>
          <t>MH-DC-002-RACK-A</t>
        </is>
      </c>
      <c r="M131" t="n">
        <v>25</v>
      </c>
      <c r="N131" t="n">
        <v>1</v>
      </c>
      <c r="O131" t="inlineStr">
        <is>
          <t>Ready</t>
        </is>
      </c>
      <c r="P131" t="inlineStr">
        <is>
          <t>operator</t>
        </is>
      </c>
      <c r="R131" t="inlineStr">
        <is>
          <t>Y</t>
        </is>
      </c>
      <c r="S131" t="inlineStr">
        <is>
          <t>COL-MH-DC-002-2</t>
        </is>
      </c>
      <c r="T131" t="inlineStr">
        <is>
          <t>N</t>
        </is>
      </c>
    </row>
    <row r="132">
      <c r="A132" t="inlineStr">
        <is>
          <t>MH-DC-002-MMR-SW-04</t>
        </is>
      </c>
      <c r="B132" t="inlineStr">
        <is>
          <t>MH-DC-002</t>
        </is>
      </c>
      <c r="C132" t="inlineStr">
        <is>
          <t>MH-DC-002-MMR-SW-04</t>
        </is>
      </c>
      <c r="D132" t="inlineStr">
        <is>
          <t>Switch</t>
        </is>
      </c>
      <c r="E132" t="inlineStr">
        <is>
          <t>leaf</t>
        </is>
      </c>
      <c r="F132" t="inlineStr">
        <is>
          <t>CISCO</t>
        </is>
      </c>
      <c r="G132" t="inlineStr">
        <is>
          <t>Nexus 93180YC</t>
        </is>
      </c>
      <c r="H132" t="inlineStr">
        <is>
          <t>NX-OS 10.3(4a)</t>
        </is>
      </c>
      <c r="I132" t="inlineStr">
        <is>
          <t>CS0011079</t>
        </is>
      </c>
      <c r="J132" t="inlineStr">
        <is>
          <t>172.25.40.31</t>
        </is>
      </c>
      <c r="K132" t="inlineStr">
        <is>
          <t>A4:5E:60:13:52:AA</t>
        </is>
      </c>
      <c r="L132" t="inlineStr">
        <is>
          <t>MH-DC-002-RACK-A</t>
        </is>
      </c>
      <c r="M132" t="n">
        <v>26</v>
      </c>
      <c r="N132" t="n">
        <v>1</v>
      </c>
      <c r="O132" t="inlineStr">
        <is>
          <t>Ready</t>
        </is>
      </c>
      <c r="P132" t="inlineStr">
        <is>
          <t>operator</t>
        </is>
      </c>
      <c r="R132" t="inlineStr">
        <is>
          <t>Y</t>
        </is>
      </c>
      <c r="S132" t="inlineStr">
        <is>
          <t>COL-MH-DC-002-1</t>
        </is>
      </c>
      <c r="T132" t="inlineStr">
        <is>
          <t>N</t>
        </is>
      </c>
    </row>
    <row r="133">
      <c r="A133" t="inlineStr">
        <is>
          <t>MH-DC-002-TOR-001</t>
        </is>
      </c>
      <c r="B133" t="inlineStr">
        <is>
          <t>MH-DC-002</t>
        </is>
      </c>
      <c r="C133" t="inlineStr">
        <is>
          <t>MH-DC-002-TOR-001</t>
        </is>
      </c>
      <c r="D133" t="inlineStr">
        <is>
          <t>Switch</t>
        </is>
      </c>
      <c r="E133" t="inlineStr">
        <is>
          <t>access</t>
        </is>
      </c>
      <c r="F133" t="inlineStr">
        <is>
          <t>JUNIPER</t>
        </is>
      </c>
      <c r="G133" t="inlineStr">
        <is>
          <t>QFX5120-48Y</t>
        </is>
      </c>
      <c r="H133" t="inlineStr">
        <is>
          <t>22.2R3</t>
        </is>
      </c>
      <c r="I133" t="inlineStr">
        <is>
          <t>JU0011085</t>
        </is>
      </c>
      <c r="J133" t="inlineStr">
        <is>
          <t>172.25.40.32</t>
        </is>
      </c>
      <c r="K133" t="inlineStr">
        <is>
          <t>A4:5E:60:86:82:4B</t>
        </is>
      </c>
      <c r="L133" t="inlineStr">
        <is>
          <t>MH-DC-002-RACK-A</t>
        </is>
      </c>
      <c r="M133" t="n">
        <v>27</v>
      </c>
      <c r="N133" t="n">
        <v>1</v>
      </c>
      <c r="O133" t="inlineStr">
        <is>
          <t>Ready</t>
        </is>
      </c>
      <c r="P133" t="inlineStr">
        <is>
          <t>operator</t>
        </is>
      </c>
      <c r="R133" t="inlineStr">
        <is>
          <t>Y</t>
        </is>
      </c>
      <c r="S133" t="inlineStr">
        <is>
          <t>COL-MH-DC-002-2</t>
        </is>
      </c>
      <c r="T133" t="inlineStr">
        <is>
          <t>N</t>
        </is>
      </c>
    </row>
    <row r="134">
      <c r="A134" t="inlineStr">
        <is>
          <t>MH-DC-002-TOR-002</t>
        </is>
      </c>
      <c r="B134" t="inlineStr">
        <is>
          <t>MH-DC-002</t>
        </is>
      </c>
      <c r="C134" t="inlineStr">
        <is>
          <t>MH-DC-002-TOR-002</t>
        </is>
      </c>
      <c r="D134" t="inlineStr">
        <is>
          <t>Switch</t>
        </is>
      </c>
      <c r="E134" t="inlineStr">
        <is>
          <t>access</t>
        </is>
      </c>
      <c r="F134" t="inlineStr">
        <is>
          <t>JUNIPER</t>
        </is>
      </c>
      <c r="G134" t="inlineStr">
        <is>
          <t>QFX5120-48Y</t>
        </is>
      </c>
      <c r="H134" t="inlineStr">
        <is>
          <t>22.2R3</t>
        </is>
      </c>
      <c r="I134" t="inlineStr">
        <is>
          <t>JU0011093</t>
        </is>
      </c>
      <c r="J134" t="inlineStr">
        <is>
          <t>172.25.40.33</t>
        </is>
      </c>
      <c r="K134" t="inlineStr">
        <is>
          <t>A4:5E:60:CC:10:71</t>
        </is>
      </c>
      <c r="L134" t="inlineStr">
        <is>
          <t>MH-DC-002-RACK-A</t>
        </is>
      </c>
      <c r="M134" t="n">
        <v>28</v>
      </c>
      <c r="N134" t="n">
        <v>1</v>
      </c>
      <c r="O134" t="inlineStr">
        <is>
          <t>Ready</t>
        </is>
      </c>
      <c r="P134" t="inlineStr">
        <is>
          <t>operator</t>
        </is>
      </c>
      <c r="R134" t="inlineStr">
        <is>
          <t>Y</t>
        </is>
      </c>
      <c r="S134" t="inlineStr">
        <is>
          <t>COL-MH-DC-002-1</t>
        </is>
      </c>
      <c r="T134" t="inlineStr">
        <is>
          <t>N</t>
        </is>
      </c>
    </row>
    <row r="135">
      <c r="A135" t="inlineStr">
        <is>
          <t>MH-DC-002-TOR-003</t>
        </is>
      </c>
      <c r="B135" t="inlineStr">
        <is>
          <t>MH-DC-002</t>
        </is>
      </c>
      <c r="C135" t="inlineStr">
        <is>
          <t>MH-DC-002-TOR-003</t>
        </is>
      </c>
      <c r="D135" t="inlineStr">
        <is>
          <t>Switch</t>
        </is>
      </c>
      <c r="E135" t="inlineStr">
        <is>
          <t>access</t>
        </is>
      </c>
      <c r="F135" t="inlineStr">
        <is>
          <t>CISCO</t>
        </is>
      </c>
      <c r="G135" t="inlineStr">
        <is>
          <t>Nexus 93180YC</t>
        </is>
      </c>
      <c r="H135" t="inlineStr">
        <is>
          <t>NX-OS 10.3(4a)</t>
        </is>
      </c>
      <c r="I135" t="inlineStr">
        <is>
          <t>CS0011101</t>
        </is>
      </c>
      <c r="J135" t="inlineStr">
        <is>
          <t>172.25.40.34</t>
        </is>
      </c>
      <c r="K135" t="inlineStr">
        <is>
          <t>A4:5E:60:0A:23:80</t>
        </is>
      </c>
      <c r="L135" t="inlineStr">
        <is>
          <t>MH-DC-002-RACK-A</t>
        </is>
      </c>
      <c r="M135" t="n">
        <v>29</v>
      </c>
      <c r="N135" t="n">
        <v>1</v>
      </c>
      <c r="O135" t="inlineStr">
        <is>
          <t>Ready</t>
        </is>
      </c>
      <c r="P135" t="inlineStr">
        <is>
          <t>operator</t>
        </is>
      </c>
      <c r="R135" t="inlineStr">
        <is>
          <t>Y</t>
        </is>
      </c>
      <c r="S135" t="inlineStr">
        <is>
          <t>COL-MH-DC-002-2</t>
        </is>
      </c>
      <c r="T135" t="inlineStr">
        <is>
          <t>N</t>
        </is>
      </c>
    </row>
    <row r="136">
      <c r="A136" t="inlineStr">
        <is>
          <t>MH-DC-002-TN-001</t>
        </is>
      </c>
      <c r="B136" t="inlineStr">
        <is>
          <t>MH-DC-002</t>
        </is>
      </c>
      <c r="C136" t="inlineStr">
        <is>
          <t>MH-DC-002-TN-001</t>
        </is>
      </c>
      <c r="D136" t="inlineStr">
        <is>
          <t>Tenant gear</t>
        </is>
      </c>
      <c r="E136" t="inlineStr">
        <is>
          <t>access</t>
        </is>
      </c>
      <c r="F136" t="inlineStr">
        <is>
          <t>Tenant-owned</t>
        </is>
      </c>
      <c r="G136" t="inlineStr">
        <is>
          <t>Storage array</t>
        </is>
      </c>
      <c r="H136" t="inlineStr">
        <is>
          <t>—</t>
        </is>
      </c>
      <c r="L136" t="inlineStr">
        <is>
          <t>MH-DC-002-RACK-B</t>
        </is>
      </c>
      <c r="M136" t="n">
        <v>2</v>
      </c>
      <c r="N136" t="n">
        <v>10</v>
      </c>
      <c r="O136" t="inlineStr">
        <is>
          <t>Ready</t>
        </is>
      </c>
      <c r="P136" t="inlineStr">
        <is>
          <t>tenant</t>
        </is>
      </c>
      <c r="Q136" t="inlineStr">
        <is>
          <t>CUST-7349</t>
        </is>
      </c>
      <c r="R136" t="inlineStr">
        <is>
          <t>N</t>
        </is>
      </c>
      <c r="T136" t="inlineStr">
        <is>
          <t>N</t>
        </is>
      </c>
    </row>
    <row r="137">
      <c r="A137" t="inlineStr">
        <is>
          <t>MH-DC-002-TN-002</t>
        </is>
      </c>
      <c r="B137" t="inlineStr">
        <is>
          <t>MH-DC-002</t>
        </is>
      </c>
      <c r="C137" t="inlineStr">
        <is>
          <t>MH-DC-002-TN-002</t>
        </is>
      </c>
      <c r="D137" t="inlineStr">
        <is>
          <t>Tenant gear</t>
        </is>
      </c>
      <c r="E137" t="inlineStr">
        <is>
          <t>access</t>
        </is>
      </c>
      <c r="F137" t="inlineStr">
        <is>
          <t>Tenant-owned</t>
        </is>
      </c>
      <c r="G137" t="inlineStr">
        <is>
          <t>Network stack</t>
        </is>
      </c>
      <c r="H137" t="inlineStr">
        <is>
          <t>—</t>
        </is>
      </c>
      <c r="L137" t="inlineStr">
        <is>
          <t>MH-DC-002-RACK-B</t>
        </is>
      </c>
      <c r="M137" t="n">
        <v>12</v>
      </c>
      <c r="N137" t="n">
        <v>2</v>
      </c>
      <c r="O137" t="inlineStr">
        <is>
          <t>Ready</t>
        </is>
      </c>
      <c r="P137" t="inlineStr">
        <is>
          <t>tenant</t>
        </is>
      </c>
      <c r="Q137" t="inlineStr">
        <is>
          <t>CUST-7349</t>
        </is>
      </c>
      <c r="R137" t="inlineStr">
        <is>
          <t>N</t>
        </is>
      </c>
      <c r="T137" t="inlineStr">
        <is>
          <t>N</t>
        </is>
      </c>
    </row>
    <row r="138">
      <c r="A138" t="inlineStr">
        <is>
          <t>MH-DC-002-TN-003</t>
        </is>
      </c>
      <c r="B138" t="inlineStr">
        <is>
          <t>MH-DC-002</t>
        </is>
      </c>
      <c r="C138" t="inlineStr">
        <is>
          <t>MH-DC-002-TN-003</t>
        </is>
      </c>
      <c r="D138" t="inlineStr">
        <is>
          <t>Tenant gear</t>
        </is>
      </c>
      <c r="E138" t="inlineStr">
        <is>
          <t>access</t>
        </is>
      </c>
      <c r="F138" t="inlineStr">
        <is>
          <t>Tenant-owned</t>
        </is>
      </c>
      <c r="G138" t="inlineStr">
        <is>
          <t>Rack servers</t>
        </is>
      </c>
      <c r="H138" t="inlineStr">
        <is>
          <t>—</t>
        </is>
      </c>
      <c r="L138" t="inlineStr">
        <is>
          <t>MH-DC-002-RACK-B</t>
        </is>
      </c>
      <c r="M138" t="n">
        <v>14</v>
      </c>
      <c r="N138" t="n">
        <v>4</v>
      </c>
      <c r="O138" t="inlineStr">
        <is>
          <t>Ready</t>
        </is>
      </c>
      <c r="P138" t="inlineStr">
        <is>
          <t>tenant</t>
        </is>
      </c>
      <c r="Q138" t="inlineStr">
        <is>
          <t>CUST-7349</t>
        </is>
      </c>
      <c r="R138" t="inlineStr">
        <is>
          <t>N</t>
        </is>
      </c>
      <c r="T138" t="inlineStr">
        <is>
          <t>N</t>
        </is>
      </c>
    </row>
    <row r="139">
      <c r="A139" t="inlineStr">
        <is>
          <t>MH-DC-002-TN-004</t>
        </is>
      </c>
      <c r="B139" t="inlineStr">
        <is>
          <t>MH-DC-002</t>
        </is>
      </c>
      <c r="C139" t="inlineStr">
        <is>
          <t>MH-DC-002-TN-004</t>
        </is>
      </c>
      <c r="D139" t="inlineStr">
        <is>
          <t>Tenant gear</t>
        </is>
      </c>
      <c r="E139" t="inlineStr">
        <is>
          <t>access</t>
        </is>
      </c>
      <c r="F139" t="inlineStr">
        <is>
          <t>Tenant-owned</t>
        </is>
      </c>
      <c r="G139" t="inlineStr">
        <is>
          <t>Storage array</t>
        </is>
      </c>
      <c r="H139" t="inlineStr">
        <is>
          <t>—</t>
        </is>
      </c>
      <c r="L139" t="inlineStr">
        <is>
          <t>MH-DC-002-RACK-B</t>
        </is>
      </c>
      <c r="M139" t="n">
        <v>18</v>
      </c>
      <c r="N139" t="n">
        <v>6</v>
      </c>
      <c r="O139" t="inlineStr">
        <is>
          <t>Ready</t>
        </is>
      </c>
      <c r="P139" t="inlineStr">
        <is>
          <t>tenant</t>
        </is>
      </c>
      <c r="Q139" t="inlineStr">
        <is>
          <t>CUST-7349</t>
        </is>
      </c>
      <c r="R139" t="inlineStr">
        <is>
          <t>N</t>
        </is>
      </c>
      <c r="T139" t="inlineStr">
        <is>
          <t>N</t>
        </is>
      </c>
    </row>
    <row r="140">
      <c r="A140" t="inlineStr">
        <is>
          <t>MH-DC-002-TN-005</t>
        </is>
      </c>
      <c r="B140" t="inlineStr">
        <is>
          <t>MH-DC-002</t>
        </is>
      </c>
      <c r="C140" t="inlineStr">
        <is>
          <t>MH-DC-002-TN-005</t>
        </is>
      </c>
      <c r="D140" t="inlineStr">
        <is>
          <t>Tenant gear</t>
        </is>
      </c>
      <c r="E140" t="inlineStr">
        <is>
          <t>access</t>
        </is>
      </c>
      <c r="F140" t="inlineStr">
        <is>
          <t>Tenant-owned</t>
        </is>
      </c>
      <c r="G140" t="inlineStr">
        <is>
          <t>Blade chassis</t>
        </is>
      </c>
      <c r="H140" t="inlineStr">
        <is>
          <t>—</t>
        </is>
      </c>
      <c r="L140" t="inlineStr">
        <is>
          <t>MH-DC-002-RACK-B</t>
        </is>
      </c>
      <c r="M140" t="n">
        <v>24</v>
      </c>
      <c r="N140" t="n">
        <v>6</v>
      </c>
      <c r="O140" t="inlineStr">
        <is>
          <t>Ready</t>
        </is>
      </c>
      <c r="P140" t="inlineStr">
        <is>
          <t>tenant</t>
        </is>
      </c>
      <c r="Q140" t="inlineStr">
        <is>
          <t>CUST-7349</t>
        </is>
      </c>
      <c r="R140" t="inlineStr">
        <is>
          <t>N</t>
        </is>
      </c>
      <c r="T140" t="inlineStr">
        <is>
          <t>N</t>
        </is>
      </c>
    </row>
    <row r="141">
      <c r="A141" t="inlineStr">
        <is>
          <t>MH-DC-002-TN-006</t>
        </is>
      </c>
      <c r="B141" t="inlineStr">
        <is>
          <t>MH-DC-002</t>
        </is>
      </c>
      <c r="C141" t="inlineStr">
        <is>
          <t>MH-DC-002-TN-006</t>
        </is>
      </c>
      <c r="D141" t="inlineStr">
        <is>
          <t>Tenant gear</t>
        </is>
      </c>
      <c r="E141" t="inlineStr">
        <is>
          <t>access</t>
        </is>
      </c>
      <c r="F141" t="inlineStr">
        <is>
          <t>Tenant-owned</t>
        </is>
      </c>
      <c r="G141" t="inlineStr">
        <is>
          <t>Blade chassis</t>
        </is>
      </c>
      <c r="H141" t="inlineStr">
        <is>
          <t>—</t>
        </is>
      </c>
      <c r="L141" t="inlineStr">
        <is>
          <t>MH-DC-002-RACK-B</t>
        </is>
      </c>
      <c r="M141" t="n">
        <v>30</v>
      </c>
      <c r="N141" t="n">
        <v>2</v>
      </c>
      <c r="O141" t="inlineStr">
        <is>
          <t>Ready</t>
        </is>
      </c>
      <c r="P141" t="inlineStr">
        <is>
          <t>tenant</t>
        </is>
      </c>
      <c r="Q141" t="inlineStr">
        <is>
          <t>CUST-7349</t>
        </is>
      </c>
      <c r="R141" t="inlineStr">
        <is>
          <t>N</t>
        </is>
      </c>
      <c r="T141" t="inlineStr">
        <is>
          <t>N</t>
        </is>
      </c>
    </row>
    <row r="142">
      <c r="A142" t="inlineStr">
        <is>
          <t>MH-DC-002-TN-007</t>
        </is>
      </c>
      <c r="B142" t="inlineStr">
        <is>
          <t>MH-DC-002</t>
        </is>
      </c>
      <c r="C142" t="inlineStr">
        <is>
          <t>MH-DC-002-TN-007</t>
        </is>
      </c>
      <c r="D142" t="inlineStr">
        <is>
          <t>Tenant gear</t>
        </is>
      </c>
      <c r="E142" t="inlineStr">
        <is>
          <t>access</t>
        </is>
      </c>
      <c r="F142" t="inlineStr">
        <is>
          <t>Tenant-owned</t>
        </is>
      </c>
      <c r="G142" t="inlineStr">
        <is>
          <t>Rack servers</t>
        </is>
      </c>
      <c r="H142" t="inlineStr">
        <is>
          <t>—</t>
        </is>
      </c>
      <c r="L142" t="inlineStr">
        <is>
          <t>MH-DC-002-RACK-C</t>
        </is>
      </c>
      <c r="M142" t="n">
        <v>2</v>
      </c>
      <c r="N142" t="n">
        <v>4</v>
      </c>
      <c r="O142" t="inlineStr">
        <is>
          <t>Ready</t>
        </is>
      </c>
      <c r="P142" t="inlineStr">
        <is>
          <t>tenant</t>
        </is>
      </c>
      <c r="Q142" t="inlineStr">
        <is>
          <t>CUST-7349</t>
        </is>
      </c>
      <c r="R142" t="inlineStr">
        <is>
          <t>N</t>
        </is>
      </c>
      <c r="T142" t="inlineStr">
        <is>
          <t>N</t>
        </is>
      </c>
    </row>
    <row r="143">
      <c r="A143" t="inlineStr">
        <is>
          <t>MH-DC-002-TN-008</t>
        </is>
      </c>
      <c r="B143" t="inlineStr">
        <is>
          <t>MH-DC-002</t>
        </is>
      </c>
      <c r="C143" t="inlineStr">
        <is>
          <t>MH-DC-002-TN-008</t>
        </is>
      </c>
      <c r="D143" t="inlineStr">
        <is>
          <t>Tenant gear</t>
        </is>
      </c>
      <c r="E143" t="inlineStr">
        <is>
          <t>access</t>
        </is>
      </c>
      <c r="F143" t="inlineStr">
        <is>
          <t>Tenant-owned</t>
        </is>
      </c>
      <c r="G143" t="inlineStr">
        <is>
          <t>HPC nodes</t>
        </is>
      </c>
      <c r="H143" t="inlineStr">
        <is>
          <t>—</t>
        </is>
      </c>
      <c r="L143" t="inlineStr">
        <is>
          <t>MH-DC-002-RACK-C</t>
        </is>
      </c>
      <c r="M143" t="n">
        <v>6</v>
      </c>
      <c r="N143" t="n">
        <v>4</v>
      </c>
      <c r="O143" t="inlineStr">
        <is>
          <t>Ready</t>
        </is>
      </c>
      <c r="P143" t="inlineStr">
        <is>
          <t>tenant</t>
        </is>
      </c>
      <c r="Q143" t="inlineStr">
        <is>
          <t>CUST-7349</t>
        </is>
      </c>
      <c r="R143" t="inlineStr">
        <is>
          <t>N</t>
        </is>
      </c>
      <c r="T143" t="inlineStr">
        <is>
          <t>N</t>
        </is>
      </c>
    </row>
    <row r="144">
      <c r="A144" t="inlineStr">
        <is>
          <t>MH-DC-002-TN-009</t>
        </is>
      </c>
      <c r="B144" t="inlineStr">
        <is>
          <t>MH-DC-002</t>
        </is>
      </c>
      <c r="C144" t="inlineStr">
        <is>
          <t>MH-DC-002-TN-009</t>
        </is>
      </c>
      <c r="D144" t="inlineStr">
        <is>
          <t>Tenant gear</t>
        </is>
      </c>
      <c r="E144" t="inlineStr">
        <is>
          <t>access</t>
        </is>
      </c>
      <c r="F144" t="inlineStr">
        <is>
          <t>Tenant-owned</t>
        </is>
      </c>
      <c r="G144" t="inlineStr">
        <is>
          <t>Storage array</t>
        </is>
      </c>
      <c r="H144" t="inlineStr">
        <is>
          <t>—</t>
        </is>
      </c>
      <c r="L144" t="inlineStr">
        <is>
          <t>MH-DC-002-RACK-C</t>
        </is>
      </c>
      <c r="M144" t="n">
        <v>10</v>
      </c>
      <c r="N144" t="n">
        <v>6</v>
      </c>
      <c r="O144" t="inlineStr">
        <is>
          <t>Ready</t>
        </is>
      </c>
      <c r="P144" t="inlineStr">
        <is>
          <t>tenant</t>
        </is>
      </c>
      <c r="Q144" t="inlineStr">
        <is>
          <t>CUST-7349</t>
        </is>
      </c>
      <c r="R144" t="inlineStr">
        <is>
          <t>N</t>
        </is>
      </c>
      <c r="T144" t="inlineStr">
        <is>
          <t>N</t>
        </is>
      </c>
    </row>
    <row r="145">
      <c r="A145" t="inlineStr">
        <is>
          <t>MH-DC-002-TN-010</t>
        </is>
      </c>
      <c r="B145" t="inlineStr">
        <is>
          <t>MH-DC-002</t>
        </is>
      </c>
      <c r="C145" t="inlineStr">
        <is>
          <t>MH-DC-002-TN-010</t>
        </is>
      </c>
      <c r="D145" t="inlineStr">
        <is>
          <t>Tenant gear</t>
        </is>
      </c>
      <c r="E145" t="inlineStr">
        <is>
          <t>access</t>
        </is>
      </c>
      <c r="F145" t="inlineStr">
        <is>
          <t>Tenant-owned</t>
        </is>
      </c>
      <c r="G145" t="inlineStr">
        <is>
          <t>Blade chassis</t>
        </is>
      </c>
      <c r="H145" t="inlineStr">
        <is>
          <t>—</t>
        </is>
      </c>
      <c r="L145" t="inlineStr">
        <is>
          <t>MH-DC-002-RACK-C</t>
        </is>
      </c>
      <c r="M145" t="n">
        <v>16</v>
      </c>
      <c r="N145" t="n">
        <v>6</v>
      </c>
      <c r="O145" t="inlineStr">
        <is>
          <t>Ready</t>
        </is>
      </c>
      <c r="P145" t="inlineStr">
        <is>
          <t>tenant</t>
        </is>
      </c>
      <c r="Q145" t="inlineStr">
        <is>
          <t>CUST-7349</t>
        </is>
      </c>
      <c r="R145" t="inlineStr">
        <is>
          <t>N</t>
        </is>
      </c>
      <c r="T145" t="inlineStr">
        <is>
          <t>N</t>
        </is>
      </c>
    </row>
    <row r="146">
      <c r="A146" t="inlineStr">
        <is>
          <t>MH-DC-002-TN-011</t>
        </is>
      </c>
      <c r="B146" t="inlineStr">
        <is>
          <t>MH-DC-002</t>
        </is>
      </c>
      <c r="C146" t="inlineStr">
        <is>
          <t>MH-DC-002-TN-011</t>
        </is>
      </c>
      <c r="D146" t="inlineStr">
        <is>
          <t>Tenant gear</t>
        </is>
      </c>
      <c r="E146" t="inlineStr">
        <is>
          <t>access</t>
        </is>
      </c>
      <c r="F146" t="inlineStr">
        <is>
          <t>Tenant-owned</t>
        </is>
      </c>
      <c r="G146" t="inlineStr">
        <is>
          <t>Network stack</t>
        </is>
      </c>
      <c r="H146" t="inlineStr">
        <is>
          <t>—</t>
        </is>
      </c>
      <c r="L146" t="inlineStr">
        <is>
          <t>MH-DC-002-RACK-C</t>
        </is>
      </c>
      <c r="M146" t="n">
        <v>22</v>
      </c>
      <c r="N146" t="n">
        <v>10</v>
      </c>
      <c r="O146" t="inlineStr">
        <is>
          <t>Ready</t>
        </is>
      </c>
      <c r="P146" t="inlineStr">
        <is>
          <t>tenant</t>
        </is>
      </c>
      <c r="Q146" t="inlineStr">
        <is>
          <t>CUST-7349</t>
        </is>
      </c>
      <c r="R146" t="inlineStr">
        <is>
          <t>N</t>
        </is>
      </c>
      <c r="T146" t="inlineStr">
        <is>
          <t>N</t>
        </is>
      </c>
    </row>
    <row r="147">
      <c r="A147" t="inlineStr">
        <is>
          <t>MH-DC-002-TN-012</t>
        </is>
      </c>
      <c r="B147" t="inlineStr">
        <is>
          <t>MH-DC-002</t>
        </is>
      </c>
      <c r="C147" t="inlineStr">
        <is>
          <t>MH-DC-002-TN-012</t>
        </is>
      </c>
      <c r="D147" t="inlineStr">
        <is>
          <t>Tenant gear</t>
        </is>
      </c>
      <c r="E147" t="inlineStr">
        <is>
          <t>access</t>
        </is>
      </c>
      <c r="F147" t="inlineStr">
        <is>
          <t>Tenant-owned</t>
        </is>
      </c>
      <c r="G147" t="inlineStr">
        <is>
          <t>Mixed equipment</t>
        </is>
      </c>
      <c r="H147" t="inlineStr">
        <is>
          <t>—</t>
        </is>
      </c>
      <c r="L147" t="inlineStr">
        <is>
          <t>MH-DC-002-RACK-D</t>
        </is>
      </c>
      <c r="M147" t="n">
        <v>2</v>
      </c>
      <c r="N147" t="n">
        <v>8</v>
      </c>
      <c r="O147" t="inlineStr">
        <is>
          <t>Ready</t>
        </is>
      </c>
      <c r="P147" t="inlineStr">
        <is>
          <t>tenant</t>
        </is>
      </c>
      <c r="Q147" t="inlineStr">
        <is>
          <t>CUST-8220</t>
        </is>
      </c>
      <c r="R147" t="inlineStr">
        <is>
          <t>N</t>
        </is>
      </c>
      <c r="T147" t="inlineStr">
        <is>
          <t>N</t>
        </is>
      </c>
    </row>
    <row r="148">
      <c r="A148" t="inlineStr">
        <is>
          <t>MH-DC-002-TN-013</t>
        </is>
      </c>
      <c r="B148" t="inlineStr">
        <is>
          <t>MH-DC-002</t>
        </is>
      </c>
      <c r="C148" t="inlineStr">
        <is>
          <t>MH-DC-002-TN-013</t>
        </is>
      </c>
      <c r="D148" t="inlineStr">
        <is>
          <t>Tenant gear</t>
        </is>
      </c>
      <c r="E148" t="inlineStr">
        <is>
          <t>access</t>
        </is>
      </c>
      <c r="F148" t="inlineStr">
        <is>
          <t>Tenant-owned</t>
        </is>
      </c>
      <c r="G148" t="inlineStr">
        <is>
          <t>Mixed equipment</t>
        </is>
      </c>
      <c r="H148" t="inlineStr">
        <is>
          <t>—</t>
        </is>
      </c>
      <c r="L148" t="inlineStr">
        <is>
          <t>MH-DC-002-RACK-D</t>
        </is>
      </c>
      <c r="M148" t="n">
        <v>10</v>
      </c>
      <c r="N148" t="n">
        <v>10</v>
      </c>
      <c r="O148" t="inlineStr">
        <is>
          <t>Ready</t>
        </is>
      </c>
      <c r="P148" t="inlineStr">
        <is>
          <t>tenant</t>
        </is>
      </c>
      <c r="Q148" t="inlineStr">
        <is>
          <t>CUST-8220</t>
        </is>
      </c>
      <c r="R148" t="inlineStr">
        <is>
          <t>N</t>
        </is>
      </c>
      <c r="T148" t="inlineStr">
        <is>
          <t>N</t>
        </is>
      </c>
    </row>
    <row r="149">
      <c r="A149" t="inlineStr">
        <is>
          <t>MH-DC-002-TN-014</t>
        </is>
      </c>
      <c r="B149" t="inlineStr">
        <is>
          <t>MH-DC-002</t>
        </is>
      </c>
      <c r="C149" t="inlineStr">
        <is>
          <t>MH-DC-002-TN-014</t>
        </is>
      </c>
      <c r="D149" t="inlineStr">
        <is>
          <t>Tenant gear</t>
        </is>
      </c>
      <c r="E149" t="inlineStr">
        <is>
          <t>access</t>
        </is>
      </c>
      <c r="F149" t="inlineStr">
        <is>
          <t>Tenant-owned</t>
        </is>
      </c>
      <c r="G149" t="inlineStr">
        <is>
          <t>Mixed equipment</t>
        </is>
      </c>
      <c r="H149" t="inlineStr">
        <is>
          <t>—</t>
        </is>
      </c>
      <c r="L149" t="inlineStr">
        <is>
          <t>MH-DC-002-RACK-D</t>
        </is>
      </c>
      <c r="M149" t="n">
        <v>20</v>
      </c>
      <c r="N149" t="n">
        <v>8</v>
      </c>
      <c r="O149" t="inlineStr">
        <is>
          <t>Ready</t>
        </is>
      </c>
      <c r="P149" t="inlineStr">
        <is>
          <t>tenant</t>
        </is>
      </c>
      <c r="Q149" t="inlineStr">
        <is>
          <t>CUST-8220</t>
        </is>
      </c>
      <c r="R149" t="inlineStr">
        <is>
          <t>N</t>
        </is>
      </c>
      <c r="T149" t="inlineStr">
        <is>
          <t>N</t>
        </is>
      </c>
    </row>
    <row r="150">
      <c r="A150" t="inlineStr">
        <is>
          <t>MH-DC-002-TN-015</t>
        </is>
      </c>
      <c r="B150" t="inlineStr">
        <is>
          <t>MH-DC-002</t>
        </is>
      </c>
      <c r="C150" t="inlineStr">
        <is>
          <t>MH-DC-002-TN-015</t>
        </is>
      </c>
      <c r="D150" t="inlineStr">
        <is>
          <t>Tenant gear</t>
        </is>
      </c>
      <c r="E150" t="inlineStr">
        <is>
          <t>access</t>
        </is>
      </c>
      <c r="F150" t="inlineStr">
        <is>
          <t>Tenant-owned</t>
        </is>
      </c>
      <c r="G150" t="inlineStr">
        <is>
          <t>Network stack</t>
        </is>
      </c>
      <c r="H150" t="inlineStr">
        <is>
          <t>—</t>
        </is>
      </c>
      <c r="L150" t="inlineStr">
        <is>
          <t>MH-DC-002-RACK-D</t>
        </is>
      </c>
      <c r="M150" t="n">
        <v>28</v>
      </c>
      <c r="N150" t="n">
        <v>6</v>
      </c>
      <c r="O150" t="inlineStr">
        <is>
          <t>Ready</t>
        </is>
      </c>
      <c r="P150" t="inlineStr">
        <is>
          <t>tenant</t>
        </is>
      </c>
      <c r="Q150" t="inlineStr">
        <is>
          <t>CUST-8220</t>
        </is>
      </c>
      <c r="R150" t="inlineStr">
        <is>
          <t>N</t>
        </is>
      </c>
      <c r="T150" t="inlineStr">
        <is>
          <t>N</t>
        </is>
      </c>
    </row>
    <row r="151">
      <c r="A151" t="inlineStr">
        <is>
          <t>MH-DC-002-TN-016</t>
        </is>
      </c>
      <c r="B151" t="inlineStr">
        <is>
          <t>MH-DC-002</t>
        </is>
      </c>
      <c r="C151" t="inlineStr">
        <is>
          <t>MH-DC-002-TN-016</t>
        </is>
      </c>
      <c r="D151" t="inlineStr">
        <is>
          <t>Tenant gear</t>
        </is>
      </c>
      <c r="E151" t="inlineStr">
        <is>
          <t>access</t>
        </is>
      </c>
      <c r="F151" t="inlineStr">
        <is>
          <t>Tenant-owned</t>
        </is>
      </c>
      <c r="G151" t="inlineStr">
        <is>
          <t>Rack servers</t>
        </is>
      </c>
      <c r="H151" t="inlineStr">
        <is>
          <t>—</t>
        </is>
      </c>
      <c r="L151" t="inlineStr">
        <is>
          <t>MH-DC-002-RACK-E</t>
        </is>
      </c>
      <c r="M151" t="n">
        <v>2</v>
      </c>
      <c r="N151" t="n">
        <v>4</v>
      </c>
      <c r="O151" t="inlineStr">
        <is>
          <t>Ready</t>
        </is>
      </c>
      <c r="P151" t="inlineStr">
        <is>
          <t>tenant</t>
        </is>
      </c>
      <c r="Q151" t="inlineStr">
        <is>
          <t>CUST-4716</t>
        </is>
      </c>
      <c r="R151" t="inlineStr">
        <is>
          <t>N</t>
        </is>
      </c>
      <c r="T151" t="inlineStr">
        <is>
          <t>N</t>
        </is>
      </c>
    </row>
    <row r="152">
      <c r="A152" t="inlineStr">
        <is>
          <t>MH-DC-002-TN-017</t>
        </is>
      </c>
      <c r="B152" t="inlineStr">
        <is>
          <t>MH-DC-002</t>
        </is>
      </c>
      <c r="C152" t="inlineStr">
        <is>
          <t>MH-DC-002-TN-017</t>
        </is>
      </c>
      <c r="D152" t="inlineStr">
        <is>
          <t>Tenant gear</t>
        </is>
      </c>
      <c r="E152" t="inlineStr">
        <is>
          <t>access</t>
        </is>
      </c>
      <c r="F152" t="inlineStr">
        <is>
          <t>Tenant-owned</t>
        </is>
      </c>
      <c r="G152" t="inlineStr">
        <is>
          <t>Network stack</t>
        </is>
      </c>
      <c r="H152" t="inlineStr">
        <is>
          <t>—</t>
        </is>
      </c>
      <c r="L152" t="inlineStr">
        <is>
          <t>MH-DC-002-RACK-E</t>
        </is>
      </c>
      <c r="M152" t="n">
        <v>6</v>
      </c>
      <c r="N152" t="n">
        <v>4</v>
      </c>
      <c r="O152" t="inlineStr">
        <is>
          <t>Ready</t>
        </is>
      </c>
      <c r="P152" t="inlineStr">
        <is>
          <t>tenant</t>
        </is>
      </c>
      <c r="Q152" t="inlineStr">
        <is>
          <t>CUST-4716</t>
        </is>
      </c>
      <c r="R152" t="inlineStr">
        <is>
          <t>N</t>
        </is>
      </c>
      <c r="T152" t="inlineStr">
        <is>
          <t>N</t>
        </is>
      </c>
    </row>
    <row r="153">
      <c r="A153" t="inlineStr">
        <is>
          <t>MH-DC-002-TN-018</t>
        </is>
      </c>
      <c r="B153" t="inlineStr">
        <is>
          <t>MH-DC-002</t>
        </is>
      </c>
      <c r="C153" t="inlineStr">
        <is>
          <t>MH-DC-002-TN-018</t>
        </is>
      </c>
      <c r="D153" t="inlineStr">
        <is>
          <t>Tenant gear</t>
        </is>
      </c>
      <c r="E153" t="inlineStr">
        <is>
          <t>access</t>
        </is>
      </c>
      <c r="F153" t="inlineStr">
        <is>
          <t>Tenant-owned</t>
        </is>
      </c>
      <c r="G153" t="inlineStr">
        <is>
          <t>Storage array</t>
        </is>
      </c>
      <c r="H153" t="inlineStr">
        <is>
          <t>—</t>
        </is>
      </c>
      <c r="L153" t="inlineStr">
        <is>
          <t>MH-DC-002-RACK-E</t>
        </is>
      </c>
      <c r="M153" t="n">
        <v>10</v>
      </c>
      <c r="N153" t="n">
        <v>8</v>
      </c>
      <c r="O153" t="inlineStr">
        <is>
          <t>Ready</t>
        </is>
      </c>
      <c r="P153" t="inlineStr">
        <is>
          <t>tenant</t>
        </is>
      </c>
      <c r="Q153" t="inlineStr">
        <is>
          <t>CUST-4716</t>
        </is>
      </c>
      <c r="R153" t="inlineStr">
        <is>
          <t>N</t>
        </is>
      </c>
      <c r="T153" t="inlineStr">
        <is>
          <t>N</t>
        </is>
      </c>
    </row>
    <row r="154">
      <c r="A154" t="inlineStr">
        <is>
          <t>MH-DC-002-TN-019</t>
        </is>
      </c>
      <c r="B154" t="inlineStr">
        <is>
          <t>MH-DC-002</t>
        </is>
      </c>
      <c r="C154" t="inlineStr">
        <is>
          <t>MH-DC-002-TN-019</t>
        </is>
      </c>
      <c r="D154" t="inlineStr">
        <is>
          <t>Tenant gear</t>
        </is>
      </c>
      <c r="E154" t="inlineStr">
        <is>
          <t>access</t>
        </is>
      </c>
      <c r="F154" t="inlineStr">
        <is>
          <t>Tenant-owned</t>
        </is>
      </c>
      <c r="G154" t="inlineStr">
        <is>
          <t>Blade chassis</t>
        </is>
      </c>
      <c r="H154" t="inlineStr">
        <is>
          <t>—</t>
        </is>
      </c>
      <c r="L154" t="inlineStr">
        <is>
          <t>MH-DC-002-RACK-E</t>
        </is>
      </c>
      <c r="M154" t="n">
        <v>18</v>
      </c>
      <c r="N154" t="n">
        <v>10</v>
      </c>
      <c r="O154" t="inlineStr">
        <is>
          <t>Ready</t>
        </is>
      </c>
      <c r="P154" t="inlineStr">
        <is>
          <t>tenant</t>
        </is>
      </c>
      <c r="Q154" t="inlineStr">
        <is>
          <t>CUST-4716</t>
        </is>
      </c>
      <c r="R154" t="inlineStr">
        <is>
          <t>N</t>
        </is>
      </c>
      <c r="T154" t="inlineStr">
        <is>
          <t>N</t>
        </is>
      </c>
    </row>
    <row r="155">
      <c r="A155" t="inlineStr">
        <is>
          <t>MH-DC-002-TN-020</t>
        </is>
      </c>
      <c r="B155" t="inlineStr">
        <is>
          <t>MH-DC-002</t>
        </is>
      </c>
      <c r="C155" t="inlineStr">
        <is>
          <t>MH-DC-002-TN-020</t>
        </is>
      </c>
      <c r="D155" t="inlineStr">
        <is>
          <t>Tenant gear</t>
        </is>
      </c>
      <c r="E155" t="inlineStr">
        <is>
          <t>access</t>
        </is>
      </c>
      <c r="F155" t="inlineStr">
        <is>
          <t>Tenant-owned</t>
        </is>
      </c>
      <c r="G155" t="inlineStr">
        <is>
          <t>Storage array</t>
        </is>
      </c>
      <c r="H155" t="inlineStr">
        <is>
          <t>—</t>
        </is>
      </c>
      <c r="L155" t="inlineStr">
        <is>
          <t>MH-DC-002-RACK-E</t>
        </is>
      </c>
      <c r="M155" t="n">
        <v>28</v>
      </c>
      <c r="N155" t="n">
        <v>4</v>
      </c>
      <c r="O155" t="inlineStr">
        <is>
          <t>Ready</t>
        </is>
      </c>
      <c r="P155" t="inlineStr">
        <is>
          <t>tenant</t>
        </is>
      </c>
      <c r="Q155" t="inlineStr">
        <is>
          <t>CUST-4716</t>
        </is>
      </c>
      <c r="R155" t="inlineStr">
        <is>
          <t>N</t>
        </is>
      </c>
      <c r="T155" t="inlineStr">
        <is>
          <t>N</t>
        </is>
      </c>
    </row>
    <row r="156">
      <c r="A156" t="inlineStr">
        <is>
          <t>MH-DC-002-TN-021</t>
        </is>
      </c>
      <c r="B156" t="inlineStr">
        <is>
          <t>MH-DC-002</t>
        </is>
      </c>
      <c r="C156" t="inlineStr">
        <is>
          <t>MH-DC-002-TN-021</t>
        </is>
      </c>
      <c r="D156" t="inlineStr">
        <is>
          <t>Tenant gear</t>
        </is>
      </c>
      <c r="E156" t="inlineStr">
        <is>
          <t>access</t>
        </is>
      </c>
      <c r="F156" t="inlineStr">
        <is>
          <t>Tenant-owned</t>
        </is>
      </c>
      <c r="G156" t="inlineStr">
        <is>
          <t>Blade chassis</t>
        </is>
      </c>
      <c r="H156" t="inlineStr">
        <is>
          <t>—</t>
        </is>
      </c>
      <c r="L156" t="inlineStr">
        <is>
          <t>MH-DC-002-RACK-F</t>
        </is>
      </c>
      <c r="M156" t="n">
        <v>2</v>
      </c>
      <c r="N156" t="n">
        <v>6</v>
      </c>
      <c r="O156" t="inlineStr">
        <is>
          <t>Ready</t>
        </is>
      </c>
      <c r="P156" t="inlineStr">
        <is>
          <t>tenant</t>
        </is>
      </c>
      <c r="Q156" t="inlineStr">
        <is>
          <t>CUST-2954</t>
        </is>
      </c>
      <c r="R156" t="inlineStr">
        <is>
          <t>N</t>
        </is>
      </c>
      <c r="T156" t="inlineStr">
        <is>
          <t>N</t>
        </is>
      </c>
    </row>
    <row r="157">
      <c r="A157" t="inlineStr">
        <is>
          <t>MH-DC-002-TN-022</t>
        </is>
      </c>
      <c r="B157" t="inlineStr">
        <is>
          <t>MH-DC-002</t>
        </is>
      </c>
      <c r="C157" t="inlineStr">
        <is>
          <t>MH-DC-002-TN-022</t>
        </is>
      </c>
      <c r="D157" t="inlineStr">
        <is>
          <t>Tenant gear</t>
        </is>
      </c>
      <c r="E157" t="inlineStr">
        <is>
          <t>access</t>
        </is>
      </c>
      <c r="F157" t="inlineStr">
        <is>
          <t>Tenant-owned</t>
        </is>
      </c>
      <c r="G157" t="inlineStr">
        <is>
          <t>Mixed equipment</t>
        </is>
      </c>
      <c r="H157" t="inlineStr">
        <is>
          <t>—</t>
        </is>
      </c>
      <c r="L157" t="inlineStr">
        <is>
          <t>MH-DC-002-RACK-F</t>
        </is>
      </c>
      <c r="M157" t="n">
        <v>8</v>
      </c>
      <c r="N157" t="n">
        <v>4</v>
      </c>
      <c r="O157" t="inlineStr">
        <is>
          <t>Ready</t>
        </is>
      </c>
      <c r="P157" t="inlineStr">
        <is>
          <t>tenant</t>
        </is>
      </c>
      <c r="Q157" t="inlineStr">
        <is>
          <t>CUST-2954</t>
        </is>
      </c>
      <c r="R157" t="inlineStr">
        <is>
          <t>N</t>
        </is>
      </c>
      <c r="T157" t="inlineStr">
        <is>
          <t>N</t>
        </is>
      </c>
    </row>
    <row r="158">
      <c r="A158" t="inlineStr">
        <is>
          <t>MH-DC-002-TN-023</t>
        </is>
      </c>
      <c r="B158" t="inlineStr">
        <is>
          <t>MH-DC-002</t>
        </is>
      </c>
      <c r="C158" t="inlineStr">
        <is>
          <t>MH-DC-002-TN-023</t>
        </is>
      </c>
      <c r="D158" t="inlineStr">
        <is>
          <t>Tenant gear</t>
        </is>
      </c>
      <c r="E158" t="inlineStr">
        <is>
          <t>access</t>
        </is>
      </c>
      <c r="F158" t="inlineStr">
        <is>
          <t>Tenant-owned</t>
        </is>
      </c>
      <c r="G158" t="inlineStr">
        <is>
          <t>Mixed equipment</t>
        </is>
      </c>
      <c r="H158" t="inlineStr">
        <is>
          <t>—</t>
        </is>
      </c>
      <c r="L158" t="inlineStr">
        <is>
          <t>MH-DC-002-RACK-F</t>
        </is>
      </c>
      <c r="M158" t="n">
        <v>12</v>
      </c>
      <c r="N158" t="n">
        <v>6</v>
      </c>
      <c r="O158" t="inlineStr">
        <is>
          <t>Ready</t>
        </is>
      </c>
      <c r="P158" t="inlineStr">
        <is>
          <t>tenant</t>
        </is>
      </c>
      <c r="Q158" t="inlineStr">
        <is>
          <t>CUST-2954</t>
        </is>
      </c>
      <c r="R158" t="inlineStr">
        <is>
          <t>N</t>
        </is>
      </c>
      <c r="T158" t="inlineStr">
        <is>
          <t>N</t>
        </is>
      </c>
    </row>
    <row r="159">
      <c r="A159" t="inlineStr">
        <is>
          <t>MH-DC-002-TN-024</t>
        </is>
      </c>
      <c r="B159" t="inlineStr">
        <is>
          <t>MH-DC-002</t>
        </is>
      </c>
      <c r="C159" t="inlineStr">
        <is>
          <t>MH-DC-002-TN-024</t>
        </is>
      </c>
      <c r="D159" t="inlineStr">
        <is>
          <t>Tenant gear</t>
        </is>
      </c>
      <c r="E159" t="inlineStr">
        <is>
          <t>access</t>
        </is>
      </c>
      <c r="F159" t="inlineStr">
        <is>
          <t>Tenant-owned</t>
        </is>
      </c>
      <c r="G159" t="inlineStr">
        <is>
          <t>Mixed equipment</t>
        </is>
      </c>
      <c r="H159" t="inlineStr">
        <is>
          <t>—</t>
        </is>
      </c>
      <c r="L159" t="inlineStr">
        <is>
          <t>MH-DC-002-RACK-F</t>
        </is>
      </c>
      <c r="M159" t="n">
        <v>18</v>
      </c>
      <c r="N159" t="n">
        <v>2</v>
      </c>
      <c r="O159" t="inlineStr">
        <is>
          <t>Ready</t>
        </is>
      </c>
      <c r="P159" t="inlineStr">
        <is>
          <t>tenant</t>
        </is>
      </c>
      <c r="Q159" t="inlineStr">
        <is>
          <t>CUST-2954</t>
        </is>
      </c>
      <c r="R159" t="inlineStr">
        <is>
          <t>N</t>
        </is>
      </c>
      <c r="T159" t="inlineStr">
        <is>
          <t>N</t>
        </is>
      </c>
    </row>
    <row r="160">
      <c r="A160" t="inlineStr">
        <is>
          <t>MH-DC-002-TN-025</t>
        </is>
      </c>
      <c r="B160" t="inlineStr">
        <is>
          <t>MH-DC-002</t>
        </is>
      </c>
      <c r="C160" t="inlineStr">
        <is>
          <t>MH-DC-002-TN-025</t>
        </is>
      </c>
      <c r="D160" t="inlineStr">
        <is>
          <t>Tenant gear</t>
        </is>
      </c>
      <c r="E160" t="inlineStr">
        <is>
          <t>access</t>
        </is>
      </c>
      <c r="F160" t="inlineStr">
        <is>
          <t>Tenant-owned</t>
        </is>
      </c>
      <c r="G160" t="inlineStr">
        <is>
          <t>Network stack</t>
        </is>
      </c>
      <c r="H160" t="inlineStr">
        <is>
          <t>—</t>
        </is>
      </c>
      <c r="L160" t="inlineStr">
        <is>
          <t>MH-DC-002-RACK-F</t>
        </is>
      </c>
      <c r="M160" t="n">
        <v>20</v>
      </c>
      <c r="N160" t="n">
        <v>4</v>
      </c>
      <c r="O160" t="inlineStr">
        <is>
          <t>Ready</t>
        </is>
      </c>
      <c r="P160" t="inlineStr">
        <is>
          <t>tenant</t>
        </is>
      </c>
      <c r="Q160" t="inlineStr">
        <is>
          <t>CUST-2954</t>
        </is>
      </c>
      <c r="R160" t="inlineStr">
        <is>
          <t>N</t>
        </is>
      </c>
      <c r="T160" t="inlineStr">
        <is>
          <t>N</t>
        </is>
      </c>
    </row>
    <row r="161">
      <c r="A161" t="inlineStr">
        <is>
          <t>MH-DC-002-TN-026</t>
        </is>
      </c>
      <c r="B161" t="inlineStr">
        <is>
          <t>MH-DC-002</t>
        </is>
      </c>
      <c r="C161" t="inlineStr">
        <is>
          <t>MH-DC-002-TN-026</t>
        </is>
      </c>
      <c r="D161" t="inlineStr">
        <is>
          <t>Tenant gear</t>
        </is>
      </c>
      <c r="E161" t="inlineStr">
        <is>
          <t>access</t>
        </is>
      </c>
      <c r="F161" t="inlineStr">
        <is>
          <t>Tenant-owned</t>
        </is>
      </c>
      <c r="G161" t="inlineStr">
        <is>
          <t>Rack servers</t>
        </is>
      </c>
      <c r="H161" t="inlineStr">
        <is>
          <t>—</t>
        </is>
      </c>
      <c r="L161" t="inlineStr">
        <is>
          <t>MH-DC-002-RACK-F</t>
        </is>
      </c>
      <c r="M161" t="n">
        <v>24</v>
      </c>
      <c r="N161" t="n">
        <v>2</v>
      </c>
      <c r="O161" t="inlineStr">
        <is>
          <t>Ready</t>
        </is>
      </c>
      <c r="P161" t="inlineStr">
        <is>
          <t>tenant</t>
        </is>
      </c>
      <c r="Q161" t="inlineStr">
        <is>
          <t>CUST-2954</t>
        </is>
      </c>
      <c r="R161" t="inlineStr">
        <is>
          <t>N</t>
        </is>
      </c>
      <c r="T161" t="inlineStr">
        <is>
          <t>N</t>
        </is>
      </c>
    </row>
    <row r="162">
      <c r="A162" t="inlineStr">
        <is>
          <t>MH-DC-002-TN-027</t>
        </is>
      </c>
      <c r="B162" t="inlineStr">
        <is>
          <t>MH-DC-002</t>
        </is>
      </c>
      <c r="C162" t="inlineStr">
        <is>
          <t>MH-DC-002-TN-027</t>
        </is>
      </c>
      <c r="D162" t="inlineStr">
        <is>
          <t>Tenant gear</t>
        </is>
      </c>
      <c r="E162" t="inlineStr">
        <is>
          <t>access</t>
        </is>
      </c>
      <c r="F162" t="inlineStr">
        <is>
          <t>Tenant-owned</t>
        </is>
      </c>
      <c r="G162" t="inlineStr">
        <is>
          <t>HPC nodes</t>
        </is>
      </c>
      <c r="H162" t="inlineStr">
        <is>
          <t>—</t>
        </is>
      </c>
      <c r="L162" t="inlineStr">
        <is>
          <t>MH-DC-002-RACK-F</t>
        </is>
      </c>
      <c r="M162" t="n">
        <v>26</v>
      </c>
      <c r="N162" t="n">
        <v>4</v>
      </c>
      <c r="O162" t="inlineStr">
        <is>
          <t>Ready</t>
        </is>
      </c>
      <c r="P162" t="inlineStr">
        <is>
          <t>tenant</t>
        </is>
      </c>
      <c r="Q162" t="inlineStr">
        <is>
          <t>CUST-2954</t>
        </is>
      </c>
      <c r="R162" t="inlineStr">
        <is>
          <t>N</t>
        </is>
      </c>
      <c r="T162" t="inlineStr">
        <is>
          <t>N</t>
        </is>
      </c>
    </row>
    <row r="163">
      <c r="A163" t="inlineStr">
        <is>
          <t>MH-DC-002-TN-028</t>
        </is>
      </c>
      <c r="B163" t="inlineStr">
        <is>
          <t>MH-DC-002</t>
        </is>
      </c>
      <c r="C163" t="inlineStr">
        <is>
          <t>MH-DC-002-TN-028</t>
        </is>
      </c>
      <c r="D163" t="inlineStr">
        <is>
          <t>Tenant gear</t>
        </is>
      </c>
      <c r="E163" t="inlineStr">
        <is>
          <t>access</t>
        </is>
      </c>
      <c r="F163" t="inlineStr">
        <is>
          <t>Tenant-owned</t>
        </is>
      </c>
      <c r="G163" t="inlineStr">
        <is>
          <t>Mixed equipment</t>
        </is>
      </c>
      <c r="H163" t="inlineStr">
        <is>
          <t>—</t>
        </is>
      </c>
      <c r="L163" t="inlineStr">
        <is>
          <t>MH-DC-002-RACK-F</t>
        </is>
      </c>
      <c r="M163" t="n">
        <v>30</v>
      </c>
      <c r="N163" t="n">
        <v>4</v>
      </c>
      <c r="O163" t="inlineStr">
        <is>
          <t>Ready</t>
        </is>
      </c>
      <c r="P163" t="inlineStr">
        <is>
          <t>tenant</t>
        </is>
      </c>
      <c r="Q163" t="inlineStr">
        <is>
          <t>CUST-2954</t>
        </is>
      </c>
      <c r="R163" t="inlineStr">
        <is>
          <t>N</t>
        </is>
      </c>
      <c r="T163" t="inlineStr">
        <is>
          <t>N</t>
        </is>
      </c>
    </row>
    <row r="164">
      <c r="A164" t="inlineStr">
        <is>
          <t>MH-DC-002-TN-029</t>
        </is>
      </c>
      <c r="B164" t="inlineStr">
        <is>
          <t>MH-DC-002</t>
        </is>
      </c>
      <c r="C164" t="inlineStr">
        <is>
          <t>MH-DC-002-TN-029</t>
        </is>
      </c>
      <c r="D164" t="inlineStr">
        <is>
          <t>Tenant gear</t>
        </is>
      </c>
      <c r="E164" t="inlineStr">
        <is>
          <t>access</t>
        </is>
      </c>
      <c r="F164" t="inlineStr">
        <is>
          <t>Tenant-owned</t>
        </is>
      </c>
      <c r="G164" t="inlineStr">
        <is>
          <t>Mixed equipment</t>
        </is>
      </c>
      <c r="H164" t="inlineStr">
        <is>
          <t>—</t>
        </is>
      </c>
      <c r="L164" t="inlineStr">
        <is>
          <t>MH-DC-002-RACK-G</t>
        </is>
      </c>
      <c r="M164" t="n">
        <v>2</v>
      </c>
      <c r="N164" t="n">
        <v>6</v>
      </c>
      <c r="O164" t="inlineStr">
        <is>
          <t>Ready</t>
        </is>
      </c>
      <c r="P164" t="inlineStr">
        <is>
          <t>tenant</t>
        </is>
      </c>
      <c r="Q164" t="inlineStr">
        <is>
          <t>CUST-2954</t>
        </is>
      </c>
      <c r="R164" t="inlineStr">
        <is>
          <t>N</t>
        </is>
      </c>
      <c r="T164" t="inlineStr">
        <is>
          <t>N</t>
        </is>
      </c>
    </row>
    <row r="165">
      <c r="A165" t="inlineStr">
        <is>
          <t>MH-DC-002-TN-030</t>
        </is>
      </c>
      <c r="B165" t="inlineStr">
        <is>
          <t>MH-DC-002</t>
        </is>
      </c>
      <c r="C165" t="inlineStr">
        <is>
          <t>MH-DC-002-TN-030</t>
        </is>
      </c>
      <c r="D165" t="inlineStr">
        <is>
          <t>Tenant gear</t>
        </is>
      </c>
      <c r="E165" t="inlineStr">
        <is>
          <t>access</t>
        </is>
      </c>
      <c r="F165" t="inlineStr">
        <is>
          <t>Tenant-owned</t>
        </is>
      </c>
      <c r="G165" t="inlineStr">
        <is>
          <t>Rack servers</t>
        </is>
      </c>
      <c r="H165" t="inlineStr">
        <is>
          <t>—</t>
        </is>
      </c>
      <c r="L165" t="inlineStr">
        <is>
          <t>MH-DC-002-RACK-G</t>
        </is>
      </c>
      <c r="M165" t="n">
        <v>8</v>
      </c>
      <c r="N165" t="n">
        <v>6</v>
      </c>
      <c r="O165" t="inlineStr">
        <is>
          <t>Ready</t>
        </is>
      </c>
      <c r="P165" t="inlineStr">
        <is>
          <t>tenant</t>
        </is>
      </c>
      <c r="Q165" t="inlineStr">
        <is>
          <t>CUST-2954</t>
        </is>
      </c>
      <c r="R165" t="inlineStr">
        <is>
          <t>N</t>
        </is>
      </c>
      <c r="T165" t="inlineStr">
        <is>
          <t>N</t>
        </is>
      </c>
    </row>
    <row r="166">
      <c r="A166" t="inlineStr">
        <is>
          <t>MH-DC-002-TN-031</t>
        </is>
      </c>
      <c r="B166" t="inlineStr">
        <is>
          <t>MH-DC-002</t>
        </is>
      </c>
      <c r="C166" t="inlineStr">
        <is>
          <t>MH-DC-002-TN-031</t>
        </is>
      </c>
      <c r="D166" t="inlineStr">
        <is>
          <t>Tenant gear</t>
        </is>
      </c>
      <c r="E166" t="inlineStr">
        <is>
          <t>access</t>
        </is>
      </c>
      <c r="F166" t="inlineStr">
        <is>
          <t>Tenant-owned</t>
        </is>
      </c>
      <c r="G166" t="inlineStr">
        <is>
          <t>Storage array</t>
        </is>
      </c>
      <c r="H166" t="inlineStr">
        <is>
          <t>—</t>
        </is>
      </c>
      <c r="L166" t="inlineStr">
        <is>
          <t>MH-DC-002-RACK-G</t>
        </is>
      </c>
      <c r="M166" t="n">
        <v>14</v>
      </c>
      <c r="N166" t="n">
        <v>4</v>
      </c>
      <c r="O166" t="inlineStr">
        <is>
          <t>Ready</t>
        </is>
      </c>
      <c r="P166" t="inlineStr">
        <is>
          <t>tenant</t>
        </is>
      </c>
      <c r="Q166" t="inlineStr">
        <is>
          <t>CUST-2954</t>
        </is>
      </c>
      <c r="R166" t="inlineStr">
        <is>
          <t>N</t>
        </is>
      </c>
      <c r="T166" t="inlineStr">
        <is>
          <t>N</t>
        </is>
      </c>
    </row>
    <row r="167">
      <c r="A167" t="inlineStr">
        <is>
          <t>MH-DC-002-TN-032</t>
        </is>
      </c>
      <c r="B167" t="inlineStr">
        <is>
          <t>MH-DC-002</t>
        </is>
      </c>
      <c r="C167" t="inlineStr">
        <is>
          <t>MH-DC-002-TN-032</t>
        </is>
      </c>
      <c r="D167" t="inlineStr">
        <is>
          <t>Tenant gear</t>
        </is>
      </c>
      <c r="E167" t="inlineStr">
        <is>
          <t>access</t>
        </is>
      </c>
      <c r="F167" t="inlineStr">
        <is>
          <t>Tenant-owned</t>
        </is>
      </c>
      <c r="G167" t="inlineStr">
        <is>
          <t>Blade chassis</t>
        </is>
      </c>
      <c r="H167" t="inlineStr">
        <is>
          <t>—</t>
        </is>
      </c>
      <c r="L167" t="inlineStr">
        <is>
          <t>MH-DC-002-RACK-G</t>
        </is>
      </c>
      <c r="M167" t="n">
        <v>18</v>
      </c>
      <c r="N167" t="n">
        <v>6</v>
      </c>
      <c r="O167" t="inlineStr">
        <is>
          <t>Ready</t>
        </is>
      </c>
      <c r="P167" t="inlineStr">
        <is>
          <t>tenant</t>
        </is>
      </c>
      <c r="Q167" t="inlineStr">
        <is>
          <t>CUST-2954</t>
        </is>
      </c>
      <c r="R167" t="inlineStr">
        <is>
          <t>N</t>
        </is>
      </c>
      <c r="T167" t="inlineStr">
        <is>
          <t>N</t>
        </is>
      </c>
    </row>
    <row r="168">
      <c r="A168" t="inlineStr">
        <is>
          <t>MH-DC-002-TN-033</t>
        </is>
      </c>
      <c r="B168" t="inlineStr">
        <is>
          <t>MH-DC-002</t>
        </is>
      </c>
      <c r="C168" t="inlineStr">
        <is>
          <t>MH-DC-002-TN-033</t>
        </is>
      </c>
      <c r="D168" t="inlineStr">
        <is>
          <t>Tenant gear</t>
        </is>
      </c>
      <c r="E168" t="inlineStr">
        <is>
          <t>access</t>
        </is>
      </c>
      <c r="F168" t="inlineStr">
        <is>
          <t>Tenant-owned</t>
        </is>
      </c>
      <c r="G168" t="inlineStr">
        <is>
          <t>Network stack</t>
        </is>
      </c>
      <c r="H168" t="inlineStr">
        <is>
          <t>—</t>
        </is>
      </c>
      <c r="L168" t="inlineStr">
        <is>
          <t>MH-DC-002-RACK-G</t>
        </is>
      </c>
      <c r="M168" t="n">
        <v>24</v>
      </c>
      <c r="N168" t="n">
        <v>8</v>
      </c>
      <c r="O168" t="inlineStr">
        <is>
          <t>Ready</t>
        </is>
      </c>
      <c r="P168" t="inlineStr">
        <is>
          <t>tenant</t>
        </is>
      </c>
      <c r="Q168" t="inlineStr">
        <is>
          <t>CUST-2954</t>
        </is>
      </c>
      <c r="R168" t="inlineStr">
        <is>
          <t>N</t>
        </is>
      </c>
      <c r="T168" t="inlineStr">
        <is>
          <t>N</t>
        </is>
      </c>
    </row>
    <row r="169">
      <c r="A169" t="inlineStr">
        <is>
          <t>MH-DC-002-TN-034</t>
        </is>
      </c>
      <c r="B169" t="inlineStr">
        <is>
          <t>MH-DC-002</t>
        </is>
      </c>
      <c r="C169" t="inlineStr">
        <is>
          <t>MH-DC-002-TN-034</t>
        </is>
      </c>
      <c r="D169" t="inlineStr">
        <is>
          <t>Tenant gear</t>
        </is>
      </c>
      <c r="E169" t="inlineStr">
        <is>
          <t>access</t>
        </is>
      </c>
      <c r="F169" t="inlineStr">
        <is>
          <t>Tenant-owned</t>
        </is>
      </c>
      <c r="G169" t="inlineStr">
        <is>
          <t>Rack servers</t>
        </is>
      </c>
      <c r="H169" t="inlineStr">
        <is>
          <t>—</t>
        </is>
      </c>
      <c r="L169" t="inlineStr">
        <is>
          <t>MH-DC-002-RACK-H</t>
        </is>
      </c>
      <c r="M169" t="n">
        <v>2</v>
      </c>
      <c r="N169" t="n">
        <v>8</v>
      </c>
      <c r="O169" t="inlineStr">
        <is>
          <t>Ready</t>
        </is>
      </c>
      <c r="P169" t="inlineStr">
        <is>
          <t>tenant</t>
        </is>
      </c>
      <c r="Q169" t="inlineStr">
        <is>
          <t>CUST-1202</t>
        </is>
      </c>
      <c r="R169" t="inlineStr">
        <is>
          <t>N</t>
        </is>
      </c>
      <c r="T169" t="inlineStr">
        <is>
          <t>N</t>
        </is>
      </c>
    </row>
    <row r="170">
      <c r="A170" t="inlineStr">
        <is>
          <t>MH-DC-002-TN-035</t>
        </is>
      </c>
      <c r="B170" t="inlineStr">
        <is>
          <t>MH-DC-002</t>
        </is>
      </c>
      <c r="C170" t="inlineStr">
        <is>
          <t>MH-DC-002-TN-035</t>
        </is>
      </c>
      <c r="D170" t="inlineStr">
        <is>
          <t>Tenant gear</t>
        </is>
      </c>
      <c r="E170" t="inlineStr">
        <is>
          <t>access</t>
        </is>
      </c>
      <c r="F170" t="inlineStr">
        <is>
          <t>Tenant-owned</t>
        </is>
      </c>
      <c r="G170" t="inlineStr">
        <is>
          <t>Blade chassis</t>
        </is>
      </c>
      <c r="H170" t="inlineStr">
        <is>
          <t>—</t>
        </is>
      </c>
      <c r="L170" t="inlineStr">
        <is>
          <t>MH-DC-002-RACK-H</t>
        </is>
      </c>
      <c r="M170" t="n">
        <v>10</v>
      </c>
      <c r="N170" t="n">
        <v>6</v>
      </c>
      <c r="O170" t="inlineStr">
        <is>
          <t>Ready</t>
        </is>
      </c>
      <c r="P170" t="inlineStr">
        <is>
          <t>tenant</t>
        </is>
      </c>
      <c r="Q170" t="inlineStr">
        <is>
          <t>CUST-1202</t>
        </is>
      </c>
      <c r="R170" t="inlineStr">
        <is>
          <t>N</t>
        </is>
      </c>
      <c r="T170" t="inlineStr">
        <is>
          <t>N</t>
        </is>
      </c>
    </row>
    <row r="171">
      <c r="A171" t="inlineStr">
        <is>
          <t>MH-DC-002-TN-036</t>
        </is>
      </c>
      <c r="B171" t="inlineStr">
        <is>
          <t>MH-DC-002</t>
        </is>
      </c>
      <c r="C171" t="inlineStr">
        <is>
          <t>MH-DC-002-TN-036</t>
        </is>
      </c>
      <c r="D171" t="inlineStr">
        <is>
          <t>Tenant gear</t>
        </is>
      </c>
      <c r="E171" t="inlineStr">
        <is>
          <t>access</t>
        </is>
      </c>
      <c r="F171" t="inlineStr">
        <is>
          <t>Tenant-owned</t>
        </is>
      </c>
      <c r="G171" t="inlineStr">
        <is>
          <t>Mixed equipment</t>
        </is>
      </c>
      <c r="H171" t="inlineStr">
        <is>
          <t>—</t>
        </is>
      </c>
      <c r="L171" t="inlineStr">
        <is>
          <t>MH-DC-002-RACK-H</t>
        </is>
      </c>
      <c r="M171" t="n">
        <v>16</v>
      </c>
      <c r="N171" t="n">
        <v>2</v>
      </c>
      <c r="O171" t="inlineStr">
        <is>
          <t>Ready</t>
        </is>
      </c>
      <c r="P171" t="inlineStr">
        <is>
          <t>tenant</t>
        </is>
      </c>
      <c r="Q171" t="inlineStr">
        <is>
          <t>CUST-1202</t>
        </is>
      </c>
      <c r="R171" t="inlineStr">
        <is>
          <t>N</t>
        </is>
      </c>
      <c r="T171" t="inlineStr">
        <is>
          <t>N</t>
        </is>
      </c>
    </row>
    <row r="172">
      <c r="A172" t="inlineStr">
        <is>
          <t>MH-DC-002-TN-037</t>
        </is>
      </c>
      <c r="B172" t="inlineStr">
        <is>
          <t>MH-DC-002</t>
        </is>
      </c>
      <c r="C172" t="inlineStr">
        <is>
          <t>MH-DC-002-TN-037</t>
        </is>
      </c>
      <c r="D172" t="inlineStr">
        <is>
          <t>Tenant gear</t>
        </is>
      </c>
      <c r="E172" t="inlineStr">
        <is>
          <t>access</t>
        </is>
      </c>
      <c r="F172" t="inlineStr">
        <is>
          <t>Tenant-owned</t>
        </is>
      </c>
      <c r="G172" t="inlineStr">
        <is>
          <t>Blade chassis</t>
        </is>
      </c>
      <c r="H172" t="inlineStr">
        <is>
          <t>—</t>
        </is>
      </c>
      <c r="L172" t="inlineStr">
        <is>
          <t>MH-DC-002-RACK-H</t>
        </is>
      </c>
      <c r="M172" t="n">
        <v>18</v>
      </c>
      <c r="N172" t="n">
        <v>10</v>
      </c>
      <c r="O172" t="inlineStr">
        <is>
          <t>Ready</t>
        </is>
      </c>
      <c r="P172" t="inlineStr">
        <is>
          <t>tenant</t>
        </is>
      </c>
      <c r="Q172" t="inlineStr">
        <is>
          <t>CUST-1202</t>
        </is>
      </c>
      <c r="R172" t="inlineStr">
        <is>
          <t>N</t>
        </is>
      </c>
      <c r="T172" t="inlineStr">
        <is>
          <t>N</t>
        </is>
      </c>
    </row>
    <row r="173">
      <c r="A173" t="inlineStr">
        <is>
          <t>MH-DC-002-TN-038</t>
        </is>
      </c>
      <c r="B173" t="inlineStr">
        <is>
          <t>MH-DC-002</t>
        </is>
      </c>
      <c r="C173" t="inlineStr">
        <is>
          <t>MH-DC-002-TN-038</t>
        </is>
      </c>
      <c r="D173" t="inlineStr">
        <is>
          <t>Tenant gear</t>
        </is>
      </c>
      <c r="E173" t="inlineStr">
        <is>
          <t>access</t>
        </is>
      </c>
      <c r="F173" t="inlineStr">
        <is>
          <t>Tenant-owned</t>
        </is>
      </c>
      <c r="G173" t="inlineStr">
        <is>
          <t>Storage array</t>
        </is>
      </c>
      <c r="H173" t="inlineStr">
        <is>
          <t>—</t>
        </is>
      </c>
      <c r="L173" t="inlineStr">
        <is>
          <t>MH-DC-002-RACK-H</t>
        </is>
      </c>
      <c r="M173" t="n">
        <v>28</v>
      </c>
      <c r="N173" t="n">
        <v>4</v>
      </c>
      <c r="O173" t="inlineStr">
        <is>
          <t>Ready</t>
        </is>
      </c>
      <c r="P173" t="inlineStr">
        <is>
          <t>tenant</t>
        </is>
      </c>
      <c r="Q173" t="inlineStr">
        <is>
          <t>CUST-1202</t>
        </is>
      </c>
      <c r="R173" t="inlineStr">
        <is>
          <t>N</t>
        </is>
      </c>
      <c r="T173" t="inlineStr">
        <is>
          <t>N</t>
        </is>
      </c>
    </row>
    <row r="174">
      <c r="A174" t="inlineStr">
        <is>
          <t>MH-DC-002-TN-039</t>
        </is>
      </c>
      <c r="B174" t="inlineStr">
        <is>
          <t>MH-DC-002</t>
        </is>
      </c>
      <c r="C174" t="inlineStr">
        <is>
          <t>MH-DC-002-TN-039</t>
        </is>
      </c>
      <c r="D174" t="inlineStr">
        <is>
          <t>Tenant gear</t>
        </is>
      </c>
      <c r="E174" t="inlineStr">
        <is>
          <t>access</t>
        </is>
      </c>
      <c r="F174" t="inlineStr">
        <is>
          <t>Tenant-owned</t>
        </is>
      </c>
      <c r="G174" t="inlineStr">
        <is>
          <t>Storage array</t>
        </is>
      </c>
      <c r="H174" t="inlineStr">
        <is>
          <t>—</t>
        </is>
      </c>
      <c r="L174" t="inlineStr">
        <is>
          <t>MH-DC-002-RACK-I</t>
        </is>
      </c>
      <c r="M174" t="n">
        <v>2</v>
      </c>
      <c r="N174" t="n">
        <v>4</v>
      </c>
      <c r="O174" t="inlineStr">
        <is>
          <t>Ready</t>
        </is>
      </c>
      <c r="P174" t="inlineStr">
        <is>
          <t>tenant</t>
        </is>
      </c>
      <c r="Q174" t="inlineStr">
        <is>
          <t>CUST-1202</t>
        </is>
      </c>
      <c r="R174" t="inlineStr">
        <is>
          <t>N</t>
        </is>
      </c>
      <c r="T174" t="inlineStr">
        <is>
          <t>N</t>
        </is>
      </c>
    </row>
    <row r="175">
      <c r="A175" t="inlineStr">
        <is>
          <t>MH-DC-002-BMS-01</t>
        </is>
      </c>
      <c r="B175" t="inlineStr">
        <is>
          <t>MH-DC-002</t>
        </is>
      </c>
      <c r="C175" t="inlineStr">
        <is>
          <t>MH-DC-002-BMS-01</t>
        </is>
      </c>
      <c r="D175" t="inlineStr">
        <is>
          <t>Server</t>
        </is>
      </c>
      <c r="E175" t="inlineStr">
        <is>
          <t>access</t>
        </is>
      </c>
      <c r="F175" t="inlineStr">
        <is>
          <t>SUPERMICRO</t>
        </is>
      </c>
      <c r="G175" t="inlineStr">
        <is>
          <t>SYS-120U-TNR</t>
        </is>
      </c>
      <c r="H175" t="inlineStr">
        <is>
          <t>Ubuntu 20.04</t>
        </is>
      </c>
      <c r="I175" t="inlineStr">
        <is>
          <t>SM0011380</t>
        </is>
      </c>
      <c r="J175" t="inlineStr">
        <is>
          <t>172.25.40.74</t>
        </is>
      </c>
      <c r="K175" t="inlineStr">
        <is>
          <t>A4:5E:60:94:BE:74</t>
        </is>
      </c>
      <c r="L175" t="inlineStr">
        <is>
          <t>MH-DC-002-RACK-K</t>
        </is>
      </c>
      <c r="M175" t="n">
        <v>2</v>
      </c>
      <c r="N175" t="n">
        <v>1</v>
      </c>
      <c r="O175" t="inlineStr">
        <is>
          <t>Ready</t>
        </is>
      </c>
      <c r="P175" t="inlineStr">
        <is>
          <t>operator</t>
        </is>
      </c>
      <c r="R175" t="inlineStr">
        <is>
          <t>Y</t>
        </is>
      </c>
      <c r="S175" t="inlineStr">
        <is>
          <t>COL-MH-DC-002-1</t>
        </is>
      </c>
      <c r="T175" t="inlineStr">
        <is>
          <t>N</t>
        </is>
      </c>
    </row>
    <row r="176">
      <c r="A176" t="inlineStr">
        <is>
          <t>MH-DC-002-BMS-02</t>
        </is>
      </c>
      <c r="B176" t="inlineStr">
        <is>
          <t>MH-DC-002</t>
        </is>
      </c>
      <c r="C176" t="inlineStr">
        <is>
          <t>MH-DC-002-BMS-02</t>
        </is>
      </c>
      <c r="D176" t="inlineStr">
        <is>
          <t>Server</t>
        </is>
      </c>
      <c r="E176" t="inlineStr">
        <is>
          <t>access</t>
        </is>
      </c>
      <c r="F176" t="inlineStr">
        <is>
          <t>SUPERMICRO</t>
        </is>
      </c>
      <c r="G176" t="inlineStr">
        <is>
          <t>SYS-120U-TNR</t>
        </is>
      </c>
      <c r="H176" t="inlineStr">
        <is>
          <t>Ubuntu 20.04</t>
        </is>
      </c>
      <c r="I176" t="inlineStr">
        <is>
          <t>SM0011389</t>
        </is>
      </c>
      <c r="J176" t="inlineStr">
        <is>
          <t>172.25.40.75</t>
        </is>
      </c>
      <c r="K176" t="inlineStr">
        <is>
          <t>A4:5E:60:66:82:17</t>
        </is>
      </c>
      <c r="L176" t="inlineStr">
        <is>
          <t>MH-DC-002-RACK-K</t>
        </is>
      </c>
      <c r="M176" t="n">
        <v>3</v>
      </c>
      <c r="N176" t="n">
        <v>1</v>
      </c>
      <c r="O176" t="inlineStr">
        <is>
          <t>Ready</t>
        </is>
      </c>
      <c r="P176" t="inlineStr">
        <is>
          <t>operator</t>
        </is>
      </c>
      <c r="R176" t="inlineStr">
        <is>
          <t>Y</t>
        </is>
      </c>
      <c r="S176" t="inlineStr">
        <is>
          <t>COL-MH-DC-002-2</t>
        </is>
      </c>
      <c r="T176" t="inlineStr">
        <is>
          <t>N</t>
        </is>
      </c>
    </row>
    <row r="177">
      <c r="A177" t="inlineStr">
        <is>
          <t>MH-DC-002-ACS-01</t>
        </is>
      </c>
      <c r="B177" t="inlineStr">
        <is>
          <t>MH-DC-002</t>
        </is>
      </c>
      <c r="C177" t="inlineStr">
        <is>
          <t>MH-DC-002-ACS-01</t>
        </is>
      </c>
      <c r="D177" t="inlineStr">
        <is>
          <t>Server</t>
        </is>
      </c>
      <c r="E177" t="inlineStr">
        <is>
          <t>access</t>
        </is>
      </c>
      <c r="F177" t="inlineStr">
        <is>
          <t>SUPERMICRO</t>
        </is>
      </c>
      <c r="G177" t="inlineStr">
        <is>
          <t>SYS-120U-TNR</t>
        </is>
      </c>
      <c r="H177" t="inlineStr">
        <is>
          <t>Ubuntu 20.04</t>
        </is>
      </c>
      <c r="I177" t="inlineStr">
        <is>
          <t>SM0011397</t>
        </is>
      </c>
      <c r="J177" t="inlineStr">
        <is>
          <t>172.25.40.76</t>
        </is>
      </c>
      <c r="K177" t="inlineStr">
        <is>
          <t>A4:5E:60:8A:08:08</t>
        </is>
      </c>
      <c r="L177" t="inlineStr">
        <is>
          <t>MH-DC-002-RACK-K</t>
        </is>
      </c>
      <c r="M177" t="n">
        <v>4</v>
      </c>
      <c r="N177" t="n">
        <v>1</v>
      </c>
      <c r="O177" t="inlineStr">
        <is>
          <t>Ready</t>
        </is>
      </c>
      <c r="P177" t="inlineStr">
        <is>
          <t>operator</t>
        </is>
      </c>
      <c r="R177" t="inlineStr">
        <is>
          <t>Y</t>
        </is>
      </c>
      <c r="S177" t="inlineStr">
        <is>
          <t>COL-MH-DC-002-2</t>
        </is>
      </c>
      <c r="T177" t="inlineStr">
        <is>
          <t>N</t>
        </is>
      </c>
    </row>
    <row r="178">
      <c r="A178" t="inlineStr">
        <is>
          <t>MH-DC-002-NVR-01</t>
        </is>
      </c>
      <c r="B178" t="inlineStr">
        <is>
          <t>MH-DC-002</t>
        </is>
      </c>
      <c r="C178" t="inlineStr">
        <is>
          <t>MH-DC-002-NVR-01</t>
        </is>
      </c>
      <c r="D178" t="inlineStr">
        <is>
          <t>Server</t>
        </is>
      </c>
      <c r="E178" t="inlineStr">
        <is>
          <t>access</t>
        </is>
      </c>
      <c r="F178" t="inlineStr">
        <is>
          <t>DELL</t>
        </is>
      </c>
      <c r="G178" t="inlineStr">
        <is>
          <t>PowerEdge R760</t>
        </is>
      </c>
      <c r="H178" t="inlineStr">
        <is>
          <t>ESXi 8.0u2</t>
        </is>
      </c>
      <c r="I178" t="inlineStr">
        <is>
          <t>DL0011403</t>
        </is>
      </c>
      <c r="J178" t="inlineStr">
        <is>
          <t>172.25.40.77</t>
        </is>
      </c>
      <c r="K178" t="inlineStr">
        <is>
          <t>A4:5E:60:4D:49:3D</t>
        </is>
      </c>
      <c r="L178" t="inlineStr">
        <is>
          <t>MH-DC-002-RACK-K</t>
        </is>
      </c>
      <c r="M178" t="n">
        <v>5</v>
      </c>
      <c r="N178" t="n">
        <v>2</v>
      </c>
      <c r="O178" t="inlineStr">
        <is>
          <t>Ready</t>
        </is>
      </c>
      <c r="P178" t="inlineStr">
        <is>
          <t>operator</t>
        </is>
      </c>
      <c r="R178" t="inlineStr">
        <is>
          <t>Y</t>
        </is>
      </c>
      <c r="S178" t="inlineStr">
        <is>
          <t>COL-MH-DC-002-1</t>
        </is>
      </c>
      <c r="T178" t="inlineStr">
        <is>
          <t>N</t>
        </is>
      </c>
    </row>
    <row r="179">
      <c r="A179" t="inlineStr">
        <is>
          <t>MH-DC-002-JMP-01</t>
        </is>
      </c>
      <c r="B179" t="inlineStr">
        <is>
          <t>MH-DC-002</t>
        </is>
      </c>
      <c r="C179" t="inlineStr">
        <is>
          <t>MH-DC-002-JMP-01</t>
        </is>
      </c>
      <c r="D179" t="inlineStr">
        <is>
          <t>Server</t>
        </is>
      </c>
      <c r="E179" t="inlineStr">
        <is>
          <t>access</t>
        </is>
      </c>
      <c r="F179" t="inlineStr">
        <is>
          <t>HPE</t>
        </is>
      </c>
      <c r="G179" t="inlineStr">
        <is>
          <t>ProLiant DL380 Gen11</t>
        </is>
      </c>
      <c r="H179" t="inlineStr">
        <is>
          <t>RHEL 9.3</t>
        </is>
      </c>
      <c r="I179" t="inlineStr">
        <is>
          <t>HP0011412</t>
        </is>
      </c>
      <c r="J179" t="inlineStr">
        <is>
          <t>172.25.40.78</t>
        </is>
      </c>
      <c r="K179" t="inlineStr">
        <is>
          <t>A4:5E:60:69:32:87</t>
        </is>
      </c>
      <c r="L179" t="inlineStr">
        <is>
          <t>MH-DC-002-RACK-K</t>
        </is>
      </c>
      <c r="M179" t="n">
        <v>7</v>
      </c>
      <c r="N179" t="n">
        <v>1</v>
      </c>
      <c r="O179" t="inlineStr">
        <is>
          <t>Ready</t>
        </is>
      </c>
      <c r="P179" t="inlineStr">
        <is>
          <t>operator</t>
        </is>
      </c>
      <c r="R179" t="inlineStr">
        <is>
          <t>Y</t>
        </is>
      </c>
      <c r="S179" t="inlineStr">
        <is>
          <t>COL-MH-DC-002-2</t>
        </is>
      </c>
      <c r="T179" t="inlineStr">
        <is>
          <t>N</t>
        </is>
      </c>
    </row>
    <row r="180">
      <c r="A180" t="inlineStr">
        <is>
          <t>MH-DC-002-BKP-01</t>
        </is>
      </c>
      <c r="B180" t="inlineStr">
        <is>
          <t>MH-DC-002</t>
        </is>
      </c>
      <c r="C180" t="inlineStr">
        <is>
          <t>MH-DC-002-BKP-01</t>
        </is>
      </c>
      <c r="D180" t="inlineStr">
        <is>
          <t>Server</t>
        </is>
      </c>
      <c r="E180" t="inlineStr">
        <is>
          <t>access</t>
        </is>
      </c>
      <c r="F180" t="inlineStr">
        <is>
          <t>HPE</t>
        </is>
      </c>
      <c r="G180" t="inlineStr">
        <is>
          <t>ProLiant DL380 Gen11</t>
        </is>
      </c>
      <c r="H180" t="inlineStr">
        <is>
          <t>RHEL 9.3</t>
        </is>
      </c>
      <c r="I180" t="inlineStr">
        <is>
          <t>HP0011414</t>
        </is>
      </c>
      <c r="J180" t="inlineStr">
        <is>
          <t>172.25.40.79</t>
        </is>
      </c>
      <c r="K180" t="inlineStr">
        <is>
          <t>A4:5E:60:B3:E9:22</t>
        </is>
      </c>
      <c r="L180" t="inlineStr">
        <is>
          <t>MH-DC-002-RACK-K</t>
        </is>
      </c>
      <c r="M180" t="n">
        <v>8</v>
      </c>
      <c r="N180" t="n">
        <v>2</v>
      </c>
      <c r="O180" t="inlineStr">
        <is>
          <t>Ready</t>
        </is>
      </c>
      <c r="P180" t="inlineStr">
        <is>
          <t>operator</t>
        </is>
      </c>
      <c r="R180" t="inlineStr">
        <is>
          <t>Y</t>
        </is>
      </c>
      <c r="S180" t="inlineStr">
        <is>
          <t>COL-MH-DC-002-2</t>
        </is>
      </c>
      <c r="T180" t="inlineStr">
        <is>
          <t>N</t>
        </is>
      </c>
    </row>
    <row r="181">
      <c r="A181" t="inlineStr">
        <is>
          <t>MH-DC-002-DCIM-01</t>
        </is>
      </c>
      <c r="B181" t="inlineStr">
        <is>
          <t>MH-DC-002</t>
        </is>
      </c>
      <c r="C181" t="inlineStr">
        <is>
          <t>MH-DC-002-DCIM-01</t>
        </is>
      </c>
      <c r="D181" t="inlineStr">
        <is>
          <t>Server</t>
        </is>
      </c>
      <c r="E181" t="inlineStr">
        <is>
          <t>access</t>
        </is>
      </c>
      <c r="F181" t="inlineStr">
        <is>
          <t>HPE</t>
        </is>
      </c>
      <c r="G181" t="inlineStr">
        <is>
          <t>ProLiant DL380 Gen11</t>
        </is>
      </c>
      <c r="H181" t="inlineStr">
        <is>
          <t>RHEL 9.3</t>
        </is>
      </c>
      <c r="I181" t="inlineStr">
        <is>
          <t>HP0011421</t>
        </is>
      </c>
      <c r="J181" t="inlineStr">
        <is>
          <t>172.25.40.80</t>
        </is>
      </c>
      <c r="K181" t="inlineStr">
        <is>
          <t>A4:5E:60:E1:15:4B</t>
        </is>
      </c>
      <c r="L181" t="inlineStr">
        <is>
          <t>MH-DC-002-RACK-K</t>
        </is>
      </c>
      <c r="M181" t="n">
        <v>10</v>
      </c>
      <c r="N181" t="n">
        <v>1</v>
      </c>
      <c r="O181" t="inlineStr">
        <is>
          <t>Ready</t>
        </is>
      </c>
      <c r="P181" t="inlineStr">
        <is>
          <t>operator</t>
        </is>
      </c>
      <c r="R181" t="inlineStr">
        <is>
          <t>Y</t>
        </is>
      </c>
      <c r="S181" t="inlineStr">
        <is>
          <t>COL-MH-DC-002-2</t>
        </is>
      </c>
      <c r="T181" t="inlineStr">
        <is>
          <t>N</t>
        </is>
      </c>
    </row>
    <row r="182">
      <c r="A182" t="inlineStr">
        <is>
          <t>MH-DC-002-DCIM-02</t>
        </is>
      </c>
      <c r="B182" t="inlineStr">
        <is>
          <t>MH-DC-002</t>
        </is>
      </c>
      <c r="C182" t="inlineStr">
        <is>
          <t>MH-DC-002-DCIM-02</t>
        </is>
      </c>
      <c r="D182" t="inlineStr">
        <is>
          <t>Server</t>
        </is>
      </c>
      <c r="E182" t="inlineStr">
        <is>
          <t>access</t>
        </is>
      </c>
      <c r="F182" t="inlineStr">
        <is>
          <t>SUPERMICRO</t>
        </is>
      </c>
      <c r="G182" t="inlineStr">
        <is>
          <t>SYS-121H</t>
        </is>
      </c>
      <c r="H182" t="inlineStr">
        <is>
          <t>Ubuntu 22.04</t>
        </is>
      </c>
      <c r="I182" t="inlineStr">
        <is>
          <t>SM0011433</t>
        </is>
      </c>
      <c r="J182" t="inlineStr">
        <is>
          <t>172.25.40.81</t>
        </is>
      </c>
      <c r="K182" t="inlineStr">
        <is>
          <t>A4:5E:60:2B:DA:2C</t>
        </is>
      </c>
      <c r="L182" t="inlineStr">
        <is>
          <t>MH-DC-002-RACK-K</t>
        </is>
      </c>
      <c r="M182" t="n">
        <v>11</v>
      </c>
      <c r="N182" t="n">
        <v>1</v>
      </c>
      <c r="O182" t="inlineStr">
        <is>
          <t>Ready</t>
        </is>
      </c>
      <c r="P182" t="inlineStr">
        <is>
          <t>operator</t>
        </is>
      </c>
      <c r="R182" t="inlineStr">
        <is>
          <t>Y</t>
        </is>
      </c>
      <c r="S182" t="inlineStr">
        <is>
          <t>COL-MH-DC-002-1</t>
        </is>
      </c>
      <c r="T182" t="inlineStr">
        <is>
          <t>N</t>
        </is>
      </c>
    </row>
    <row r="183">
      <c r="A183" t="inlineStr">
        <is>
          <t>MH-DC-002-MON-01</t>
        </is>
      </c>
      <c r="B183" t="inlineStr">
        <is>
          <t>MH-DC-002</t>
        </is>
      </c>
      <c r="C183" t="inlineStr">
        <is>
          <t>MH-DC-002-MON-01</t>
        </is>
      </c>
      <c r="D183" t="inlineStr">
        <is>
          <t>Server</t>
        </is>
      </c>
      <c r="E183" t="inlineStr">
        <is>
          <t>access</t>
        </is>
      </c>
      <c r="F183" t="inlineStr">
        <is>
          <t>SUPERMICRO</t>
        </is>
      </c>
      <c r="G183" t="inlineStr">
        <is>
          <t>SYS-121H</t>
        </is>
      </c>
      <c r="H183" t="inlineStr">
        <is>
          <t>Ubuntu 22.04</t>
        </is>
      </c>
      <c r="I183" t="inlineStr">
        <is>
          <t>SM0011438</t>
        </is>
      </c>
      <c r="J183" t="inlineStr">
        <is>
          <t>172.25.40.82</t>
        </is>
      </c>
      <c r="K183" t="inlineStr">
        <is>
          <t>A4:5E:60:F9:7D:B9</t>
        </is>
      </c>
      <c r="L183" t="inlineStr">
        <is>
          <t>MH-DC-002-RACK-K</t>
        </is>
      </c>
      <c r="M183" t="n">
        <v>12</v>
      </c>
      <c r="N183" t="n">
        <v>1</v>
      </c>
      <c r="O183" t="inlineStr">
        <is>
          <t>Ready</t>
        </is>
      </c>
      <c r="P183" t="inlineStr">
        <is>
          <t>operator</t>
        </is>
      </c>
      <c r="R183" t="inlineStr">
        <is>
          <t>Y</t>
        </is>
      </c>
      <c r="S183" t="inlineStr">
        <is>
          <t>COL-MH-DC-002-1</t>
        </is>
      </c>
      <c r="T183" t="inlineStr">
        <is>
          <t>N</t>
        </is>
      </c>
    </row>
    <row r="184">
      <c r="A184" t="inlineStr">
        <is>
          <t>MH-DC-002-MON-02</t>
        </is>
      </c>
      <c r="B184" t="inlineStr">
        <is>
          <t>MH-DC-002</t>
        </is>
      </c>
      <c r="C184" t="inlineStr">
        <is>
          <t>MH-DC-002-MON-02</t>
        </is>
      </c>
      <c r="D184" t="inlineStr">
        <is>
          <t>Server</t>
        </is>
      </c>
      <c r="E184" t="inlineStr">
        <is>
          <t>access</t>
        </is>
      </c>
      <c r="F184" t="inlineStr">
        <is>
          <t>DELL</t>
        </is>
      </c>
      <c r="G184" t="inlineStr">
        <is>
          <t>PowerEdge R760</t>
        </is>
      </c>
      <c r="H184" t="inlineStr">
        <is>
          <t>ESXi 8.0u2</t>
        </is>
      </c>
      <c r="I184" t="inlineStr">
        <is>
          <t>DL0011443</t>
        </is>
      </c>
      <c r="J184" t="inlineStr">
        <is>
          <t>172.25.40.83</t>
        </is>
      </c>
      <c r="K184" t="inlineStr">
        <is>
          <t>A4:5E:60:EF:A9:35</t>
        </is>
      </c>
      <c r="L184" t="inlineStr">
        <is>
          <t>MH-DC-002-RACK-K</t>
        </is>
      </c>
      <c r="M184" t="n">
        <v>13</v>
      </c>
      <c r="N184" t="n">
        <v>1</v>
      </c>
      <c r="O184" t="inlineStr">
        <is>
          <t>Ready</t>
        </is>
      </c>
      <c r="P184" t="inlineStr">
        <is>
          <t>operator</t>
        </is>
      </c>
      <c r="R184" t="inlineStr">
        <is>
          <t>Y</t>
        </is>
      </c>
      <c r="S184" t="inlineStr">
        <is>
          <t>COL-MH-DC-002-2</t>
        </is>
      </c>
      <c r="T184" t="inlineStr">
        <is>
          <t>N</t>
        </is>
      </c>
    </row>
  </sheetData>
  <autoFilter ref="A1:T184"/>
  <dataValidations count="6">
    <dataValidation sqref="D2:D2000" showDropDown="0" showInputMessage="0" showErrorMessage="1" allowBlank="1" errorTitle="Not an allowed value" error="Pick a value from the list (Lookups → device_role)." type="list">
      <formula1>=L_device_role</formula1>
    </dataValidation>
    <dataValidation sqref="E2:E2000" showDropDown="0" showInputMessage="0" showErrorMessage="1" allowBlank="1" errorTitle="Not an allowed value" error="Pick a value from the list (Lookups → layer)." type="list">
      <formula1>=L_layer</formula1>
    </dataValidation>
    <dataValidation sqref="O2:O2000" showDropDown="0" showInputMessage="0" showErrorMessage="1" allowBlank="1" errorTitle="Not an allowed value" error="Pick a value from the list (Lookups → lifecycle)." type="list">
      <formula1>=L_lifecycle</formula1>
    </dataValidation>
    <dataValidation sqref="P2:P2000" showDropDown="0" showInputMessage="0" showErrorMessage="1" allowBlank="1" errorTitle="Not an allowed value" error="Pick a value from the list (Lookups → owner)." type="list">
      <formula1>=L_owner</formula1>
    </dataValidation>
    <dataValidation sqref="R2:R2000" showDropDown="0" showInputMessage="0" showErrorMessage="1" allowBlank="1" errorTitle="Not an allowed value" error="Pick a value from the list (Lookups → yes_no)." type="list">
      <formula1>=L_yes_no</formula1>
    </dataValidation>
    <dataValidation sqref="T2:T2000" showDropDown="0" showInputMessage="0" showErrorMessage="1" allowBlank="1" errorTitle="Not an allowed value" error="Pick a value from the list (Lookups → yes_no)." type="list">
      <formula1>=L_yes_no</formula1>
    </dataValidation>
  </dataValidation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tabColor rgb="002E6BD9"/>
    <outlinePr summaryBelow="1" summaryRight="1"/>
    <pageSetUpPr/>
  </sheetPr>
  <dimension ref="A1:D30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1" customWidth="1" min="1" max="1"/>
    <col width="10" customWidth="1" min="2" max="2"/>
    <col width="17" customWidth="1" min="3" max="3"/>
    <col width="15" customWidth="1" min="4" max="4"/>
  </cols>
  <sheetData>
    <row r="1" ht="30" customHeight="1">
      <c r="A1" s="16" t="inlineStr">
        <is>
          <t>device_id *</t>
        </is>
      </c>
      <c r="B1" s="16" t="inlineStr">
        <is>
          <t>slot *</t>
        </is>
      </c>
      <c r="C1" s="16" t="inlineStr">
        <is>
          <t>name *</t>
        </is>
      </c>
      <c r="D1" s="17" t="inlineStr">
        <is>
          <t>serial</t>
        </is>
      </c>
    </row>
    <row r="2">
      <c r="A2" t="inlineStr">
        <is>
          <t>MH-DC-001-PE-T4-01</t>
        </is>
      </c>
      <c r="B2" t="inlineStr">
        <is>
          <t>RE0</t>
        </is>
      </c>
      <c r="C2" t="inlineStr">
        <is>
          <t>Routing Engine</t>
        </is>
      </c>
      <c r="D2" t="inlineStr">
        <is>
          <t>JU0011000-RE0</t>
        </is>
      </c>
    </row>
    <row r="3">
      <c r="A3" t="inlineStr">
        <is>
          <t>MH-DC-001-PE-T4-01</t>
        </is>
      </c>
      <c r="B3" t="inlineStr">
        <is>
          <t>FPC0</t>
        </is>
      </c>
      <c r="C3" t="inlineStr">
        <is>
          <t>MPC (fixed)</t>
        </is>
      </c>
      <c r="D3" t="inlineStr">
        <is>
          <t>JU0011000-F0</t>
        </is>
      </c>
    </row>
    <row r="4">
      <c r="A4" t="inlineStr">
        <is>
          <t>MH-DC-001-PE-T4-01</t>
        </is>
      </c>
      <c r="B4" t="inlineStr">
        <is>
          <t>PEM0</t>
        </is>
      </c>
      <c r="C4" t="inlineStr">
        <is>
          <t>Power supply AC</t>
        </is>
      </c>
      <c r="D4" t="inlineStr">
        <is>
          <t>JU0011000-P0</t>
        </is>
      </c>
    </row>
    <row r="5">
      <c r="A5" t="inlineStr">
        <is>
          <t>MH-DC-001-PE-T4-01</t>
        </is>
      </c>
      <c r="B5" t="inlineStr">
        <is>
          <t>PEM1</t>
        </is>
      </c>
      <c r="C5" t="inlineStr">
        <is>
          <t>Power supply AC</t>
        </is>
      </c>
      <c r="D5" t="inlineStr">
        <is>
          <t>JU0011000-P1</t>
        </is>
      </c>
    </row>
    <row r="6">
      <c r="A6" t="inlineStr">
        <is>
          <t>MH-DC-001-PE-T4-01</t>
        </is>
      </c>
      <c r="B6" t="inlineStr">
        <is>
          <t>FAN0</t>
        </is>
      </c>
      <c r="C6" t="inlineStr">
        <is>
          <t>Fan tray</t>
        </is>
      </c>
      <c r="D6" t="inlineStr">
        <is>
          <t>JU0011000-FT</t>
        </is>
      </c>
    </row>
    <row r="7">
      <c r="A7" t="inlineStr">
        <is>
          <t>MH-DC-001-PE-T4-02</t>
        </is>
      </c>
      <c r="B7" t="inlineStr">
        <is>
          <t>RE0</t>
        </is>
      </c>
      <c r="C7" t="inlineStr">
        <is>
          <t>Routing Engine</t>
        </is>
      </c>
      <c r="D7" t="inlineStr">
        <is>
          <t>JU0011012-RE0</t>
        </is>
      </c>
    </row>
    <row r="8">
      <c r="A8" t="inlineStr">
        <is>
          <t>MH-DC-001-PE-T4-02</t>
        </is>
      </c>
      <c r="B8" t="inlineStr">
        <is>
          <t>FPC0</t>
        </is>
      </c>
      <c r="C8" t="inlineStr">
        <is>
          <t>MPC (fixed)</t>
        </is>
      </c>
      <c r="D8" t="inlineStr">
        <is>
          <t>JU0011012-F0</t>
        </is>
      </c>
    </row>
    <row r="9">
      <c r="A9" t="inlineStr">
        <is>
          <t>MH-DC-001-PE-T4-02</t>
        </is>
      </c>
      <c r="B9" t="inlineStr">
        <is>
          <t>PEM0</t>
        </is>
      </c>
      <c r="C9" t="inlineStr">
        <is>
          <t>Power supply AC</t>
        </is>
      </c>
      <c r="D9" t="inlineStr">
        <is>
          <t>JU0011012-P0</t>
        </is>
      </c>
    </row>
    <row r="10">
      <c r="A10" t="inlineStr">
        <is>
          <t>MH-DC-001-PE-T4-02</t>
        </is>
      </c>
      <c r="B10" t="inlineStr">
        <is>
          <t>PEM1</t>
        </is>
      </c>
      <c r="C10" t="inlineStr">
        <is>
          <t>Power supply AC</t>
        </is>
      </c>
      <c r="D10" t="inlineStr">
        <is>
          <t>JU0011012-P1</t>
        </is>
      </c>
    </row>
    <row r="11">
      <c r="A11" t="inlineStr">
        <is>
          <t>MH-DC-001-PE-T4-02</t>
        </is>
      </c>
      <c r="B11" t="inlineStr">
        <is>
          <t>FAN0</t>
        </is>
      </c>
      <c r="C11" t="inlineStr">
        <is>
          <t>Fan tray</t>
        </is>
      </c>
      <c r="D11" t="inlineStr">
        <is>
          <t>JU0011012-FT</t>
        </is>
      </c>
    </row>
    <row r="12">
      <c r="A12" t="inlineStr">
        <is>
          <t>MH-DC-001-PE-T4-03</t>
        </is>
      </c>
      <c r="B12" t="inlineStr">
        <is>
          <t>RE0</t>
        </is>
      </c>
      <c r="C12" t="inlineStr">
        <is>
          <t>Routing Engine</t>
        </is>
      </c>
      <c r="D12" t="inlineStr">
        <is>
          <t>CS0011018-RE0</t>
        </is>
      </c>
    </row>
    <row r="13">
      <c r="A13" t="inlineStr">
        <is>
          <t>MH-DC-001-PE-T4-03</t>
        </is>
      </c>
      <c r="B13" t="inlineStr">
        <is>
          <t>FPC0</t>
        </is>
      </c>
      <c r="C13" t="inlineStr">
        <is>
          <t>MPC7E-MRATE</t>
        </is>
      </c>
      <c r="D13" t="inlineStr">
        <is>
          <t>CS0011018-F0</t>
        </is>
      </c>
    </row>
    <row r="14">
      <c r="A14" t="inlineStr">
        <is>
          <t>MH-DC-001-PE-T4-03</t>
        </is>
      </c>
      <c r="B14" t="inlineStr">
        <is>
          <t>PEM0</t>
        </is>
      </c>
      <c r="C14" t="inlineStr">
        <is>
          <t>Power supply AC</t>
        </is>
      </c>
      <c r="D14" t="inlineStr">
        <is>
          <t>CS0011018-P0</t>
        </is>
      </c>
    </row>
    <row r="15">
      <c r="A15" t="inlineStr">
        <is>
          <t>MH-DC-001-PE-T4-03</t>
        </is>
      </c>
      <c r="B15" t="inlineStr">
        <is>
          <t>PEM1</t>
        </is>
      </c>
      <c r="C15" t="inlineStr">
        <is>
          <t>Power supply AC</t>
        </is>
      </c>
      <c r="D15" t="inlineStr">
        <is>
          <t>CS0011018-P1</t>
        </is>
      </c>
    </row>
    <row r="16">
      <c r="A16" t="inlineStr">
        <is>
          <t>MH-DC-001-PE-T4-03</t>
        </is>
      </c>
      <c r="B16" t="inlineStr">
        <is>
          <t>FAN0</t>
        </is>
      </c>
      <c r="C16" t="inlineStr">
        <is>
          <t>Fan tray</t>
        </is>
      </c>
      <c r="D16" t="inlineStr">
        <is>
          <t>CS0011018-FT</t>
        </is>
      </c>
    </row>
    <row r="17">
      <c r="A17" t="inlineStr">
        <is>
          <t>MH-DC-001-PE-T4-04</t>
        </is>
      </c>
      <c r="B17" t="inlineStr">
        <is>
          <t>RE0</t>
        </is>
      </c>
      <c r="C17" t="inlineStr">
        <is>
          <t>Routing Engine</t>
        </is>
      </c>
      <c r="D17" t="inlineStr">
        <is>
          <t>CS0011027-RE0</t>
        </is>
      </c>
    </row>
    <row r="18">
      <c r="A18" t="inlineStr">
        <is>
          <t>MH-DC-001-PE-T4-04</t>
        </is>
      </c>
      <c r="B18" t="inlineStr">
        <is>
          <t>FPC0</t>
        </is>
      </c>
      <c r="C18" t="inlineStr">
        <is>
          <t>MPC7E-MRATE</t>
        </is>
      </c>
      <c r="D18" t="inlineStr">
        <is>
          <t>CS0011027-F0</t>
        </is>
      </c>
    </row>
    <row r="19">
      <c r="A19" t="inlineStr">
        <is>
          <t>MH-DC-001-PE-T4-04</t>
        </is>
      </c>
      <c r="B19" t="inlineStr">
        <is>
          <t>PEM0</t>
        </is>
      </c>
      <c r="C19" t="inlineStr">
        <is>
          <t>Power supply AC</t>
        </is>
      </c>
      <c r="D19" t="inlineStr">
        <is>
          <t>CS0011027-P0</t>
        </is>
      </c>
    </row>
    <row r="20">
      <c r="A20" t="inlineStr">
        <is>
          <t>MH-DC-001-PE-T4-04</t>
        </is>
      </c>
      <c r="B20" t="inlineStr">
        <is>
          <t>PEM1</t>
        </is>
      </c>
      <c r="C20" t="inlineStr">
        <is>
          <t>Power supply AC</t>
        </is>
      </c>
      <c r="D20" t="inlineStr">
        <is>
          <t>CS0011027-P1</t>
        </is>
      </c>
    </row>
    <row r="21">
      <c r="A21" t="inlineStr">
        <is>
          <t>MH-DC-001-PE-T4-04</t>
        </is>
      </c>
      <c r="B21" t="inlineStr">
        <is>
          <t>FAN0</t>
        </is>
      </c>
      <c r="C21" t="inlineStr">
        <is>
          <t>Fan tray</t>
        </is>
      </c>
      <c r="D21" t="inlineStr">
        <is>
          <t>CS0011027-FT</t>
        </is>
      </c>
    </row>
    <row r="22">
      <c r="A22" t="inlineStr">
        <is>
          <t>MH-DC-001-FW-01</t>
        </is>
      </c>
      <c r="B22" t="inlineStr">
        <is>
          <t>PSU1</t>
        </is>
      </c>
      <c r="C22" t="inlineStr">
        <is>
          <t>Power supply</t>
        </is>
      </c>
      <c r="D22" t="inlineStr">
        <is>
          <t>FG0011031-P1</t>
        </is>
      </c>
    </row>
    <row r="23">
      <c r="A23" t="inlineStr">
        <is>
          <t>MH-DC-001-FW-01</t>
        </is>
      </c>
      <c r="B23" t="inlineStr">
        <is>
          <t>PSU2</t>
        </is>
      </c>
      <c r="C23" t="inlineStr">
        <is>
          <t>Power supply</t>
        </is>
      </c>
      <c r="D23" t="inlineStr">
        <is>
          <t>FG0011031-P2</t>
        </is>
      </c>
    </row>
    <row r="24">
      <c r="A24" t="inlineStr">
        <is>
          <t>MH-DC-001-FW-01</t>
        </is>
      </c>
      <c r="B24" t="inlineStr">
        <is>
          <t>FAN</t>
        </is>
      </c>
      <c r="C24" t="inlineStr">
        <is>
          <t>Fan module</t>
        </is>
      </c>
      <c r="D24" t="inlineStr">
        <is>
          <t>FG0011031-FN</t>
        </is>
      </c>
    </row>
    <row r="25">
      <c r="A25" t="inlineStr">
        <is>
          <t>MH-DC-001-FW-02</t>
        </is>
      </c>
      <c r="B25" t="inlineStr">
        <is>
          <t>PSU1</t>
        </is>
      </c>
      <c r="C25" t="inlineStr">
        <is>
          <t>Power supply</t>
        </is>
      </c>
      <c r="D25" t="inlineStr">
        <is>
          <t>FG0011035-P1</t>
        </is>
      </c>
    </row>
    <row r="26">
      <c r="A26" t="inlineStr">
        <is>
          <t>MH-DC-001-FW-02</t>
        </is>
      </c>
      <c r="B26" t="inlineStr">
        <is>
          <t>PSU2</t>
        </is>
      </c>
      <c r="C26" t="inlineStr">
        <is>
          <t>Power supply</t>
        </is>
      </c>
      <c r="D26" t="inlineStr">
        <is>
          <t>FG0011035-P2</t>
        </is>
      </c>
    </row>
    <row r="27">
      <c r="A27" t="inlineStr">
        <is>
          <t>MH-DC-001-FW-02</t>
        </is>
      </c>
      <c r="B27" t="inlineStr">
        <is>
          <t>FAN</t>
        </is>
      </c>
      <c r="C27" t="inlineStr">
        <is>
          <t>Fan module</t>
        </is>
      </c>
      <c r="D27" t="inlineStr">
        <is>
          <t>FG0011035-FN</t>
        </is>
      </c>
    </row>
    <row r="28">
      <c r="A28" t="inlineStr">
        <is>
          <t>MH-DC-001-OLA-01</t>
        </is>
      </c>
      <c r="B28" t="inlineStr">
        <is>
          <t>PSU1</t>
        </is>
      </c>
      <c r="C28" t="inlineStr">
        <is>
          <t>Power supply</t>
        </is>
      </c>
      <c r="D28" t="inlineStr">
        <is>
          <t>NK0011042-P1</t>
        </is>
      </c>
    </row>
    <row r="29">
      <c r="A29" t="inlineStr">
        <is>
          <t>MH-DC-001-OLA-01</t>
        </is>
      </c>
      <c r="B29" t="inlineStr">
        <is>
          <t>PSU2</t>
        </is>
      </c>
      <c r="C29" t="inlineStr">
        <is>
          <t>Power supply</t>
        </is>
      </c>
      <c r="D29" t="inlineStr">
        <is>
          <t>NK0011042-P2</t>
        </is>
      </c>
    </row>
    <row r="30">
      <c r="A30" t="inlineStr">
        <is>
          <t>MH-DC-001-OLA-01</t>
        </is>
      </c>
      <c r="B30" t="inlineStr">
        <is>
          <t>FAN</t>
        </is>
      </c>
      <c r="C30" t="inlineStr">
        <is>
          <t>Fan module</t>
        </is>
      </c>
      <c r="D30" t="inlineStr">
        <is>
          <t>NK0011042-FN</t>
        </is>
      </c>
    </row>
    <row r="31">
      <c r="A31" t="inlineStr">
        <is>
          <t>MH-DC-001-OLA-02</t>
        </is>
      </c>
      <c r="B31" t="inlineStr">
        <is>
          <t>PSU1</t>
        </is>
      </c>
      <c r="C31" t="inlineStr">
        <is>
          <t>Power supply</t>
        </is>
      </c>
      <c r="D31" t="inlineStr">
        <is>
          <t>NK0011055-P1</t>
        </is>
      </c>
    </row>
    <row r="32">
      <c r="A32" t="inlineStr">
        <is>
          <t>MH-DC-001-OLA-02</t>
        </is>
      </c>
      <c r="B32" t="inlineStr">
        <is>
          <t>PSU2</t>
        </is>
      </c>
      <c r="C32" t="inlineStr">
        <is>
          <t>Power supply</t>
        </is>
      </c>
      <c r="D32" t="inlineStr">
        <is>
          <t>NK0011055-P2</t>
        </is>
      </c>
    </row>
    <row r="33">
      <c r="A33" t="inlineStr">
        <is>
          <t>MH-DC-001-OLA-02</t>
        </is>
      </c>
      <c r="B33" t="inlineStr">
        <is>
          <t>FAN</t>
        </is>
      </c>
      <c r="C33" t="inlineStr">
        <is>
          <t>Fan module</t>
        </is>
      </c>
      <c r="D33" t="inlineStr">
        <is>
          <t>NK0011055-FN</t>
        </is>
      </c>
    </row>
    <row r="34">
      <c r="A34" t="inlineStr">
        <is>
          <t>MH-DC-001-AGG-R01</t>
        </is>
      </c>
      <c r="B34" t="inlineStr">
        <is>
          <t>RE0</t>
        </is>
      </c>
      <c r="C34" t="inlineStr">
        <is>
          <t>Routing Engine</t>
        </is>
      </c>
      <c r="D34" t="inlineStr">
        <is>
          <t>JU0011062-RE0</t>
        </is>
      </c>
    </row>
    <row r="35">
      <c r="A35" t="inlineStr">
        <is>
          <t>MH-DC-001-AGG-R01</t>
        </is>
      </c>
      <c r="B35" t="inlineStr">
        <is>
          <t>FPC0</t>
        </is>
      </c>
      <c r="C35" t="inlineStr">
        <is>
          <t>MPC7E-MRATE</t>
        </is>
      </c>
      <c r="D35" t="inlineStr">
        <is>
          <t>JU0011062-F0</t>
        </is>
      </c>
    </row>
    <row r="36">
      <c r="A36" t="inlineStr">
        <is>
          <t>MH-DC-001-AGG-R01</t>
        </is>
      </c>
      <c r="B36" t="inlineStr">
        <is>
          <t>PEM0</t>
        </is>
      </c>
      <c r="C36" t="inlineStr">
        <is>
          <t>Power supply AC</t>
        </is>
      </c>
      <c r="D36" t="inlineStr">
        <is>
          <t>JU0011062-P0</t>
        </is>
      </c>
    </row>
    <row r="37">
      <c r="A37" t="inlineStr">
        <is>
          <t>MH-DC-001-AGG-R01</t>
        </is>
      </c>
      <c r="B37" t="inlineStr">
        <is>
          <t>PEM1</t>
        </is>
      </c>
      <c r="C37" t="inlineStr">
        <is>
          <t>Power supply AC</t>
        </is>
      </c>
      <c r="D37" t="inlineStr">
        <is>
          <t>JU0011062-P1</t>
        </is>
      </c>
    </row>
    <row r="38">
      <c r="A38" t="inlineStr">
        <is>
          <t>MH-DC-001-AGG-R01</t>
        </is>
      </c>
      <c r="B38" t="inlineStr">
        <is>
          <t>FAN0</t>
        </is>
      </c>
      <c r="C38" t="inlineStr">
        <is>
          <t>Fan tray</t>
        </is>
      </c>
      <c r="D38" t="inlineStr">
        <is>
          <t>JU0011062-FT</t>
        </is>
      </c>
    </row>
    <row r="39">
      <c r="A39" t="inlineStr">
        <is>
          <t>MH-DC-001-AGG-R02</t>
        </is>
      </c>
      <c r="B39" t="inlineStr">
        <is>
          <t>RE0</t>
        </is>
      </c>
      <c r="C39" t="inlineStr">
        <is>
          <t>Routing Engine</t>
        </is>
      </c>
      <c r="D39" t="inlineStr">
        <is>
          <t>JU0011065-RE0</t>
        </is>
      </c>
    </row>
    <row r="40">
      <c r="A40" t="inlineStr">
        <is>
          <t>MH-DC-001-AGG-R02</t>
        </is>
      </c>
      <c r="B40" t="inlineStr">
        <is>
          <t>FPC0</t>
        </is>
      </c>
      <c r="C40" t="inlineStr">
        <is>
          <t>MPC7E-MRATE</t>
        </is>
      </c>
      <c r="D40" t="inlineStr">
        <is>
          <t>JU0011065-F0</t>
        </is>
      </c>
    </row>
    <row r="41">
      <c r="A41" t="inlineStr">
        <is>
          <t>MH-DC-001-AGG-R02</t>
        </is>
      </c>
      <c r="B41" t="inlineStr">
        <is>
          <t>PEM0</t>
        </is>
      </c>
      <c r="C41" t="inlineStr">
        <is>
          <t>Power supply AC</t>
        </is>
      </c>
      <c r="D41" t="inlineStr">
        <is>
          <t>JU0011065-P0</t>
        </is>
      </c>
    </row>
    <row r="42">
      <c r="A42" t="inlineStr">
        <is>
          <t>MH-DC-001-AGG-R02</t>
        </is>
      </c>
      <c r="B42" t="inlineStr">
        <is>
          <t>PEM1</t>
        </is>
      </c>
      <c r="C42" t="inlineStr">
        <is>
          <t>Power supply AC</t>
        </is>
      </c>
      <c r="D42" t="inlineStr">
        <is>
          <t>JU0011065-P1</t>
        </is>
      </c>
    </row>
    <row r="43">
      <c r="A43" t="inlineStr">
        <is>
          <t>MH-DC-001-AGG-R02</t>
        </is>
      </c>
      <c r="B43" t="inlineStr">
        <is>
          <t>FAN0</t>
        </is>
      </c>
      <c r="C43" t="inlineStr">
        <is>
          <t>Fan tray</t>
        </is>
      </c>
      <c r="D43" t="inlineStr">
        <is>
          <t>JU0011065-FT</t>
        </is>
      </c>
    </row>
    <row r="44">
      <c r="A44" t="inlineStr">
        <is>
          <t>MH-DC-001-AGG-R03</t>
        </is>
      </c>
      <c r="B44" t="inlineStr">
        <is>
          <t>RE0</t>
        </is>
      </c>
      <c r="C44" t="inlineStr">
        <is>
          <t>Routing Engine</t>
        </is>
      </c>
      <c r="D44" t="inlineStr">
        <is>
          <t>JU0011071-RE0</t>
        </is>
      </c>
    </row>
    <row r="45">
      <c r="A45" t="inlineStr">
        <is>
          <t>MH-DC-001-AGG-R03</t>
        </is>
      </c>
      <c r="B45" t="inlineStr">
        <is>
          <t>FPC0</t>
        </is>
      </c>
      <c r="C45" t="inlineStr">
        <is>
          <t>MPC7E-MRATE</t>
        </is>
      </c>
      <c r="D45" t="inlineStr">
        <is>
          <t>JU0011071-F0</t>
        </is>
      </c>
    </row>
    <row r="46">
      <c r="A46" t="inlineStr">
        <is>
          <t>MH-DC-001-AGG-R03</t>
        </is>
      </c>
      <c r="B46" t="inlineStr">
        <is>
          <t>PEM0</t>
        </is>
      </c>
      <c r="C46" t="inlineStr">
        <is>
          <t>Power supply AC</t>
        </is>
      </c>
      <c r="D46" t="inlineStr">
        <is>
          <t>JU0011071-P0</t>
        </is>
      </c>
    </row>
    <row r="47">
      <c r="A47" t="inlineStr">
        <is>
          <t>MH-DC-001-AGG-R03</t>
        </is>
      </c>
      <c r="B47" t="inlineStr">
        <is>
          <t>PEM1</t>
        </is>
      </c>
      <c r="C47" t="inlineStr">
        <is>
          <t>Power supply AC</t>
        </is>
      </c>
      <c r="D47" t="inlineStr">
        <is>
          <t>JU0011071-P1</t>
        </is>
      </c>
    </row>
    <row r="48">
      <c r="A48" t="inlineStr">
        <is>
          <t>MH-DC-001-AGG-R03</t>
        </is>
      </c>
      <c r="B48" t="inlineStr">
        <is>
          <t>FAN0</t>
        </is>
      </c>
      <c r="C48" t="inlineStr">
        <is>
          <t>Fan tray</t>
        </is>
      </c>
      <c r="D48" t="inlineStr">
        <is>
          <t>JU0011071-FT</t>
        </is>
      </c>
    </row>
    <row r="49">
      <c r="A49" t="inlineStr">
        <is>
          <t>MH-DC-001-MMR-SW-01</t>
        </is>
      </c>
      <c r="B49" t="inlineStr">
        <is>
          <t>PSU1</t>
        </is>
      </c>
      <c r="C49" t="inlineStr">
        <is>
          <t>Power supply</t>
        </is>
      </c>
      <c r="D49" t="inlineStr">
        <is>
          <t>JU0011080-P1</t>
        </is>
      </c>
    </row>
    <row r="50">
      <c r="A50" t="inlineStr">
        <is>
          <t>MH-DC-001-MMR-SW-01</t>
        </is>
      </c>
      <c r="B50" t="inlineStr">
        <is>
          <t>PSU2</t>
        </is>
      </c>
      <c r="C50" t="inlineStr">
        <is>
          <t>Power supply</t>
        </is>
      </c>
      <c r="D50" t="inlineStr">
        <is>
          <t>JU0011080-P2</t>
        </is>
      </c>
    </row>
    <row r="51">
      <c r="A51" t="inlineStr">
        <is>
          <t>MH-DC-001-MMR-SW-01</t>
        </is>
      </c>
      <c r="B51" t="inlineStr">
        <is>
          <t>FAN</t>
        </is>
      </c>
      <c r="C51" t="inlineStr">
        <is>
          <t>Fan module</t>
        </is>
      </c>
      <c r="D51" t="inlineStr">
        <is>
          <t>JU0011080-FN</t>
        </is>
      </c>
    </row>
    <row r="52">
      <c r="A52" t="inlineStr">
        <is>
          <t>MH-DC-001-MMR-SW-02</t>
        </is>
      </c>
      <c r="B52" t="inlineStr">
        <is>
          <t>PSU1</t>
        </is>
      </c>
      <c r="C52" t="inlineStr">
        <is>
          <t>Power supply</t>
        </is>
      </c>
      <c r="D52" t="inlineStr">
        <is>
          <t>CS0011089-P1</t>
        </is>
      </c>
    </row>
    <row r="53">
      <c r="A53" t="inlineStr">
        <is>
          <t>MH-DC-001-MMR-SW-02</t>
        </is>
      </c>
      <c r="B53" t="inlineStr">
        <is>
          <t>PSU2</t>
        </is>
      </c>
      <c r="C53" t="inlineStr">
        <is>
          <t>Power supply</t>
        </is>
      </c>
      <c r="D53" t="inlineStr">
        <is>
          <t>CS0011089-P2</t>
        </is>
      </c>
    </row>
    <row r="54">
      <c r="A54" t="inlineStr">
        <is>
          <t>MH-DC-001-MMR-SW-02</t>
        </is>
      </c>
      <c r="B54" t="inlineStr">
        <is>
          <t>FAN</t>
        </is>
      </c>
      <c r="C54" t="inlineStr">
        <is>
          <t>Fan module</t>
        </is>
      </c>
      <c r="D54" t="inlineStr">
        <is>
          <t>CS0011089-FN</t>
        </is>
      </c>
    </row>
    <row r="55">
      <c r="A55" t="inlineStr">
        <is>
          <t>MH-DC-001-MMR-SW-03</t>
        </is>
      </c>
      <c r="B55" t="inlineStr">
        <is>
          <t>PSU1</t>
        </is>
      </c>
      <c r="C55" t="inlineStr">
        <is>
          <t>Power supply</t>
        </is>
      </c>
      <c r="D55" t="inlineStr">
        <is>
          <t>CS0011092-P1</t>
        </is>
      </c>
    </row>
    <row r="56">
      <c r="A56" t="inlineStr">
        <is>
          <t>MH-DC-001-MMR-SW-03</t>
        </is>
      </c>
      <c r="B56" t="inlineStr">
        <is>
          <t>PSU2</t>
        </is>
      </c>
      <c r="C56" t="inlineStr">
        <is>
          <t>Power supply</t>
        </is>
      </c>
      <c r="D56" t="inlineStr">
        <is>
          <t>CS0011092-P2</t>
        </is>
      </c>
    </row>
    <row r="57">
      <c r="A57" t="inlineStr">
        <is>
          <t>MH-DC-001-MMR-SW-03</t>
        </is>
      </c>
      <c r="B57" t="inlineStr">
        <is>
          <t>FAN</t>
        </is>
      </c>
      <c r="C57" t="inlineStr">
        <is>
          <t>Fan module</t>
        </is>
      </c>
      <c r="D57" t="inlineStr">
        <is>
          <t>CS0011092-FN</t>
        </is>
      </c>
    </row>
    <row r="58">
      <c r="A58" t="inlineStr">
        <is>
          <t>MH-DC-001-MMR-SW-04</t>
        </is>
      </c>
      <c r="B58" t="inlineStr">
        <is>
          <t>PSU1</t>
        </is>
      </c>
      <c r="C58" t="inlineStr">
        <is>
          <t>Power supply</t>
        </is>
      </c>
      <c r="D58" t="inlineStr">
        <is>
          <t>CS0011102-P1</t>
        </is>
      </c>
    </row>
    <row r="59">
      <c r="A59" t="inlineStr">
        <is>
          <t>MH-DC-001-MMR-SW-04</t>
        </is>
      </c>
      <c r="B59" t="inlineStr">
        <is>
          <t>PSU2</t>
        </is>
      </c>
      <c r="C59" t="inlineStr">
        <is>
          <t>Power supply</t>
        </is>
      </c>
      <c r="D59" t="inlineStr">
        <is>
          <t>CS0011102-P2</t>
        </is>
      </c>
    </row>
    <row r="60">
      <c r="A60" t="inlineStr">
        <is>
          <t>MH-DC-001-MMR-SW-04</t>
        </is>
      </c>
      <c r="B60" t="inlineStr">
        <is>
          <t>FAN</t>
        </is>
      </c>
      <c r="C60" t="inlineStr">
        <is>
          <t>Fan module</t>
        </is>
      </c>
      <c r="D60" t="inlineStr">
        <is>
          <t>CS0011102-FN</t>
        </is>
      </c>
    </row>
    <row r="61">
      <c r="A61" t="inlineStr">
        <is>
          <t>MH-DC-001-MMR-SW-05</t>
        </is>
      </c>
      <c r="B61" t="inlineStr">
        <is>
          <t>PSU1</t>
        </is>
      </c>
      <c r="C61" t="inlineStr">
        <is>
          <t>Power supply</t>
        </is>
      </c>
      <c r="D61" t="inlineStr">
        <is>
          <t>JU0011111-P1</t>
        </is>
      </c>
    </row>
    <row r="62">
      <c r="A62" t="inlineStr">
        <is>
          <t>MH-DC-001-MMR-SW-05</t>
        </is>
      </c>
      <c r="B62" t="inlineStr">
        <is>
          <t>PSU2</t>
        </is>
      </c>
      <c r="C62" t="inlineStr">
        <is>
          <t>Power supply</t>
        </is>
      </c>
      <c r="D62" t="inlineStr">
        <is>
          <t>JU0011111-P2</t>
        </is>
      </c>
    </row>
    <row r="63">
      <c r="A63" t="inlineStr">
        <is>
          <t>MH-DC-001-MMR-SW-05</t>
        </is>
      </c>
      <c r="B63" t="inlineStr">
        <is>
          <t>FAN</t>
        </is>
      </c>
      <c r="C63" t="inlineStr">
        <is>
          <t>Fan module</t>
        </is>
      </c>
      <c r="D63" t="inlineStr">
        <is>
          <t>JU0011111-FN</t>
        </is>
      </c>
    </row>
    <row r="64">
      <c r="A64" t="inlineStr">
        <is>
          <t>MH-DC-001-MMR-SW-06</t>
        </is>
      </c>
      <c r="B64" t="inlineStr">
        <is>
          <t>PSU1</t>
        </is>
      </c>
      <c r="C64" t="inlineStr">
        <is>
          <t>Power supply</t>
        </is>
      </c>
      <c r="D64" t="inlineStr">
        <is>
          <t>CS0011116-P1</t>
        </is>
      </c>
    </row>
    <row r="65">
      <c r="A65" t="inlineStr">
        <is>
          <t>MH-DC-001-MMR-SW-06</t>
        </is>
      </c>
      <c r="B65" t="inlineStr">
        <is>
          <t>PSU2</t>
        </is>
      </c>
      <c r="C65" t="inlineStr">
        <is>
          <t>Power supply</t>
        </is>
      </c>
      <c r="D65" t="inlineStr">
        <is>
          <t>CS0011116-P2</t>
        </is>
      </c>
    </row>
    <row r="66">
      <c r="A66" t="inlineStr">
        <is>
          <t>MH-DC-001-MMR-SW-06</t>
        </is>
      </c>
      <c r="B66" t="inlineStr">
        <is>
          <t>FAN</t>
        </is>
      </c>
      <c r="C66" t="inlineStr">
        <is>
          <t>Fan module</t>
        </is>
      </c>
      <c r="D66" t="inlineStr">
        <is>
          <t>CS0011116-FN</t>
        </is>
      </c>
    </row>
    <row r="67">
      <c r="A67" t="inlineStr">
        <is>
          <t>MH-DC-001-MMR-SW-07</t>
        </is>
      </c>
      <c r="B67" t="inlineStr">
        <is>
          <t>PSU1</t>
        </is>
      </c>
      <c r="C67" t="inlineStr">
        <is>
          <t>Power supply</t>
        </is>
      </c>
      <c r="D67" t="inlineStr">
        <is>
          <t>CS0011119-P1</t>
        </is>
      </c>
    </row>
    <row r="68">
      <c r="A68" t="inlineStr">
        <is>
          <t>MH-DC-001-MMR-SW-07</t>
        </is>
      </c>
      <c r="B68" t="inlineStr">
        <is>
          <t>PSU2</t>
        </is>
      </c>
      <c r="C68" t="inlineStr">
        <is>
          <t>Power supply</t>
        </is>
      </c>
      <c r="D68" t="inlineStr">
        <is>
          <t>CS0011119-P2</t>
        </is>
      </c>
    </row>
    <row r="69">
      <c r="A69" t="inlineStr">
        <is>
          <t>MH-DC-001-MMR-SW-07</t>
        </is>
      </c>
      <c r="B69" t="inlineStr">
        <is>
          <t>FAN</t>
        </is>
      </c>
      <c r="C69" t="inlineStr">
        <is>
          <t>Fan module</t>
        </is>
      </c>
      <c r="D69" t="inlineStr">
        <is>
          <t>CS0011119-FN</t>
        </is>
      </c>
    </row>
    <row r="70">
      <c r="A70" t="inlineStr">
        <is>
          <t>MH-DC-001-MMR-SW-08</t>
        </is>
      </c>
      <c r="B70" t="inlineStr">
        <is>
          <t>PSU1</t>
        </is>
      </c>
      <c r="C70" t="inlineStr">
        <is>
          <t>Power supply</t>
        </is>
      </c>
      <c r="D70" t="inlineStr">
        <is>
          <t>CS0011132-P1</t>
        </is>
      </c>
    </row>
    <row r="71">
      <c r="A71" t="inlineStr">
        <is>
          <t>MH-DC-001-MMR-SW-08</t>
        </is>
      </c>
      <c r="B71" t="inlineStr">
        <is>
          <t>PSU2</t>
        </is>
      </c>
      <c r="C71" t="inlineStr">
        <is>
          <t>Power supply</t>
        </is>
      </c>
      <c r="D71" t="inlineStr">
        <is>
          <t>CS0011132-P2</t>
        </is>
      </c>
    </row>
    <row r="72">
      <c r="A72" t="inlineStr">
        <is>
          <t>MH-DC-001-MMR-SW-08</t>
        </is>
      </c>
      <c r="B72" t="inlineStr">
        <is>
          <t>FAN</t>
        </is>
      </c>
      <c r="C72" t="inlineStr">
        <is>
          <t>Fan module</t>
        </is>
      </c>
      <c r="D72" t="inlineStr">
        <is>
          <t>CS0011132-FN</t>
        </is>
      </c>
    </row>
    <row r="73">
      <c r="A73" t="inlineStr">
        <is>
          <t>MH-DC-001-MMR-SW-09</t>
        </is>
      </c>
      <c r="B73" t="inlineStr">
        <is>
          <t>PSU1</t>
        </is>
      </c>
      <c r="C73" t="inlineStr">
        <is>
          <t>Power supply</t>
        </is>
      </c>
      <c r="D73" t="inlineStr">
        <is>
          <t>AR0011137-P1</t>
        </is>
      </c>
    </row>
    <row r="74">
      <c r="A74" t="inlineStr">
        <is>
          <t>MH-DC-001-MMR-SW-09</t>
        </is>
      </c>
      <c r="B74" t="inlineStr">
        <is>
          <t>PSU2</t>
        </is>
      </c>
      <c r="C74" t="inlineStr">
        <is>
          <t>Power supply</t>
        </is>
      </c>
      <c r="D74" t="inlineStr">
        <is>
          <t>AR0011137-P2</t>
        </is>
      </c>
    </row>
    <row r="75">
      <c r="A75" t="inlineStr">
        <is>
          <t>MH-DC-001-MMR-SW-09</t>
        </is>
      </c>
      <c r="B75" t="inlineStr">
        <is>
          <t>FAN</t>
        </is>
      </c>
      <c r="C75" t="inlineStr">
        <is>
          <t>Fan module</t>
        </is>
      </c>
      <c r="D75" t="inlineStr">
        <is>
          <t>AR0011137-FN</t>
        </is>
      </c>
    </row>
    <row r="76">
      <c r="A76" t="inlineStr">
        <is>
          <t>MH-DC-001-TOR-001</t>
        </is>
      </c>
      <c r="B76" t="inlineStr">
        <is>
          <t>PSU1</t>
        </is>
      </c>
      <c r="C76" t="inlineStr">
        <is>
          <t>Power supply</t>
        </is>
      </c>
      <c r="D76" t="inlineStr">
        <is>
          <t>CS0011146-P1</t>
        </is>
      </c>
    </row>
    <row r="77">
      <c r="A77" t="inlineStr">
        <is>
          <t>MH-DC-001-TOR-001</t>
        </is>
      </c>
      <c r="B77" t="inlineStr">
        <is>
          <t>PSU2</t>
        </is>
      </c>
      <c r="C77" t="inlineStr">
        <is>
          <t>Power supply</t>
        </is>
      </c>
      <c r="D77" t="inlineStr">
        <is>
          <t>CS0011146-P2</t>
        </is>
      </c>
    </row>
    <row r="78">
      <c r="A78" t="inlineStr">
        <is>
          <t>MH-DC-001-TOR-001</t>
        </is>
      </c>
      <c r="B78" t="inlineStr">
        <is>
          <t>FAN</t>
        </is>
      </c>
      <c r="C78" t="inlineStr">
        <is>
          <t>Fan module</t>
        </is>
      </c>
      <c r="D78" t="inlineStr">
        <is>
          <t>CS0011146-FN</t>
        </is>
      </c>
    </row>
    <row r="79">
      <c r="A79" t="inlineStr">
        <is>
          <t>MH-DC-001-TOR-002</t>
        </is>
      </c>
      <c r="B79" t="inlineStr">
        <is>
          <t>PSU1</t>
        </is>
      </c>
      <c r="C79" t="inlineStr">
        <is>
          <t>Power supply</t>
        </is>
      </c>
      <c r="D79" t="inlineStr">
        <is>
          <t>CS0011149-P1</t>
        </is>
      </c>
    </row>
    <row r="80">
      <c r="A80" t="inlineStr">
        <is>
          <t>MH-DC-001-TOR-002</t>
        </is>
      </c>
      <c r="B80" t="inlineStr">
        <is>
          <t>PSU2</t>
        </is>
      </c>
      <c r="C80" t="inlineStr">
        <is>
          <t>Power supply</t>
        </is>
      </c>
      <c r="D80" t="inlineStr">
        <is>
          <t>CS0011149-P2</t>
        </is>
      </c>
    </row>
    <row r="81">
      <c r="A81" t="inlineStr">
        <is>
          <t>MH-DC-001-TOR-002</t>
        </is>
      </c>
      <c r="B81" t="inlineStr">
        <is>
          <t>FAN</t>
        </is>
      </c>
      <c r="C81" t="inlineStr">
        <is>
          <t>Fan module</t>
        </is>
      </c>
      <c r="D81" t="inlineStr">
        <is>
          <t>CS0011149-FN</t>
        </is>
      </c>
    </row>
    <row r="82">
      <c r="A82" t="inlineStr">
        <is>
          <t>MH-DC-001-TOR-003</t>
        </is>
      </c>
      <c r="B82" t="inlineStr">
        <is>
          <t>PSU1</t>
        </is>
      </c>
      <c r="C82" t="inlineStr">
        <is>
          <t>Power supply</t>
        </is>
      </c>
      <c r="D82" t="inlineStr">
        <is>
          <t>JU0011157-P1</t>
        </is>
      </c>
    </row>
    <row r="83">
      <c r="A83" t="inlineStr">
        <is>
          <t>MH-DC-001-TOR-003</t>
        </is>
      </c>
      <c r="B83" t="inlineStr">
        <is>
          <t>PSU2</t>
        </is>
      </c>
      <c r="C83" t="inlineStr">
        <is>
          <t>Power supply</t>
        </is>
      </c>
      <c r="D83" t="inlineStr">
        <is>
          <t>JU0011157-P2</t>
        </is>
      </c>
    </row>
    <row r="84">
      <c r="A84" t="inlineStr">
        <is>
          <t>MH-DC-001-TOR-003</t>
        </is>
      </c>
      <c r="B84" t="inlineStr">
        <is>
          <t>FAN</t>
        </is>
      </c>
      <c r="C84" t="inlineStr">
        <is>
          <t>Fan module</t>
        </is>
      </c>
      <c r="D84" t="inlineStr">
        <is>
          <t>JU0011157-FN</t>
        </is>
      </c>
    </row>
    <row r="85">
      <c r="A85" t="inlineStr">
        <is>
          <t>MH-DC-001-TOR-004</t>
        </is>
      </c>
      <c r="B85" t="inlineStr">
        <is>
          <t>PSU1</t>
        </is>
      </c>
      <c r="C85" t="inlineStr">
        <is>
          <t>Power supply</t>
        </is>
      </c>
      <c r="D85" t="inlineStr">
        <is>
          <t>CS0011165-P1</t>
        </is>
      </c>
    </row>
    <row r="86">
      <c r="A86" t="inlineStr">
        <is>
          <t>MH-DC-001-TOR-004</t>
        </is>
      </c>
      <c r="B86" t="inlineStr">
        <is>
          <t>PSU2</t>
        </is>
      </c>
      <c r="C86" t="inlineStr">
        <is>
          <t>Power supply</t>
        </is>
      </c>
      <c r="D86" t="inlineStr">
        <is>
          <t>CS0011165-P2</t>
        </is>
      </c>
    </row>
    <row r="87">
      <c r="A87" t="inlineStr">
        <is>
          <t>MH-DC-001-TOR-004</t>
        </is>
      </c>
      <c r="B87" t="inlineStr">
        <is>
          <t>FAN</t>
        </is>
      </c>
      <c r="C87" t="inlineStr">
        <is>
          <t>Fan module</t>
        </is>
      </c>
      <c r="D87" t="inlineStr">
        <is>
          <t>CS0011165-FN</t>
        </is>
      </c>
    </row>
    <row r="88">
      <c r="A88" t="inlineStr">
        <is>
          <t>MH-DC-001-TOR-005</t>
        </is>
      </c>
      <c r="B88" t="inlineStr">
        <is>
          <t>PSU1</t>
        </is>
      </c>
      <c r="C88" t="inlineStr">
        <is>
          <t>Power supply</t>
        </is>
      </c>
      <c r="D88" t="inlineStr">
        <is>
          <t>JU0011172-P1</t>
        </is>
      </c>
    </row>
    <row r="89">
      <c r="A89" t="inlineStr">
        <is>
          <t>MH-DC-001-TOR-005</t>
        </is>
      </c>
      <c r="B89" t="inlineStr">
        <is>
          <t>PSU2</t>
        </is>
      </c>
      <c r="C89" t="inlineStr">
        <is>
          <t>Power supply</t>
        </is>
      </c>
      <c r="D89" t="inlineStr">
        <is>
          <t>JU0011172-P2</t>
        </is>
      </c>
    </row>
    <row r="90">
      <c r="A90" t="inlineStr">
        <is>
          <t>MH-DC-001-TOR-005</t>
        </is>
      </c>
      <c r="B90" t="inlineStr">
        <is>
          <t>FAN</t>
        </is>
      </c>
      <c r="C90" t="inlineStr">
        <is>
          <t>Fan module</t>
        </is>
      </c>
      <c r="D90" t="inlineStr">
        <is>
          <t>JU0011172-FN</t>
        </is>
      </c>
    </row>
    <row r="91">
      <c r="A91" t="inlineStr">
        <is>
          <t>MH-DC-001-TOR-006</t>
        </is>
      </c>
      <c r="B91" t="inlineStr">
        <is>
          <t>PSU1</t>
        </is>
      </c>
      <c r="C91" t="inlineStr">
        <is>
          <t>Power supply</t>
        </is>
      </c>
      <c r="D91" t="inlineStr">
        <is>
          <t>AR0011180-P1</t>
        </is>
      </c>
    </row>
    <row r="92">
      <c r="A92" t="inlineStr">
        <is>
          <t>MH-DC-001-TOR-006</t>
        </is>
      </c>
      <c r="B92" t="inlineStr">
        <is>
          <t>PSU2</t>
        </is>
      </c>
      <c r="C92" t="inlineStr">
        <is>
          <t>Power supply</t>
        </is>
      </c>
      <c r="D92" t="inlineStr">
        <is>
          <t>AR0011180-P2</t>
        </is>
      </c>
    </row>
    <row r="93">
      <c r="A93" t="inlineStr">
        <is>
          <t>MH-DC-001-TOR-006</t>
        </is>
      </c>
      <c r="B93" t="inlineStr">
        <is>
          <t>FAN</t>
        </is>
      </c>
      <c r="C93" t="inlineStr">
        <is>
          <t>Fan module</t>
        </is>
      </c>
      <c r="D93" t="inlineStr">
        <is>
          <t>AR0011180-FN</t>
        </is>
      </c>
    </row>
    <row r="94">
      <c r="A94" t="inlineStr">
        <is>
          <t>MH-DC-001-BMS-01</t>
        </is>
      </c>
      <c r="B94" t="inlineStr">
        <is>
          <t>PSU1</t>
        </is>
      </c>
      <c r="C94" t="inlineStr">
        <is>
          <t>Power supply</t>
        </is>
      </c>
      <c r="D94" t="inlineStr">
        <is>
          <t>DL0011754-P1</t>
        </is>
      </c>
    </row>
    <row r="95">
      <c r="A95" t="inlineStr">
        <is>
          <t>MH-DC-001-BMS-01</t>
        </is>
      </c>
      <c r="B95" t="inlineStr">
        <is>
          <t>PSU2</t>
        </is>
      </c>
      <c r="C95" t="inlineStr">
        <is>
          <t>Power supply</t>
        </is>
      </c>
      <c r="D95" t="inlineStr">
        <is>
          <t>DL0011754-P2</t>
        </is>
      </c>
    </row>
    <row r="96">
      <c r="A96" t="inlineStr">
        <is>
          <t>MH-DC-001-BMS-01</t>
        </is>
      </c>
      <c r="B96" t="inlineStr">
        <is>
          <t>FAN</t>
        </is>
      </c>
      <c r="C96" t="inlineStr">
        <is>
          <t>Fan module</t>
        </is>
      </c>
      <c r="D96" t="inlineStr">
        <is>
          <t>DL0011754-FN</t>
        </is>
      </c>
    </row>
    <row r="97">
      <c r="A97" t="inlineStr">
        <is>
          <t>MH-DC-001-BMS-01</t>
        </is>
      </c>
      <c r="B97" t="inlineStr">
        <is>
          <t>DISK0</t>
        </is>
      </c>
      <c r="C97" t="inlineStr">
        <is>
          <t>NVMe 3.84 TB</t>
        </is>
      </c>
      <c r="D97" t="inlineStr">
        <is>
          <t>DL0011754-D0</t>
        </is>
      </c>
    </row>
    <row r="98">
      <c r="A98" t="inlineStr">
        <is>
          <t>MH-DC-001-BMS-01</t>
        </is>
      </c>
      <c r="B98" t="inlineStr">
        <is>
          <t>DISK1</t>
        </is>
      </c>
      <c r="C98" t="inlineStr">
        <is>
          <t>NVMe 3.84 TB</t>
        </is>
      </c>
      <c r="D98" t="inlineStr">
        <is>
          <t>DL0011754-D1</t>
        </is>
      </c>
    </row>
    <row r="99">
      <c r="A99" t="inlineStr">
        <is>
          <t>MH-DC-001-BMS-01</t>
        </is>
      </c>
      <c r="B99" t="inlineStr">
        <is>
          <t>DISK2</t>
        </is>
      </c>
      <c r="C99" t="inlineStr">
        <is>
          <t>NVMe 3.84 TB</t>
        </is>
      </c>
      <c r="D99" t="inlineStr">
        <is>
          <t>DL0011754-D2</t>
        </is>
      </c>
    </row>
    <row r="100">
      <c r="A100" t="inlineStr">
        <is>
          <t>MH-DC-001-BMS-01</t>
        </is>
      </c>
      <c r="B100" t="inlineStr">
        <is>
          <t>DISK3</t>
        </is>
      </c>
      <c r="C100" t="inlineStr">
        <is>
          <t>NVMe 3.84 TB</t>
        </is>
      </c>
      <c r="D100" t="inlineStr">
        <is>
          <t>DL0011754-D3</t>
        </is>
      </c>
    </row>
    <row r="101">
      <c r="A101" t="inlineStr">
        <is>
          <t>MH-DC-001-BMS-02</t>
        </is>
      </c>
      <c r="B101" t="inlineStr">
        <is>
          <t>PSU1</t>
        </is>
      </c>
      <c r="C101" t="inlineStr">
        <is>
          <t>Power supply</t>
        </is>
      </c>
      <c r="D101" t="inlineStr">
        <is>
          <t>DL0011762-P1</t>
        </is>
      </c>
    </row>
    <row r="102">
      <c r="A102" t="inlineStr">
        <is>
          <t>MH-DC-001-BMS-02</t>
        </is>
      </c>
      <c r="B102" t="inlineStr">
        <is>
          <t>PSU2</t>
        </is>
      </c>
      <c r="C102" t="inlineStr">
        <is>
          <t>Power supply</t>
        </is>
      </c>
      <c r="D102" t="inlineStr">
        <is>
          <t>DL0011762-P2</t>
        </is>
      </c>
    </row>
    <row r="103">
      <c r="A103" t="inlineStr">
        <is>
          <t>MH-DC-001-BMS-02</t>
        </is>
      </c>
      <c r="B103" t="inlineStr">
        <is>
          <t>FAN</t>
        </is>
      </c>
      <c r="C103" t="inlineStr">
        <is>
          <t>Fan module</t>
        </is>
      </c>
      <c r="D103" t="inlineStr">
        <is>
          <t>DL0011762-FN</t>
        </is>
      </c>
    </row>
    <row r="104">
      <c r="A104" t="inlineStr">
        <is>
          <t>MH-DC-001-BMS-02</t>
        </is>
      </c>
      <c r="B104" t="inlineStr">
        <is>
          <t>DISK0</t>
        </is>
      </c>
      <c r="C104" t="inlineStr">
        <is>
          <t>NVMe 3.84 TB</t>
        </is>
      </c>
      <c r="D104" t="inlineStr">
        <is>
          <t>DL0011762-D0</t>
        </is>
      </c>
    </row>
    <row r="105">
      <c r="A105" t="inlineStr">
        <is>
          <t>MH-DC-001-BMS-02</t>
        </is>
      </c>
      <c r="B105" t="inlineStr">
        <is>
          <t>DISK1</t>
        </is>
      </c>
      <c r="C105" t="inlineStr">
        <is>
          <t>NVMe 3.84 TB</t>
        </is>
      </c>
      <c r="D105" t="inlineStr">
        <is>
          <t>DL0011762-D1</t>
        </is>
      </c>
    </row>
    <row r="106">
      <c r="A106" t="inlineStr">
        <is>
          <t>MH-DC-001-BMS-02</t>
        </is>
      </c>
      <c r="B106" t="inlineStr">
        <is>
          <t>DISK2</t>
        </is>
      </c>
      <c r="C106" t="inlineStr">
        <is>
          <t>NVMe 3.84 TB</t>
        </is>
      </c>
      <c r="D106" t="inlineStr">
        <is>
          <t>DL0011762-D2</t>
        </is>
      </c>
    </row>
    <row r="107">
      <c r="A107" t="inlineStr">
        <is>
          <t>MH-DC-001-BMS-02</t>
        </is>
      </c>
      <c r="B107" t="inlineStr">
        <is>
          <t>DISK3</t>
        </is>
      </c>
      <c r="C107" t="inlineStr">
        <is>
          <t>NVMe 3.84 TB</t>
        </is>
      </c>
      <c r="D107" t="inlineStr">
        <is>
          <t>DL0011762-D3</t>
        </is>
      </c>
    </row>
    <row r="108">
      <c r="A108" t="inlineStr">
        <is>
          <t>MH-DC-001-ACS-01</t>
        </is>
      </c>
      <c r="B108" t="inlineStr">
        <is>
          <t>PSU1</t>
        </is>
      </c>
      <c r="C108" t="inlineStr">
        <is>
          <t>Power supply</t>
        </is>
      </c>
      <c r="D108" t="inlineStr">
        <is>
          <t>SM0011765-P1</t>
        </is>
      </c>
    </row>
    <row r="109">
      <c r="A109" t="inlineStr">
        <is>
          <t>MH-DC-001-ACS-01</t>
        </is>
      </c>
      <c r="B109" t="inlineStr">
        <is>
          <t>PSU2</t>
        </is>
      </c>
      <c r="C109" t="inlineStr">
        <is>
          <t>Power supply</t>
        </is>
      </c>
      <c r="D109" t="inlineStr">
        <is>
          <t>SM0011765-P2</t>
        </is>
      </c>
    </row>
    <row r="110">
      <c r="A110" t="inlineStr">
        <is>
          <t>MH-DC-001-ACS-01</t>
        </is>
      </c>
      <c r="B110" t="inlineStr">
        <is>
          <t>FAN</t>
        </is>
      </c>
      <c r="C110" t="inlineStr">
        <is>
          <t>Fan module</t>
        </is>
      </c>
      <c r="D110" t="inlineStr">
        <is>
          <t>SM0011765-FN</t>
        </is>
      </c>
    </row>
    <row r="111">
      <c r="A111" t="inlineStr">
        <is>
          <t>MH-DC-001-ACS-01</t>
        </is>
      </c>
      <c r="B111" t="inlineStr">
        <is>
          <t>DISK0</t>
        </is>
      </c>
      <c r="C111" t="inlineStr">
        <is>
          <t>NVMe 3.84 TB</t>
        </is>
      </c>
      <c r="D111" t="inlineStr">
        <is>
          <t>SM0011765-D0</t>
        </is>
      </c>
    </row>
    <row r="112">
      <c r="A112" t="inlineStr">
        <is>
          <t>MH-DC-001-ACS-01</t>
        </is>
      </c>
      <c r="B112" t="inlineStr">
        <is>
          <t>DISK1</t>
        </is>
      </c>
      <c r="C112" t="inlineStr">
        <is>
          <t>NVMe 3.84 TB</t>
        </is>
      </c>
      <c r="D112" t="inlineStr">
        <is>
          <t>SM0011765-D1</t>
        </is>
      </c>
    </row>
    <row r="113">
      <c r="A113" t="inlineStr">
        <is>
          <t>MH-DC-001-ACS-01</t>
        </is>
      </c>
      <c r="B113" t="inlineStr">
        <is>
          <t>DISK2</t>
        </is>
      </c>
      <c r="C113" t="inlineStr">
        <is>
          <t>NVMe 3.84 TB</t>
        </is>
      </c>
      <c r="D113" t="inlineStr">
        <is>
          <t>SM0011765-D2</t>
        </is>
      </c>
    </row>
    <row r="114">
      <c r="A114" t="inlineStr">
        <is>
          <t>MH-DC-001-ACS-01</t>
        </is>
      </c>
      <c r="B114" t="inlineStr">
        <is>
          <t>DISK3</t>
        </is>
      </c>
      <c r="C114" t="inlineStr">
        <is>
          <t>NVMe 3.84 TB</t>
        </is>
      </c>
      <c r="D114" t="inlineStr">
        <is>
          <t>SM0011765-D3</t>
        </is>
      </c>
    </row>
    <row r="115">
      <c r="A115" t="inlineStr">
        <is>
          <t>MH-DC-001-NVR-01</t>
        </is>
      </c>
      <c r="B115" t="inlineStr">
        <is>
          <t>PSU1</t>
        </is>
      </c>
      <c r="C115" t="inlineStr">
        <is>
          <t>Power supply</t>
        </is>
      </c>
      <c r="D115" t="inlineStr">
        <is>
          <t>HP0011772-P1</t>
        </is>
      </c>
    </row>
    <row r="116">
      <c r="A116" t="inlineStr">
        <is>
          <t>MH-DC-001-NVR-01</t>
        </is>
      </c>
      <c r="B116" t="inlineStr">
        <is>
          <t>PSU2</t>
        </is>
      </c>
      <c r="C116" t="inlineStr">
        <is>
          <t>Power supply</t>
        </is>
      </c>
      <c r="D116" t="inlineStr">
        <is>
          <t>HP0011772-P2</t>
        </is>
      </c>
    </row>
    <row r="117">
      <c r="A117" t="inlineStr">
        <is>
          <t>MH-DC-001-NVR-01</t>
        </is>
      </c>
      <c r="B117" t="inlineStr">
        <is>
          <t>FAN</t>
        </is>
      </c>
      <c r="C117" t="inlineStr">
        <is>
          <t>Fan module</t>
        </is>
      </c>
      <c r="D117" t="inlineStr">
        <is>
          <t>HP0011772-FN</t>
        </is>
      </c>
    </row>
    <row r="118">
      <c r="A118" t="inlineStr">
        <is>
          <t>MH-DC-001-NVR-01</t>
        </is>
      </c>
      <c r="B118" t="inlineStr">
        <is>
          <t>DISK0</t>
        </is>
      </c>
      <c r="C118" t="inlineStr">
        <is>
          <t>NVMe 3.84 TB</t>
        </is>
      </c>
      <c r="D118" t="inlineStr">
        <is>
          <t>HP0011772-D0</t>
        </is>
      </c>
    </row>
    <row r="119">
      <c r="A119" t="inlineStr">
        <is>
          <t>MH-DC-001-NVR-01</t>
        </is>
      </c>
      <c r="B119" t="inlineStr">
        <is>
          <t>DISK1</t>
        </is>
      </c>
      <c r="C119" t="inlineStr">
        <is>
          <t>NVMe 3.84 TB</t>
        </is>
      </c>
      <c r="D119" t="inlineStr">
        <is>
          <t>HP0011772-D1</t>
        </is>
      </c>
    </row>
    <row r="120">
      <c r="A120" t="inlineStr">
        <is>
          <t>MH-DC-001-NVR-01</t>
        </is>
      </c>
      <c r="B120" t="inlineStr">
        <is>
          <t>DISK2</t>
        </is>
      </c>
      <c r="C120" t="inlineStr">
        <is>
          <t>NVMe 3.84 TB</t>
        </is>
      </c>
      <c r="D120" t="inlineStr">
        <is>
          <t>HP0011772-D2</t>
        </is>
      </c>
    </row>
    <row r="121">
      <c r="A121" t="inlineStr">
        <is>
          <t>MH-DC-001-NVR-01</t>
        </is>
      </c>
      <c r="B121" t="inlineStr">
        <is>
          <t>DISK3</t>
        </is>
      </c>
      <c r="C121" t="inlineStr">
        <is>
          <t>NVMe 3.84 TB</t>
        </is>
      </c>
      <c r="D121" t="inlineStr">
        <is>
          <t>HP0011772-D3</t>
        </is>
      </c>
    </row>
    <row r="122">
      <c r="A122" t="inlineStr">
        <is>
          <t>MH-DC-001-NVR-02</t>
        </is>
      </c>
      <c r="B122" t="inlineStr">
        <is>
          <t>PSU1</t>
        </is>
      </c>
      <c r="C122" t="inlineStr">
        <is>
          <t>Power supply</t>
        </is>
      </c>
      <c r="D122" t="inlineStr">
        <is>
          <t>SM0011779-P1</t>
        </is>
      </c>
    </row>
    <row r="123">
      <c r="A123" t="inlineStr">
        <is>
          <t>MH-DC-001-NVR-02</t>
        </is>
      </c>
      <c r="B123" t="inlineStr">
        <is>
          <t>PSU2</t>
        </is>
      </c>
      <c r="C123" t="inlineStr">
        <is>
          <t>Power supply</t>
        </is>
      </c>
      <c r="D123" t="inlineStr">
        <is>
          <t>SM0011779-P2</t>
        </is>
      </c>
    </row>
    <row r="124">
      <c r="A124" t="inlineStr">
        <is>
          <t>MH-DC-001-NVR-02</t>
        </is>
      </c>
      <c r="B124" t="inlineStr">
        <is>
          <t>FAN</t>
        </is>
      </c>
      <c r="C124" t="inlineStr">
        <is>
          <t>Fan module</t>
        </is>
      </c>
      <c r="D124" t="inlineStr">
        <is>
          <t>SM0011779-FN</t>
        </is>
      </c>
    </row>
    <row r="125">
      <c r="A125" t="inlineStr">
        <is>
          <t>MH-DC-001-NVR-02</t>
        </is>
      </c>
      <c r="B125" t="inlineStr">
        <is>
          <t>DISK0</t>
        </is>
      </c>
      <c r="C125" t="inlineStr">
        <is>
          <t>NVMe 3.84 TB</t>
        </is>
      </c>
      <c r="D125" t="inlineStr">
        <is>
          <t>SM0011779-D0</t>
        </is>
      </c>
    </row>
    <row r="126">
      <c r="A126" t="inlineStr">
        <is>
          <t>MH-DC-001-NVR-02</t>
        </is>
      </c>
      <c r="B126" t="inlineStr">
        <is>
          <t>DISK1</t>
        </is>
      </c>
      <c r="C126" t="inlineStr">
        <is>
          <t>NVMe 3.84 TB</t>
        </is>
      </c>
      <c r="D126" t="inlineStr">
        <is>
          <t>SM0011779-D1</t>
        </is>
      </c>
    </row>
    <row r="127">
      <c r="A127" t="inlineStr">
        <is>
          <t>MH-DC-001-NVR-02</t>
        </is>
      </c>
      <c r="B127" t="inlineStr">
        <is>
          <t>DISK2</t>
        </is>
      </c>
      <c r="C127" t="inlineStr">
        <is>
          <t>NVMe 3.84 TB</t>
        </is>
      </c>
      <c r="D127" t="inlineStr">
        <is>
          <t>SM0011779-D2</t>
        </is>
      </c>
    </row>
    <row r="128">
      <c r="A128" t="inlineStr">
        <is>
          <t>MH-DC-001-NVR-02</t>
        </is>
      </c>
      <c r="B128" t="inlineStr">
        <is>
          <t>DISK3</t>
        </is>
      </c>
      <c r="C128" t="inlineStr">
        <is>
          <t>NVMe 3.84 TB</t>
        </is>
      </c>
      <c r="D128" t="inlineStr">
        <is>
          <t>SM0011779-D3</t>
        </is>
      </c>
    </row>
    <row r="129">
      <c r="A129" t="inlineStr">
        <is>
          <t>MH-DC-001-JMP-01</t>
        </is>
      </c>
      <c r="B129" t="inlineStr">
        <is>
          <t>PSU1</t>
        </is>
      </c>
      <c r="C129" t="inlineStr">
        <is>
          <t>Power supply</t>
        </is>
      </c>
      <c r="D129" t="inlineStr">
        <is>
          <t>SM0011787-P1</t>
        </is>
      </c>
    </row>
    <row r="130">
      <c r="A130" t="inlineStr">
        <is>
          <t>MH-DC-001-JMP-01</t>
        </is>
      </c>
      <c r="B130" t="inlineStr">
        <is>
          <t>PSU2</t>
        </is>
      </c>
      <c r="C130" t="inlineStr">
        <is>
          <t>Power supply</t>
        </is>
      </c>
      <c r="D130" t="inlineStr">
        <is>
          <t>SM0011787-P2</t>
        </is>
      </c>
    </row>
    <row r="131">
      <c r="A131" t="inlineStr">
        <is>
          <t>MH-DC-001-JMP-01</t>
        </is>
      </c>
      <c r="B131" t="inlineStr">
        <is>
          <t>FAN</t>
        </is>
      </c>
      <c r="C131" t="inlineStr">
        <is>
          <t>Fan module</t>
        </is>
      </c>
      <c r="D131" t="inlineStr">
        <is>
          <t>SM0011787-FN</t>
        </is>
      </c>
    </row>
    <row r="132">
      <c r="A132" t="inlineStr">
        <is>
          <t>MH-DC-001-JMP-01</t>
        </is>
      </c>
      <c r="B132" t="inlineStr">
        <is>
          <t>DISK0</t>
        </is>
      </c>
      <c r="C132" t="inlineStr">
        <is>
          <t>NVMe 3.84 TB</t>
        </is>
      </c>
      <c r="D132" t="inlineStr">
        <is>
          <t>SM0011787-D0</t>
        </is>
      </c>
    </row>
    <row r="133">
      <c r="A133" t="inlineStr">
        <is>
          <t>MH-DC-001-JMP-01</t>
        </is>
      </c>
      <c r="B133" t="inlineStr">
        <is>
          <t>DISK1</t>
        </is>
      </c>
      <c r="C133" t="inlineStr">
        <is>
          <t>NVMe 3.84 TB</t>
        </is>
      </c>
      <c r="D133" t="inlineStr">
        <is>
          <t>SM0011787-D1</t>
        </is>
      </c>
    </row>
    <row r="134">
      <c r="A134" t="inlineStr">
        <is>
          <t>MH-DC-001-JMP-01</t>
        </is>
      </c>
      <c r="B134" t="inlineStr">
        <is>
          <t>DISK2</t>
        </is>
      </c>
      <c r="C134" t="inlineStr">
        <is>
          <t>NVMe 3.84 TB</t>
        </is>
      </c>
      <c r="D134" t="inlineStr">
        <is>
          <t>SM0011787-D2</t>
        </is>
      </c>
    </row>
    <row r="135">
      <c r="A135" t="inlineStr">
        <is>
          <t>MH-DC-001-JMP-01</t>
        </is>
      </c>
      <c r="B135" t="inlineStr">
        <is>
          <t>DISK3</t>
        </is>
      </c>
      <c r="C135" t="inlineStr">
        <is>
          <t>NVMe 3.84 TB</t>
        </is>
      </c>
      <c r="D135" t="inlineStr">
        <is>
          <t>SM0011787-D3</t>
        </is>
      </c>
    </row>
    <row r="136">
      <c r="A136" t="inlineStr">
        <is>
          <t>MH-DC-001-JMP-02</t>
        </is>
      </c>
      <c r="B136" t="inlineStr">
        <is>
          <t>PSU1</t>
        </is>
      </c>
      <c r="C136" t="inlineStr">
        <is>
          <t>Power supply</t>
        </is>
      </c>
      <c r="D136" t="inlineStr">
        <is>
          <t>HP0011793-P1</t>
        </is>
      </c>
    </row>
    <row r="137">
      <c r="A137" t="inlineStr">
        <is>
          <t>MH-DC-001-JMP-02</t>
        </is>
      </c>
      <c r="B137" t="inlineStr">
        <is>
          <t>PSU2</t>
        </is>
      </c>
      <c r="C137" t="inlineStr">
        <is>
          <t>Power supply</t>
        </is>
      </c>
      <c r="D137" t="inlineStr">
        <is>
          <t>HP0011793-P2</t>
        </is>
      </c>
    </row>
    <row r="138">
      <c r="A138" t="inlineStr">
        <is>
          <t>MH-DC-001-JMP-02</t>
        </is>
      </c>
      <c r="B138" t="inlineStr">
        <is>
          <t>FAN</t>
        </is>
      </c>
      <c r="C138" t="inlineStr">
        <is>
          <t>Fan module</t>
        </is>
      </c>
      <c r="D138" t="inlineStr">
        <is>
          <t>HP0011793-FN</t>
        </is>
      </c>
    </row>
    <row r="139">
      <c r="A139" t="inlineStr">
        <is>
          <t>MH-DC-001-JMP-02</t>
        </is>
      </c>
      <c r="B139" t="inlineStr">
        <is>
          <t>DISK0</t>
        </is>
      </c>
      <c r="C139" t="inlineStr">
        <is>
          <t>NVMe 3.84 TB</t>
        </is>
      </c>
      <c r="D139" t="inlineStr">
        <is>
          <t>HP0011793-D0</t>
        </is>
      </c>
    </row>
    <row r="140">
      <c r="A140" t="inlineStr">
        <is>
          <t>MH-DC-001-JMP-02</t>
        </is>
      </c>
      <c r="B140" t="inlineStr">
        <is>
          <t>DISK1</t>
        </is>
      </c>
      <c r="C140" t="inlineStr">
        <is>
          <t>NVMe 3.84 TB</t>
        </is>
      </c>
      <c r="D140" t="inlineStr">
        <is>
          <t>HP0011793-D1</t>
        </is>
      </c>
    </row>
    <row r="141">
      <c r="A141" t="inlineStr">
        <is>
          <t>MH-DC-001-JMP-02</t>
        </is>
      </c>
      <c r="B141" t="inlineStr">
        <is>
          <t>DISK2</t>
        </is>
      </c>
      <c r="C141" t="inlineStr">
        <is>
          <t>NVMe 3.84 TB</t>
        </is>
      </c>
      <c r="D141" t="inlineStr">
        <is>
          <t>HP0011793-D2</t>
        </is>
      </c>
    </row>
    <row r="142">
      <c r="A142" t="inlineStr">
        <is>
          <t>MH-DC-001-JMP-02</t>
        </is>
      </c>
      <c r="B142" t="inlineStr">
        <is>
          <t>DISK3</t>
        </is>
      </c>
      <c r="C142" t="inlineStr">
        <is>
          <t>NVMe 3.84 TB</t>
        </is>
      </c>
      <c r="D142" t="inlineStr">
        <is>
          <t>HP0011793-D3</t>
        </is>
      </c>
    </row>
    <row r="143">
      <c r="A143" t="inlineStr">
        <is>
          <t>MH-DC-001-BKP-01</t>
        </is>
      </c>
      <c r="B143" t="inlineStr">
        <is>
          <t>PSU1</t>
        </is>
      </c>
      <c r="C143" t="inlineStr">
        <is>
          <t>Power supply</t>
        </is>
      </c>
      <c r="D143" t="inlineStr">
        <is>
          <t>DL0011804-P1</t>
        </is>
      </c>
    </row>
    <row r="144">
      <c r="A144" t="inlineStr">
        <is>
          <t>MH-DC-001-BKP-01</t>
        </is>
      </c>
      <c r="B144" t="inlineStr">
        <is>
          <t>PSU2</t>
        </is>
      </c>
      <c r="C144" t="inlineStr">
        <is>
          <t>Power supply</t>
        </is>
      </c>
      <c r="D144" t="inlineStr">
        <is>
          <t>DL0011804-P2</t>
        </is>
      </c>
    </row>
    <row r="145">
      <c r="A145" t="inlineStr">
        <is>
          <t>MH-DC-001-BKP-01</t>
        </is>
      </c>
      <c r="B145" t="inlineStr">
        <is>
          <t>FAN</t>
        </is>
      </c>
      <c r="C145" t="inlineStr">
        <is>
          <t>Fan module</t>
        </is>
      </c>
      <c r="D145" t="inlineStr">
        <is>
          <t>DL0011804-FN</t>
        </is>
      </c>
    </row>
    <row r="146">
      <c r="A146" t="inlineStr">
        <is>
          <t>MH-DC-001-BKP-01</t>
        </is>
      </c>
      <c r="B146" t="inlineStr">
        <is>
          <t>DISK0</t>
        </is>
      </c>
      <c r="C146" t="inlineStr">
        <is>
          <t>NVMe 3.84 TB</t>
        </is>
      </c>
      <c r="D146" t="inlineStr">
        <is>
          <t>DL0011804-D0</t>
        </is>
      </c>
    </row>
    <row r="147">
      <c r="A147" t="inlineStr">
        <is>
          <t>MH-DC-001-BKP-01</t>
        </is>
      </c>
      <c r="B147" t="inlineStr">
        <is>
          <t>DISK1</t>
        </is>
      </c>
      <c r="C147" t="inlineStr">
        <is>
          <t>NVMe 3.84 TB</t>
        </is>
      </c>
      <c r="D147" t="inlineStr">
        <is>
          <t>DL0011804-D1</t>
        </is>
      </c>
    </row>
    <row r="148">
      <c r="A148" t="inlineStr">
        <is>
          <t>MH-DC-001-BKP-01</t>
        </is>
      </c>
      <c r="B148" t="inlineStr">
        <is>
          <t>DISK2</t>
        </is>
      </c>
      <c r="C148" t="inlineStr">
        <is>
          <t>NVMe 3.84 TB</t>
        </is>
      </c>
      <c r="D148" t="inlineStr">
        <is>
          <t>DL0011804-D2</t>
        </is>
      </c>
    </row>
    <row r="149">
      <c r="A149" t="inlineStr">
        <is>
          <t>MH-DC-001-BKP-01</t>
        </is>
      </c>
      <c r="B149" t="inlineStr">
        <is>
          <t>DISK3</t>
        </is>
      </c>
      <c r="C149" t="inlineStr">
        <is>
          <t>NVMe 3.84 TB</t>
        </is>
      </c>
      <c r="D149" t="inlineStr">
        <is>
          <t>DL0011804-D3</t>
        </is>
      </c>
    </row>
    <row r="150">
      <c r="A150" t="inlineStr">
        <is>
          <t>MH-DC-001-DCIM-01</t>
        </is>
      </c>
      <c r="B150" t="inlineStr">
        <is>
          <t>PSU1</t>
        </is>
      </c>
      <c r="C150" t="inlineStr">
        <is>
          <t>Power supply</t>
        </is>
      </c>
      <c r="D150" t="inlineStr">
        <is>
          <t>SM0011811-P1</t>
        </is>
      </c>
    </row>
    <row r="151">
      <c r="A151" t="inlineStr">
        <is>
          <t>MH-DC-001-DCIM-01</t>
        </is>
      </c>
      <c r="B151" t="inlineStr">
        <is>
          <t>PSU2</t>
        </is>
      </c>
      <c r="C151" t="inlineStr">
        <is>
          <t>Power supply</t>
        </is>
      </c>
      <c r="D151" t="inlineStr">
        <is>
          <t>SM0011811-P2</t>
        </is>
      </c>
    </row>
    <row r="152">
      <c r="A152" t="inlineStr">
        <is>
          <t>MH-DC-001-DCIM-01</t>
        </is>
      </c>
      <c r="B152" t="inlineStr">
        <is>
          <t>FAN</t>
        </is>
      </c>
      <c r="C152" t="inlineStr">
        <is>
          <t>Fan module</t>
        </is>
      </c>
      <c r="D152" t="inlineStr">
        <is>
          <t>SM0011811-FN</t>
        </is>
      </c>
    </row>
    <row r="153">
      <c r="A153" t="inlineStr">
        <is>
          <t>MH-DC-001-DCIM-01</t>
        </is>
      </c>
      <c r="B153" t="inlineStr">
        <is>
          <t>DISK0</t>
        </is>
      </c>
      <c r="C153" t="inlineStr">
        <is>
          <t>NVMe 3.84 TB</t>
        </is>
      </c>
      <c r="D153" t="inlineStr">
        <is>
          <t>SM0011811-D0</t>
        </is>
      </c>
    </row>
    <row r="154">
      <c r="A154" t="inlineStr">
        <is>
          <t>MH-DC-001-DCIM-01</t>
        </is>
      </c>
      <c r="B154" t="inlineStr">
        <is>
          <t>DISK1</t>
        </is>
      </c>
      <c r="C154" t="inlineStr">
        <is>
          <t>NVMe 3.84 TB</t>
        </is>
      </c>
      <c r="D154" t="inlineStr">
        <is>
          <t>SM0011811-D1</t>
        </is>
      </c>
    </row>
    <row r="155">
      <c r="A155" t="inlineStr">
        <is>
          <t>MH-DC-001-DCIM-01</t>
        </is>
      </c>
      <c r="B155" t="inlineStr">
        <is>
          <t>DISK2</t>
        </is>
      </c>
      <c r="C155" t="inlineStr">
        <is>
          <t>NVMe 3.84 TB</t>
        </is>
      </c>
      <c r="D155" t="inlineStr">
        <is>
          <t>SM0011811-D2</t>
        </is>
      </c>
    </row>
    <row r="156">
      <c r="A156" t="inlineStr">
        <is>
          <t>MH-DC-001-DCIM-01</t>
        </is>
      </c>
      <c r="B156" t="inlineStr">
        <is>
          <t>DISK3</t>
        </is>
      </c>
      <c r="C156" t="inlineStr">
        <is>
          <t>NVMe 3.84 TB</t>
        </is>
      </c>
      <c r="D156" t="inlineStr">
        <is>
          <t>SM0011811-D3</t>
        </is>
      </c>
    </row>
    <row r="157">
      <c r="A157" t="inlineStr">
        <is>
          <t>MH-DC-001-DCIM-02</t>
        </is>
      </c>
      <c r="B157" t="inlineStr">
        <is>
          <t>PSU1</t>
        </is>
      </c>
      <c r="C157" t="inlineStr">
        <is>
          <t>Power supply</t>
        </is>
      </c>
      <c r="D157" t="inlineStr">
        <is>
          <t>SM0011812-P1</t>
        </is>
      </c>
    </row>
    <row r="158">
      <c r="A158" t="inlineStr">
        <is>
          <t>MH-DC-001-DCIM-02</t>
        </is>
      </c>
      <c r="B158" t="inlineStr">
        <is>
          <t>PSU2</t>
        </is>
      </c>
      <c r="C158" t="inlineStr">
        <is>
          <t>Power supply</t>
        </is>
      </c>
      <c r="D158" t="inlineStr">
        <is>
          <t>SM0011812-P2</t>
        </is>
      </c>
    </row>
    <row r="159">
      <c r="A159" t="inlineStr">
        <is>
          <t>MH-DC-001-DCIM-02</t>
        </is>
      </c>
      <c r="B159" t="inlineStr">
        <is>
          <t>FAN</t>
        </is>
      </c>
      <c r="C159" t="inlineStr">
        <is>
          <t>Fan module</t>
        </is>
      </c>
      <c r="D159" t="inlineStr">
        <is>
          <t>SM0011812-FN</t>
        </is>
      </c>
    </row>
    <row r="160">
      <c r="A160" t="inlineStr">
        <is>
          <t>MH-DC-001-DCIM-02</t>
        </is>
      </c>
      <c r="B160" t="inlineStr">
        <is>
          <t>DISK0</t>
        </is>
      </c>
      <c r="C160" t="inlineStr">
        <is>
          <t>NVMe 3.84 TB</t>
        </is>
      </c>
      <c r="D160" t="inlineStr">
        <is>
          <t>SM0011812-D0</t>
        </is>
      </c>
    </row>
    <row r="161">
      <c r="A161" t="inlineStr">
        <is>
          <t>MH-DC-001-DCIM-02</t>
        </is>
      </c>
      <c r="B161" t="inlineStr">
        <is>
          <t>DISK1</t>
        </is>
      </c>
      <c r="C161" t="inlineStr">
        <is>
          <t>NVMe 3.84 TB</t>
        </is>
      </c>
      <c r="D161" t="inlineStr">
        <is>
          <t>SM0011812-D1</t>
        </is>
      </c>
    </row>
    <row r="162">
      <c r="A162" t="inlineStr">
        <is>
          <t>MH-DC-001-DCIM-02</t>
        </is>
      </c>
      <c r="B162" t="inlineStr">
        <is>
          <t>DISK2</t>
        </is>
      </c>
      <c r="C162" t="inlineStr">
        <is>
          <t>NVMe 3.84 TB</t>
        </is>
      </c>
      <c r="D162" t="inlineStr">
        <is>
          <t>SM0011812-D2</t>
        </is>
      </c>
    </row>
    <row r="163">
      <c r="A163" t="inlineStr">
        <is>
          <t>MH-DC-001-DCIM-02</t>
        </is>
      </c>
      <c r="B163" t="inlineStr">
        <is>
          <t>DISK3</t>
        </is>
      </c>
      <c r="C163" t="inlineStr">
        <is>
          <t>NVMe 3.84 TB</t>
        </is>
      </c>
      <c r="D163" t="inlineStr">
        <is>
          <t>SM0011812-D3</t>
        </is>
      </c>
    </row>
    <row r="164">
      <c r="A164" t="inlineStr">
        <is>
          <t>MH-DC-001-MON-01</t>
        </is>
      </c>
      <c r="B164" t="inlineStr">
        <is>
          <t>PSU1</t>
        </is>
      </c>
      <c r="C164" t="inlineStr">
        <is>
          <t>Power supply</t>
        </is>
      </c>
      <c r="D164" t="inlineStr">
        <is>
          <t>HP0011825-P1</t>
        </is>
      </c>
    </row>
    <row r="165">
      <c r="A165" t="inlineStr">
        <is>
          <t>MH-DC-001-MON-01</t>
        </is>
      </c>
      <c r="B165" t="inlineStr">
        <is>
          <t>PSU2</t>
        </is>
      </c>
      <c r="C165" t="inlineStr">
        <is>
          <t>Power supply</t>
        </is>
      </c>
      <c r="D165" t="inlineStr">
        <is>
          <t>HP0011825-P2</t>
        </is>
      </c>
    </row>
    <row r="166">
      <c r="A166" t="inlineStr">
        <is>
          <t>MH-DC-001-MON-01</t>
        </is>
      </c>
      <c r="B166" t="inlineStr">
        <is>
          <t>FAN</t>
        </is>
      </c>
      <c r="C166" t="inlineStr">
        <is>
          <t>Fan module</t>
        </is>
      </c>
      <c r="D166" t="inlineStr">
        <is>
          <t>HP0011825-FN</t>
        </is>
      </c>
    </row>
    <row r="167">
      <c r="A167" t="inlineStr">
        <is>
          <t>MH-DC-001-MON-01</t>
        </is>
      </c>
      <c r="B167" t="inlineStr">
        <is>
          <t>DISK0</t>
        </is>
      </c>
      <c r="C167" t="inlineStr">
        <is>
          <t>NVMe 3.84 TB</t>
        </is>
      </c>
      <c r="D167" t="inlineStr">
        <is>
          <t>HP0011825-D0</t>
        </is>
      </c>
    </row>
    <row r="168">
      <c r="A168" t="inlineStr">
        <is>
          <t>MH-DC-001-MON-01</t>
        </is>
      </c>
      <c r="B168" t="inlineStr">
        <is>
          <t>DISK1</t>
        </is>
      </c>
      <c r="C168" t="inlineStr">
        <is>
          <t>NVMe 3.84 TB</t>
        </is>
      </c>
      <c r="D168" t="inlineStr">
        <is>
          <t>HP0011825-D1</t>
        </is>
      </c>
    </row>
    <row r="169">
      <c r="A169" t="inlineStr">
        <is>
          <t>MH-DC-001-MON-01</t>
        </is>
      </c>
      <c r="B169" t="inlineStr">
        <is>
          <t>DISK2</t>
        </is>
      </c>
      <c r="C169" t="inlineStr">
        <is>
          <t>NVMe 3.84 TB</t>
        </is>
      </c>
      <c r="D169" t="inlineStr">
        <is>
          <t>HP0011825-D2</t>
        </is>
      </c>
    </row>
    <row r="170">
      <c r="A170" t="inlineStr">
        <is>
          <t>MH-DC-001-MON-01</t>
        </is>
      </c>
      <c r="B170" t="inlineStr">
        <is>
          <t>DISK3</t>
        </is>
      </c>
      <c r="C170" t="inlineStr">
        <is>
          <t>NVMe 3.84 TB</t>
        </is>
      </c>
      <c r="D170" t="inlineStr">
        <is>
          <t>HP0011825-D3</t>
        </is>
      </c>
    </row>
    <row r="171">
      <c r="A171" t="inlineStr">
        <is>
          <t>MH-DC-001-MON-02</t>
        </is>
      </c>
      <c r="B171" t="inlineStr">
        <is>
          <t>PSU1</t>
        </is>
      </c>
      <c r="C171" t="inlineStr">
        <is>
          <t>Power supply</t>
        </is>
      </c>
      <c r="D171" t="inlineStr">
        <is>
          <t>DL0011829-P1</t>
        </is>
      </c>
    </row>
    <row r="172">
      <c r="A172" t="inlineStr">
        <is>
          <t>MH-DC-001-MON-02</t>
        </is>
      </c>
      <c r="B172" t="inlineStr">
        <is>
          <t>PSU2</t>
        </is>
      </c>
      <c r="C172" t="inlineStr">
        <is>
          <t>Power supply</t>
        </is>
      </c>
      <c r="D172" t="inlineStr">
        <is>
          <t>DL0011829-P2</t>
        </is>
      </c>
    </row>
    <row r="173">
      <c r="A173" t="inlineStr">
        <is>
          <t>MH-DC-001-MON-02</t>
        </is>
      </c>
      <c r="B173" t="inlineStr">
        <is>
          <t>FAN</t>
        </is>
      </c>
      <c r="C173" t="inlineStr">
        <is>
          <t>Fan module</t>
        </is>
      </c>
      <c r="D173" t="inlineStr">
        <is>
          <t>DL0011829-FN</t>
        </is>
      </c>
    </row>
    <row r="174">
      <c r="A174" t="inlineStr">
        <is>
          <t>MH-DC-001-MON-02</t>
        </is>
      </c>
      <c r="B174" t="inlineStr">
        <is>
          <t>DISK0</t>
        </is>
      </c>
      <c r="C174" t="inlineStr">
        <is>
          <t>NVMe 3.84 TB</t>
        </is>
      </c>
      <c r="D174" t="inlineStr">
        <is>
          <t>DL0011829-D0</t>
        </is>
      </c>
    </row>
    <row r="175">
      <c r="A175" t="inlineStr">
        <is>
          <t>MH-DC-001-MON-02</t>
        </is>
      </c>
      <c r="B175" t="inlineStr">
        <is>
          <t>DISK1</t>
        </is>
      </c>
      <c r="C175" t="inlineStr">
        <is>
          <t>NVMe 3.84 TB</t>
        </is>
      </c>
      <c r="D175" t="inlineStr">
        <is>
          <t>DL0011829-D1</t>
        </is>
      </c>
    </row>
    <row r="176">
      <c r="A176" t="inlineStr">
        <is>
          <t>MH-DC-001-MON-02</t>
        </is>
      </c>
      <c r="B176" t="inlineStr">
        <is>
          <t>DISK2</t>
        </is>
      </c>
      <c r="C176" t="inlineStr">
        <is>
          <t>NVMe 3.84 TB</t>
        </is>
      </c>
      <c r="D176" t="inlineStr">
        <is>
          <t>DL0011829-D2</t>
        </is>
      </c>
    </row>
    <row r="177">
      <c r="A177" t="inlineStr">
        <is>
          <t>MH-DC-001-MON-02</t>
        </is>
      </c>
      <c r="B177" t="inlineStr">
        <is>
          <t>DISK3</t>
        </is>
      </c>
      <c r="C177" t="inlineStr">
        <is>
          <t>NVMe 3.84 TB</t>
        </is>
      </c>
      <c r="D177" t="inlineStr">
        <is>
          <t>DL0011829-D3</t>
        </is>
      </c>
    </row>
    <row r="178">
      <c r="A178" t="inlineStr">
        <is>
          <t>MH-DC-002-PE-T4-01</t>
        </is>
      </c>
      <c r="B178" t="inlineStr">
        <is>
          <t>RE0</t>
        </is>
      </c>
      <c r="C178" t="inlineStr">
        <is>
          <t>Routing Engine</t>
        </is>
      </c>
      <c r="D178" t="inlineStr">
        <is>
          <t>JU0011001-RE0</t>
        </is>
      </c>
    </row>
    <row r="179">
      <c r="A179" t="inlineStr">
        <is>
          <t>MH-DC-002-PE-T4-01</t>
        </is>
      </c>
      <c r="B179" t="inlineStr">
        <is>
          <t>FPC0</t>
        </is>
      </c>
      <c r="C179" t="inlineStr">
        <is>
          <t>MPC (fixed)</t>
        </is>
      </c>
      <c r="D179" t="inlineStr">
        <is>
          <t>JU0011001-F0</t>
        </is>
      </c>
    </row>
    <row r="180">
      <c r="A180" t="inlineStr">
        <is>
          <t>MH-DC-002-PE-T4-01</t>
        </is>
      </c>
      <c r="B180" t="inlineStr">
        <is>
          <t>PEM0</t>
        </is>
      </c>
      <c r="C180" t="inlineStr">
        <is>
          <t>Power supply AC</t>
        </is>
      </c>
      <c r="D180" t="inlineStr">
        <is>
          <t>JU0011001-P0</t>
        </is>
      </c>
    </row>
    <row r="181">
      <c r="A181" t="inlineStr">
        <is>
          <t>MH-DC-002-PE-T4-01</t>
        </is>
      </c>
      <c r="B181" t="inlineStr">
        <is>
          <t>PEM1</t>
        </is>
      </c>
      <c r="C181" t="inlineStr">
        <is>
          <t>Power supply AC</t>
        </is>
      </c>
      <c r="D181" t="inlineStr">
        <is>
          <t>JU0011001-P1</t>
        </is>
      </c>
    </row>
    <row r="182">
      <c r="A182" t="inlineStr">
        <is>
          <t>MH-DC-002-PE-T4-01</t>
        </is>
      </c>
      <c r="B182" t="inlineStr">
        <is>
          <t>FAN0</t>
        </is>
      </c>
      <c r="C182" t="inlineStr">
        <is>
          <t>Fan tray</t>
        </is>
      </c>
      <c r="D182" t="inlineStr">
        <is>
          <t>JU0011001-FT</t>
        </is>
      </c>
    </row>
    <row r="183">
      <c r="A183" t="inlineStr">
        <is>
          <t>MH-DC-002-PE-T4-02</t>
        </is>
      </c>
      <c r="B183" t="inlineStr">
        <is>
          <t>RE0</t>
        </is>
      </c>
      <c r="C183" t="inlineStr">
        <is>
          <t>Routing Engine</t>
        </is>
      </c>
      <c r="D183" t="inlineStr">
        <is>
          <t>JU0011008-RE0</t>
        </is>
      </c>
    </row>
    <row r="184">
      <c r="A184" t="inlineStr">
        <is>
          <t>MH-DC-002-PE-T4-02</t>
        </is>
      </c>
      <c r="B184" t="inlineStr">
        <is>
          <t>FPC0</t>
        </is>
      </c>
      <c r="C184" t="inlineStr">
        <is>
          <t>MPC (fixed)</t>
        </is>
      </c>
      <c r="D184" t="inlineStr">
        <is>
          <t>JU0011008-F0</t>
        </is>
      </c>
    </row>
    <row r="185">
      <c r="A185" t="inlineStr">
        <is>
          <t>MH-DC-002-PE-T4-02</t>
        </is>
      </c>
      <c r="B185" t="inlineStr">
        <is>
          <t>PEM0</t>
        </is>
      </c>
      <c r="C185" t="inlineStr">
        <is>
          <t>Power supply AC</t>
        </is>
      </c>
      <c r="D185" t="inlineStr">
        <is>
          <t>JU0011008-P0</t>
        </is>
      </c>
    </row>
    <row r="186">
      <c r="A186" t="inlineStr">
        <is>
          <t>MH-DC-002-PE-T4-02</t>
        </is>
      </c>
      <c r="B186" t="inlineStr">
        <is>
          <t>PEM1</t>
        </is>
      </c>
      <c r="C186" t="inlineStr">
        <is>
          <t>Power supply AC</t>
        </is>
      </c>
      <c r="D186" t="inlineStr">
        <is>
          <t>JU0011008-P1</t>
        </is>
      </c>
    </row>
    <row r="187">
      <c r="A187" t="inlineStr">
        <is>
          <t>MH-DC-002-PE-T4-02</t>
        </is>
      </c>
      <c r="B187" t="inlineStr">
        <is>
          <t>FAN0</t>
        </is>
      </c>
      <c r="C187" t="inlineStr">
        <is>
          <t>Fan tray</t>
        </is>
      </c>
      <c r="D187" t="inlineStr">
        <is>
          <t>JU0011008-FT</t>
        </is>
      </c>
    </row>
    <row r="188">
      <c r="A188" t="inlineStr">
        <is>
          <t>MH-DC-002-PE-T4-03</t>
        </is>
      </c>
      <c r="B188" t="inlineStr">
        <is>
          <t>RE0</t>
        </is>
      </c>
      <c r="C188" t="inlineStr">
        <is>
          <t>Routing Engine</t>
        </is>
      </c>
      <c r="D188" t="inlineStr">
        <is>
          <t>CS0011017-RE0</t>
        </is>
      </c>
    </row>
    <row r="189">
      <c r="A189" t="inlineStr">
        <is>
          <t>MH-DC-002-PE-T4-03</t>
        </is>
      </c>
      <c r="B189" t="inlineStr">
        <is>
          <t>FPC0</t>
        </is>
      </c>
      <c r="C189" t="inlineStr">
        <is>
          <t>MPC7E-MRATE</t>
        </is>
      </c>
      <c r="D189" t="inlineStr">
        <is>
          <t>CS0011017-F0</t>
        </is>
      </c>
    </row>
    <row r="190">
      <c r="A190" t="inlineStr">
        <is>
          <t>MH-DC-002-PE-T4-03</t>
        </is>
      </c>
      <c r="B190" t="inlineStr">
        <is>
          <t>PEM0</t>
        </is>
      </c>
      <c r="C190" t="inlineStr">
        <is>
          <t>Power supply AC</t>
        </is>
      </c>
      <c r="D190" t="inlineStr">
        <is>
          <t>CS0011017-P0</t>
        </is>
      </c>
    </row>
    <row r="191">
      <c r="A191" t="inlineStr">
        <is>
          <t>MH-DC-002-PE-T4-03</t>
        </is>
      </c>
      <c r="B191" t="inlineStr">
        <is>
          <t>PEM1</t>
        </is>
      </c>
      <c r="C191" t="inlineStr">
        <is>
          <t>Power supply AC</t>
        </is>
      </c>
      <c r="D191" t="inlineStr">
        <is>
          <t>CS0011017-P1</t>
        </is>
      </c>
    </row>
    <row r="192">
      <c r="A192" t="inlineStr">
        <is>
          <t>MH-DC-002-PE-T4-03</t>
        </is>
      </c>
      <c r="B192" t="inlineStr">
        <is>
          <t>FAN0</t>
        </is>
      </c>
      <c r="C192" t="inlineStr">
        <is>
          <t>Fan tray</t>
        </is>
      </c>
      <c r="D192" t="inlineStr">
        <is>
          <t>CS0011017-FT</t>
        </is>
      </c>
    </row>
    <row r="193">
      <c r="A193" t="inlineStr">
        <is>
          <t>MH-DC-002-PE-T4-04</t>
        </is>
      </c>
      <c r="B193" t="inlineStr">
        <is>
          <t>RE0</t>
        </is>
      </c>
      <c r="C193" t="inlineStr">
        <is>
          <t>Routing Engine</t>
        </is>
      </c>
      <c r="D193" t="inlineStr">
        <is>
          <t>CS0011023-RE0</t>
        </is>
      </c>
    </row>
    <row r="194">
      <c r="A194" t="inlineStr">
        <is>
          <t>MH-DC-002-PE-T4-04</t>
        </is>
      </c>
      <c r="B194" t="inlineStr">
        <is>
          <t>FPC0</t>
        </is>
      </c>
      <c r="C194" t="inlineStr">
        <is>
          <t>MPC7E-MRATE</t>
        </is>
      </c>
      <c r="D194" t="inlineStr">
        <is>
          <t>CS0011023-F0</t>
        </is>
      </c>
    </row>
    <row r="195">
      <c r="A195" t="inlineStr">
        <is>
          <t>MH-DC-002-PE-T4-04</t>
        </is>
      </c>
      <c r="B195" t="inlineStr">
        <is>
          <t>PEM0</t>
        </is>
      </c>
      <c r="C195" t="inlineStr">
        <is>
          <t>Power supply AC</t>
        </is>
      </c>
      <c r="D195" t="inlineStr">
        <is>
          <t>CS0011023-P0</t>
        </is>
      </c>
    </row>
    <row r="196">
      <c r="A196" t="inlineStr">
        <is>
          <t>MH-DC-002-PE-T4-04</t>
        </is>
      </c>
      <c r="B196" t="inlineStr">
        <is>
          <t>PEM1</t>
        </is>
      </c>
      <c r="C196" t="inlineStr">
        <is>
          <t>Power supply AC</t>
        </is>
      </c>
      <c r="D196" t="inlineStr">
        <is>
          <t>CS0011023-P1</t>
        </is>
      </c>
    </row>
    <row r="197">
      <c r="A197" t="inlineStr">
        <is>
          <t>MH-DC-002-PE-T4-04</t>
        </is>
      </c>
      <c r="B197" t="inlineStr">
        <is>
          <t>FAN0</t>
        </is>
      </c>
      <c r="C197" t="inlineStr">
        <is>
          <t>Fan tray</t>
        </is>
      </c>
      <c r="D197" t="inlineStr">
        <is>
          <t>CS0011023-FT</t>
        </is>
      </c>
    </row>
    <row r="198">
      <c r="A198" t="inlineStr">
        <is>
          <t>MH-DC-002-FW-01</t>
        </is>
      </c>
      <c r="B198" t="inlineStr">
        <is>
          <t>PSU1</t>
        </is>
      </c>
      <c r="C198" t="inlineStr">
        <is>
          <t>Power supply</t>
        </is>
      </c>
      <c r="D198" t="inlineStr">
        <is>
          <t>FG0011028-P1</t>
        </is>
      </c>
    </row>
    <row r="199">
      <c r="A199" t="inlineStr">
        <is>
          <t>MH-DC-002-FW-01</t>
        </is>
      </c>
      <c r="B199" t="inlineStr">
        <is>
          <t>PSU2</t>
        </is>
      </c>
      <c r="C199" t="inlineStr">
        <is>
          <t>Power supply</t>
        </is>
      </c>
      <c r="D199" t="inlineStr">
        <is>
          <t>FG0011028-P2</t>
        </is>
      </c>
    </row>
    <row r="200">
      <c r="A200" t="inlineStr">
        <is>
          <t>MH-DC-002-FW-01</t>
        </is>
      </c>
      <c r="B200" t="inlineStr">
        <is>
          <t>FAN</t>
        </is>
      </c>
      <c r="C200" t="inlineStr">
        <is>
          <t>Fan module</t>
        </is>
      </c>
      <c r="D200" t="inlineStr">
        <is>
          <t>FG0011028-FN</t>
        </is>
      </c>
    </row>
    <row r="201">
      <c r="A201" t="inlineStr">
        <is>
          <t>MH-DC-002-OLA-01</t>
        </is>
      </c>
      <c r="B201" t="inlineStr">
        <is>
          <t>PSU1</t>
        </is>
      </c>
      <c r="C201" t="inlineStr">
        <is>
          <t>Power supply</t>
        </is>
      </c>
      <c r="D201" t="inlineStr">
        <is>
          <t>NK0011036-P1</t>
        </is>
      </c>
    </row>
    <row r="202">
      <c r="A202" t="inlineStr">
        <is>
          <t>MH-DC-002-OLA-01</t>
        </is>
      </c>
      <c r="B202" t="inlineStr">
        <is>
          <t>PSU2</t>
        </is>
      </c>
      <c r="C202" t="inlineStr">
        <is>
          <t>Power supply</t>
        </is>
      </c>
      <c r="D202" t="inlineStr">
        <is>
          <t>NK0011036-P2</t>
        </is>
      </c>
    </row>
    <row r="203">
      <c r="A203" t="inlineStr">
        <is>
          <t>MH-DC-002-OLA-01</t>
        </is>
      </c>
      <c r="B203" t="inlineStr">
        <is>
          <t>FAN</t>
        </is>
      </c>
      <c r="C203" t="inlineStr">
        <is>
          <t>Fan module</t>
        </is>
      </c>
      <c r="D203" t="inlineStr">
        <is>
          <t>NK0011036-FN</t>
        </is>
      </c>
    </row>
    <row r="204">
      <c r="A204" t="inlineStr">
        <is>
          <t>MH-DC-002-AGG-R01</t>
        </is>
      </c>
      <c r="B204" t="inlineStr">
        <is>
          <t>RE0</t>
        </is>
      </c>
      <c r="C204" t="inlineStr">
        <is>
          <t>Routing Engine</t>
        </is>
      </c>
      <c r="D204" t="inlineStr">
        <is>
          <t>JU0011043-RE0</t>
        </is>
      </c>
    </row>
    <row r="205">
      <c r="A205" t="inlineStr">
        <is>
          <t>MH-DC-002-AGG-R01</t>
        </is>
      </c>
      <c r="B205" t="inlineStr">
        <is>
          <t>FPC0</t>
        </is>
      </c>
      <c r="C205" t="inlineStr">
        <is>
          <t>MPC7E-MRATE</t>
        </is>
      </c>
      <c r="D205" t="inlineStr">
        <is>
          <t>JU0011043-F0</t>
        </is>
      </c>
    </row>
    <row r="206">
      <c r="A206" t="inlineStr">
        <is>
          <t>MH-DC-002-AGG-R01</t>
        </is>
      </c>
      <c r="B206" t="inlineStr">
        <is>
          <t>PEM0</t>
        </is>
      </c>
      <c r="C206" t="inlineStr">
        <is>
          <t>Power supply AC</t>
        </is>
      </c>
      <c r="D206" t="inlineStr">
        <is>
          <t>JU0011043-P0</t>
        </is>
      </c>
    </row>
    <row r="207">
      <c r="A207" t="inlineStr">
        <is>
          <t>MH-DC-002-AGG-R01</t>
        </is>
      </c>
      <c r="B207" t="inlineStr">
        <is>
          <t>PEM1</t>
        </is>
      </c>
      <c r="C207" t="inlineStr">
        <is>
          <t>Power supply AC</t>
        </is>
      </c>
      <c r="D207" t="inlineStr">
        <is>
          <t>JU0011043-P1</t>
        </is>
      </c>
    </row>
    <row r="208">
      <c r="A208" t="inlineStr">
        <is>
          <t>MH-DC-002-AGG-R01</t>
        </is>
      </c>
      <c r="B208" t="inlineStr">
        <is>
          <t>FAN0</t>
        </is>
      </c>
      <c r="C208" t="inlineStr">
        <is>
          <t>Fan tray</t>
        </is>
      </c>
      <c r="D208" t="inlineStr">
        <is>
          <t>JU0011043-FT</t>
        </is>
      </c>
    </row>
    <row r="209">
      <c r="A209" t="inlineStr">
        <is>
          <t>MH-DC-002-AGG-R02</t>
        </is>
      </c>
      <c r="B209" t="inlineStr">
        <is>
          <t>RE0</t>
        </is>
      </c>
      <c r="C209" t="inlineStr">
        <is>
          <t>Routing Engine</t>
        </is>
      </c>
      <c r="D209" t="inlineStr">
        <is>
          <t>JU0011052-RE0</t>
        </is>
      </c>
    </row>
    <row r="210">
      <c r="A210" t="inlineStr">
        <is>
          <t>MH-DC-002-AGG-R02</t>
        </is>
      </c>
      <c r="B210" t="inlineStr">
        <is>
          <t>FPC0</t>
        </is>
      </c>
      <c r="C210" t="inlineStr">
        <is>
          <t>MPC7E-MRATE</t>
        </is>
      </c>
      <c r="D210" t="inlineStr">
        <is>
          <t>JU0011052-F0</t>
        </is>
      </c>
    </row>
    <row r="211">
      <c r="A211" t="inlineStr">
        <is>
          <t>MH-DC-002-AGG-R02</t>
        </is>
      </c>
      <c r="B211" t="inlineStr">
        <is>
          <t>PEM0</t>
        </is>
      </c>
      <c r="C211" t="inlineStr">
        <is>
          <t>Power supply AC</t>
        </is>
      </c>
      <c r="D211" t="inlineStr">
        <is>
          <t>JU0011052-P0</t>
        </is>
      </c>
    </row>
    <row r="212">
      <c r="A212" t="inlineStr">
        <is>
          <t>MH-DC-002-AGG-R02</t>
        </is>
      </c>
      <c r="B212" t="inlineStr">
        <is>
          <t>PEM1</t>
        </is>
      </c>
      <c r="C212" t="inlineStr">
        <is>
          <t>Power supply AC</t>
        </is>
      </c>
      <c r="D212" t="inlineStr">
        <is>
          <t>JU0011052-P1</t>
        </is>
      </c>
    </row>
    <row r="213">
      <c r="A213" t="inlineStr">
        <is>
          <t>MH-DC-002-AGG-R02</t>
        </is>
      </c>
      <c r="B213" t="inlineStr">
        <is>
          <t>FAN0</t>
        </is>
      </c>
      <c r="C213" t="inlineStr">
        <is>
          <t>Fan tray</t>
        </is>
      </c>
      <c r="D213" t="inlineStr">
        <is>
          <t>JU0011052-FT</t>
        </is>
      </c>
    </row>
    <row r="214">
      <c r="A214" t="inlineStr">
        <is>
          <t>MH-DC-002-MMR-SW-01</t>
        </is>
      </c>
      <c r="B214" t="inlineStr">
        <is>
          <t>PSU1</t>
        </is>
      </c>
      <c r="C214" t="inlineStr">
        <is>
          <t>Power supply</t>
        </is>
      </c>
      <c r="D214" t="inlineStr">
        <is>
          <t>AR0011061-P1</t>
        </is>
      </c>
    </row>
    <row r="215">
      <c r="A215" t="inlineStr">
        <is>
          <t>MH-DC-002-MMR-SW-01</t>
        </is>
      </c>
      <c r="B215" t="inlineStr">
        <is>
          <t>PSU2</t>
        </is>
      </c>
      <c r="C215" t="inlineStr">
        <is>
          <t>Power supply</t>
        </is>
      </c>
      <c r="D215" t="inlineStr">
        <is>
          <t>AR0011061-P2</t>
        </is>
      </c>
    </row>
    <row r="216">
      <c r="A216" t="inlineStr">
        <is>
          <t>MH-DC-002-MMR-SW-01</t>
        </is>
      </c>
      <c r="B216" t="inlineStr">
        <is>
          <t>FAN</t>
        </is>
      </c>
      <c r="C216" t="inlineStr">
        <is>
          <t>Fan module</t>
        </is>
      </c>
      <c r="D216" t="inlineStr">
        <is>
          <t>AR0011061-FN</t>
        </is>
      </c>
    </row>
    <row r="217">
      <c r="A217" t="inlineStr">
        <is>
          <t>MH-DC-002-MMR-SW-02</t>
        </is>
      </c>
      <c r="B217" t="inlineStr">
        <is>
          <t>PSU1</t>
        </is>
      </c>
      <c r="C217" t="inlineStr">
        <is>
          <t>Power supply</t>
        </is>
      </c>
      <c r="D217" t="inlineStr">
        <is>
          <t>JU0011066-P1</t>
        </is>
      </c>
    </row>
    <row r="218">
      <c r="A218" t="inlineStr">
        <is>
          <t>MH-DC-002-MMR-SW-02</t>
        </is>
      </c>
      <c r="B218" t="inlineStr">
        <is>
          <t>PSU2</t>
        </is>
      </c>
      <c r="C218" t="inlineStr">
        <is>
          <t>Power supply</t>
        </is>
      </c>
      <c r="D218" t="inlineStr">
        <is>
          <t>JU0011066-P2</t>
        </is>
      </c>
    </row>
    <row r="219">
      <c r="A219" t="inlineStr">
        <is>
          <t>MH-DC-002-MMR-SW-02</t>
        </is>
      </c>
      <c r="B219" t="inlineStr">
        <is>
          <t>FAN</t>
        </is>
      </c>
      <c r="C219" t="inlineStr">
        <is>
          <t>Fan module</t>
        </is>
      </c>
      <c r="D219" t="inlineStr">
        <is>
          <t>JU0011066-FN</t>
        </is>
      </c>
    </row>
    <row r="220">
      <c r="A220" t="inlineStr">
        <is>
          <t>MH-DC-002-MMR-SW-03</t>
        </is>
      </c>
      <c r="B220" t="inlineStr">
        <is>
          <t>PSU1</t>
        </is>
      </c>
      <c r="C220" t="inlineStr">
        <is>
          <t>Power supply</t>
        </is>
      </c>
      <c r="D220" t="inlineStr">
        <is>
          <t>CS0011070-P1</t>
        </is>
      </c>
    </row>
    <row r="221">
      <c r="A221" t="inlineStr">
        <is>
          <t>MH-DC-002-MMR-SW-03</t>
        </is>
      </c>
      <c r="B221" t="inlineStr">
        <is>
          <t>PSU2</t>
        </is>
      </c>
      <c r="C221" t="inlineStr">
        <is>
          <t>Power supply</t>
        </is>
      </c>
      <c r="D221" t="inlineStr">
        <is>
          <t>CS0011070-P2</t>
        </is>
      </c>
    </row>
    <row r="222">
      <c r="A222" t="inlineStr">
        <is>
          <t>MH-DC-002-MMR-SW-03</t>
        </is>
      </c>
      <c r="B222" t="inlineStr">
        <is>
          <t>FAN</t>
        </is>
      </c>
      <c r="C222" t="inlineStr">
        <is>
          <t>Fan module</t>
        </is>
      </c>
      <c r="D222" t="inlineStr">
        <is>
          <t>CS0011070-FN</t>
        </is>
      </c>
    </row>
    <row r="223">
      <c r="A223" t="inlineStr">
        <is>
          <t>MH-DC-002-MMR-SW-04</t>
        </is>
      </c>
      <c r="B223" t="inlineStr">
        <is>
          <t>PSU1</t>
        </is>
      </c>
      <c r="C223" t="inlineStr">
        <is>
          <t>Power supply</t>
        </is>
      </c>
      <c r="D223" t="inlineStr">
        <is>
          <t>CS0011079-P1</t>
        </is>
      </c>
    </row>
    <row r="224">
      <c r="A224" t="inlineStr">
        <is>
          <t>MH-DC-002-MMR-SW-04</t>
        </is>
      </c>
      <c r="B224" t="inlineStr">
        <is>
          <t>PSU2</t>
        </is>
      </c>
      <c r="C224" t="inlineStr">
        <is>
          <t>Power supply</t>
        </is>
      </c>
      <c r="D224" t="inlineStr">
        <is>
          <t>CS0011079-P2</t>
        </is>
      </c>
    </row>
    <row r="225">
      <c r="A225" t="inlineStr">
        <is>
          <t>MH-DC-002-MMR-SW-04</t>
        </is>
      </c>
      <c r="B225" t="inlineStr">
        <is>
          <t>FAN</t>
        </is>
      </c>
      <c r="C225" t="inlineStr">
        <is>
          <t>Fan module</t>
        </is>
      </c>
      <c r="D225" t="inlineStr">
        <is>
          <t>CS0011079-FN</t>
        </is>
      </c>
    </row>
    <row r="226">
      <c r="A226" t="inlineStr">
        <is>
          <t>MH-DC-002-TOR-001</t>
        </is>
      </c>
      <c r="B226" t="inlineStr">
        <is>
          <t>PSU1</t>
        </is>
      </c>
      <c r="C226" t="inlineStr">
        <is>
          <t>Power supply</t>
        </is>
      </c>
      <c r="D226" t="inlineStr">
        <is>
          <t>JU0011085-P1</t>
        </is>
      </c>
    </row>
    <row r="227">
      <c r="A227" t="inlineStr">
        <is>
          <t>MH-DC-002-TOR-001</t>
        </is>
      </c>
      <c r="B227" t="inlineStr">
        <is>
          <t>PSU2</t>
        </is>
      </c>
      <c r="C227" t="inlineStr">
        <is>
          <t>Power supply</t>
        </is>
      </c>
      <c r="D227" t="inlineStr">
        <is>
          <t>JU0011085-P2</t>
        </is>
      </c>
    </row>
    <row r="228">
      <c r="A228" t="inlineStr">
        <is>
          <t>MH-DC-002-TOR-001</t>
        </is>
      </c>
      <c r="B228" t="inlineStr">
        <is>
          <t>FAN</t>
        </is>
      </c>
      <c r="C228" t="inlineStr">
        <is>
          <t>Fan module</t>
        </is>
      </c>
      <c r="D228" t="inlineStr">
        <is>
          <t>JU0011085-FN</t>
        </is>
      </c>
    </row>
    <row r="229">
      <c r="A229" t="inlineStr">
        <is>
          <t>MH-DC-002-TOR-002</t>
        </is>
      </c>
      <c r="B229" t="inlineStr">
        <is>
          <t>PSU1</t>
        </is>
      </c>
      <c r="C229" t="inlineStr">
        <is>
          <t>Power supply</t>
        </is>
      </c>
      <c r="D229" t="inlineStr">
        <is>
          <t>JU0011093-P1</t>
        </is>
      </c>
    </row>
    <row r="230">
      <c r="A230" t="inlineStr">
        <is>
          <t>MH-DC-002-TOR-002</t>
        </is>
      </c>
      <c r="B230" t="inlineStr">
        <is>
          <t>PSU2</t>
        </is>
      </c>
      <c r="C230" t="inlineStr">
        <is>
          <t>Power supply</t>
        </is>
      </c>
      <c r="D230" t="inlineStr">
        <is>
          <t>JU0011093-P2</t>
        </is>
      </c>
    </row>
    <row r="231">
      <c r="A231" t="inlineStr">
        <is>
          <t>MH-DC-002-TOR-002</t>
        </is>
      </c>
      <c r="B231" t="inlineStr">
        <is>
          <t>FAN</t>
        </is>
      </c>
      <c r="C231" t="inlineStr">
        <is>
          <t>Fan module</t>
        </is>
      </c>
      <c r="D231" t="inlineStr">
        <is>
          <t>JU0011093-FN</t>
        </is>
      </c>
    </row>
    <row r="232">
      <c r="A232" t="inlineStr">
        <is>
          <t>MH-DC-002-TOR-003</t>
        </is>
      </c>
      <c r="B232" t="inlineStr">
        <is>
          <t>PSU1</t>
        </is>
      </c>
      <c r="C232" t="inlineStr">
        <is>
          <t>Power supply</t>
        </is>
      </c>
      <c r="D232" t="inlineStr">
        <is>
          <t>CS0011101-P1</t>
        </is>
      </c>
    </row>
    <row r="233">
      <c r="A233" t="inlineStr">
        <is>
          <t>MH-DC-002-TOR-003</t>
        </is>
      </c>
      <c r="B233" t="inlineStr">
        <is>
          <t>PSU2</t>
        </is>
      </c>
      <c r="C233" t="inlineStr">
        <is>
          <t>Power supply</t>
        </is>
      </c>
      <c r="D233" t="inlineStr">
        <is>
          <t>CS0011101-P2</t>
        </is>
      </c>
    </row>
    <row r="234">
      <c r="A234" t="inlineStr">
        <is>
          <t>MH-DC-002-TOR-003</t>
        </is>
      </c>
      <c r="B234" t="inlineStr">
        <is>
          <t>FAN</t>
        </is>
      </c>
      <c r="C234" t="inlineStr">
        <is>
          <t>Fan module</t>
        </is>
      </c>
      <c r="D234" t="inlineStr">
        <is>
          <t>CS0011101-FN</t>
        </is>
      </c>
    </row>
    <row r="235">
      <c r="A235" t="inlineStr">
        <is>
          <t>MH-DC-002-BMS-01</t>
        </is>
      </c>
      <c r="B235" t="inlineStr">
        <is>
          <t>PSU1</t>
        </is>
      </c>
      <c r="C235" t="inlineStr">
        <is>
          <t>Power supply</t>
        </is>
      </c>
      <c r="D235" t="inlineStr">
        <is>
          <t>SM0011380-P1</t>
        </is>
      </c>
    </row>
    <row r="236">
      <c r="A236" t="inlineStr">
        <is>
          <t>MH-DC-002-BMS-01</t>
        </is>
      </c>
      <c r="B236" t="inlineStr">
        <is>
          <t>PSU2</t>
        </is>
      </c>
      <c r="C236" t="inlineStr">
        <is>
          <t>Power supply</t>
        </is>
      </c>
      <c r="D236" t="inlineStr">
        <is>
          <t>SM0011380-P2</t>
        </is>
      </c>
    </row>
    <row r="237">
      <c r="A237" t="inlineStr">
        <is>
          <t>MH-DC-002-BMS-01</t>
        </is>
      </c>
      <c r="B237" t="inlineStr">
        <is>
          <t>FAN</t>
        </is>
      </c>
      <c r="C237" t="inlineStr">
        <is>
          <t>Fan module</t>
        </is>
      </c>
      <c r="D237" t="inlineStr">
        <is>
          <t>SM0011380-FN</t>
        </is>
      </c>
    </row>
    <row r="238">
      <c r="A238" t="inlineStr">
        <is>
          <t>MH-DC-002-BMS-01</t>
        </is>
      </c>
      <c r="B238" t="inlineStr">
        <is>
          <t>DISK0</t>
        </is>
      </c>
      <c r="C238" t="inlineStr">
        <is>
          <t>NVMe 3.84 TB</t>
        </is>
      </c>
      <c r="D238" t="inlineStr">
        <is>
          <t>SM0011380-D0</t>
        </is>
      </c>
    </row>
    <row r="239">
      <c r="A239" t="inlineStr">
        <is>
          <t>MH-DC-002-BMS-01</t>
        </is>
      </c>
      <c r="B239" t="inlineStr">
        <is>
          <t>DISK1</t>
        </is>
      </c>
      <c r="C239" t="inlineStr">
        <is>
          <t>NVMe 3.84 TB</t>
        </is>
      </c>
      <c r="D239" t="inlineStr">
        <is>
          <t>SM0011380-D1</t>
        </is>
      </c>
    </row>
    <row r="240">
      <c r="A240" t="inlineStr">
        <is>
          <t>MH-DC-002-BMS-01</t>
        </is>
      </c>
      <c r="B240" t="inlineStr">
        <is>
          <t>DISK2</t>
        </is>
      </c>
      <c r="C240" t="inlineStr">
        <is>
          <t>NVMe 3.84 TB</t>
        </is>
      </c>
      <c r="D240" t="inlineStr">
        <is>
          <t>SM0011380-D2</t>
        </is>
      </c>
    </row>
    <row r="241">
      <c r="A241" t="inlineStr">
        <is>
          <t>MH-DC-002-BMS-01</t>
        </is>
      </c>
      <c r="B241" t="inlineStr">
        <is>
          <t>DISK3</t>
        </is>
      </c>
      <c r="C241" t="inlineStr">
        <is>
          <t>NVMe 3.84 TB</t>
        </is>
      </c>
      <c r="D241" t="inlineStr">
        <is>
          <t>SM0011380-D3</t>
        </is>
      </c>
    </row>
    <row r="242">
      <c r="A242" t="inlineStr">
        <is>
          <t>MH-DC-002-BMS-02</t>
        </is>
      </c>
      <c r="B242" t="inlineStr">
        <is>
          <t>PSU1</t>
        </is>
      </c>
      <c r="C242" t="inlineStr">
        <is>
          <t>Power supply</t>
        </is>
      </c>
      <c r="D242" t="inlineStr">
        <is>
          <t>SM0011389-P1</t>
        </is>
      </c>
    </row>
    <row r="243">
      <c r="A243" t="inlineStr">
        <is>
          <t>MH-DC-002-BMS-02</t>
        </is>
      </c>
      <c r="B243" t="inlineStr">
        <is>
          <t>PSU2</t>
        </is>
      </c>
      <c r="C243" t="inlineStr">
        <is>
          <t>Power supply</t>
        </is>
      </c>
      <c r="D243" t="inlineStr">
        <is>
          <t>SM0011389-P2</t>
        </is>
      </c>
    </row>
    <row r="244">
      <c r="A244" t="inlineStr">
        <is>
          <t>MH-DC-002-BMS-02</t>
        </is>
      </c>
      <c r="B244" t="inlineStr">
        <is>
          <t>FAN</t>
        </is>
      </c>
      <c r="C244" t="inlineStr">
        <is>
          <t>Fan module</t>
        </is>
      </c>
      <c r="D244" t="inlineStr">
        <is>
          <t>SM0011389-FN</t>
        </is>
      </c>
    </row>
    <row r="245">
      <c r="A245" t="inlineStr">
        <is>
          <t>MH-DC-002-BMS-02</t>
        </is>
      </c>
      <c r="B245" t="inlineStr">
        <is>
          <t>DISK0</t>
        </is>
      </c>
      <c r="C245" t="inlineStr">
        <is>
          <t>NVMe 3.84 TB</t>
        </is>
      </c>
      <c r="D245" t="inlineStr">
        <is>
          <t>SM0011389-D0</t>
        </is>
      </c>
    </row>
    <row r="246">
      <c r="A246" t="inlineStr">
        <is>
          <t>MH-DC-002-BMS-02</t>
        </is>
      </c>
      <c r="B246" t="inlineStr">
        <is>
          <t>DISK1</t>
        </is>
      </c>
      <c r="C246" t="inlineStr">
        <is>
          <t>NVMe 3.84 TB</t>
        </is>
      </c>
      <c r="D246" t="inlineStr">
        <is>
          <t>SM0011389-D1</t>
        </is>
      </c>
    </row>
    <row r="247">
      <c r="A247" t="inlineStr">
        <is>
          <t>MH-DC-002-BMS-02</t>
        </is>
      </c>
      <c r="B247" t="inlineStr">
        <is>
          <t>DISK2</t>
        </is>
      </c>
      <c r="C247" t="inlineStr">
        <is>
          <t>NVMe 3.84 TB</t>
        </is>
      </c>
      <c r="D247" t="inlineStr">
        <is>
          <t>SM0011389-D2</t>
        </is>
      </c>
    </row>
    <row r="248">
      <c r="A248" t="inlineStr">
        <is>
          <t>MH-DC-002-BMS-02</t>
        </is>
      </c>
      <c r="B248" t="inlineStr">
        <is>
          <t>DISK3</t>
        </is>
      </c>
      <c r="C248" t="inlineStr">
        <is>
          <t>NVMe 3.84 TB</t>
        </is>
      </c>
      <c r="D248" t="inlineStr">
        <is>
          <t>SM0011389-D3</t>
        </is>
      </c>
    </row>
    <row r="249">
      <c r="A249" t="inlineStr">
        <is>
          <t>MH-DC-002-ACS-01</t>
        </is>
      </c>
      <c r="B249" t="inlineStr">
        <is>
          <t>PSU1</t>
        </is>
      </c>
      <c r="C249" t="inlineStr">
        <is>
          <t>Power supply</t>
        </is>
      </c>
      <c r="D249" t="inlineStr">
        <is>
          <t>SM0011397-P1</t>
        </is>
      </c>
    </row>
    <row r="250">
      <c r="A250" t="inlineStr">
        <is>
          <t>MH-DC-002-ACS-01</t>
        </is>
      </c>
      <c r="B250" t="inlineStr">
        <is>
          <t>PSU2</t>
        </is>
      </c>
      <c r="C250" t="inlineStr">
        <is>
          <t>Power supply</t>
        </is>
      </c>
      <c r="D250" t="inlineStr">
        <is>
          <t>SM0011397-P2</t>
        </is>
      </c>
    </row>
    <row r="251">
      <c r="A251" t="inlineStr">
        <is>
          <t>MH-DC-002-ACS-01</t>
        </is>
      </c>
      <c r="B251" t="inlineStr">
        <is>
          <t>FAN</t>
        </is>
      </c>
      <c r="C251" t="inlineStr">
        <is>
          <t>Fan module</t>
        </is>
      </c>
      <c r="D251" t="inlineStr">
        <is>
          <t>SM0011397-FN</t>
        </is>
      </c>
    </row>
    <row r="252">
      <c r="A252" t="inlineStr">
        <is>
          <t>MH-DC-002-ACS-01</t>
        </is>
      </c>
      <c r="B252" t="inlineStr">
        <is>
          <t>DISK0</t>
        </is>
      </c>
      <c r="C252" t="inlineStr">
        <is>
          <t>NVMe 3.84 TB</t>
        </is>
      </c>
      <c r="D252" t="inlineStr">
        <is>
          <t>SM0011397-D0</t>
        </is>
      </c>
    </row>
    <row r="253">
      <c r="A253" t="inlineStr">
        <is>
          <t>MH-DC-002-ACS-01</t>
        </is>
      </c>
      <c r="B253" t="inlineStr">
        <is>
          <t>DISK1</t>
        </is>
      </c>
      <c r="C253" t="inlineStr">
        <is>
          <t>NVMe 3.84 TB</t>
        </is>
      </c>
      <c r="D253" t="inlineStr">
        <is>
          <t>SM0011397-D1</t>
        </is>
      </c>
    </row>
    <row r="254">
      <c r="A254" t="inlineStr">
        <is>
          <t>MH-DC-002-ACS-01</t>
        </is>
      </c>
      <c r="B254" t="inlineStr">
        <is>
          <t>DISK2</t>
        </is>
      </c>
      <c r="C254" t="inlineStr">
        <is>
          <t>NVMe 3.84 TB</t>
        </is>
      </c>
      <c r="D254" t="inlineStr">
        <is>
          <t>SM0011397-D2</t>
        </is>
      </c>
    </row>
    <row r="255">
      <c r="A255" t="inlineStr">
        <is>
          <t>MH-DC-002-ACS-01</t>
        </is>
      </c>
      <c r="B255" t="inlineStr">
        <is>
          <t>DISK3</t>
        </is>
      </c>
      <c r="C255" t="inlineStr">
        <is>
          <t>NVMe 3.84 TB</t>
        </is>
      </c>
      <c r="D255" t="inlineStr">
        <is>
          <t>SM0011397-D3</t>
        </is>
      </c>
    </row>
    <row r="256">
      <c r="A256" t="inlineStr">
        <is>
          <t>MH-DC-002-NVR-01</t>
        </is>
      </c>
      <c r="B256" t="inlineStr">
        <is>
          <t>PSU1</t>
        </is>
      </c>
      <c r="C256" t="inlineStr">
        <is>
          <t>Power supply</t>
        </is>
      </c>
      <c r="D256" t="inlineStr">
        <is>
          <t>DL0011403-P1</t>
        </is>
      </c>
    </row>
    <row r="257">
      <c r="A257" t="inlineStr">
        <is>
          <t>MH-DC-002-NVR-01</t>
        </is>
      </c>
      <c r="B257" t="inlineStr">
        <is>
          <t>PSU2</t>
        </is>
      </c>
      <c r="C257" t="inlineStr">
        <is>
          <t>Power supply</t>
        </is>
      </c>
      <c r="D257" t="inlineStr">
        <is>
          <t>DL0011403-P2</t>
        </is>
      </c>
    </row>
    <row r="258">
      <c r="A258" t="inlineStr">
        <is>
          <t>MH-DC-002-NVR-01</t>
        </is>
      </c>
      <c r="B258" t="inlineStr">
        <is>
          <t>FAN</t>
        </is>
      </c>
      <c r="C258" t="inlineStr">
        <is>
          <t>Fan module</t>
        </is>
      </c>
      <c r="D258" t="inlineStr">
        <is>
          <t>DL0011403-FN</t>
        </is>
      </c>
    </row>
    <row r="259">
      <c r="A259" t="inlineStr">
        <is>
          <t>MH-DC-002-NVR-01</t>
        </is>
      </c>
      <c r="B259" t="inlineStr">
        <is>
          <t>DISK0</t>
        </is>
      </c>
      <c r="C259" t="inlineStr">
        <is>
          <t>NVMe 3.84 TB</t>
        </is>
      </c>
      <c r="D259" t="inlineStr">
        <is>
          <t>DL0011403-D0</t>
        </is>
      </c>
    </row>
    <row r="260">
      <c r="A260" t="inlineStr">
        <is>
          <t>MH-DC-002-NVR-01</t>
        </is>
      </c>
      <c r="B260" t="inlineStr">
        <is>
          <t>DISK1</t>
        </is>
      </c>
      <c r="C260" t="inlineStr">
        <is>
          <t>NVMe 3.84 TB</t>
        </is>
      </c>
      <c r="D260" t="inlineStr">
        <is>
          <t>DL0011403-D1</t>
        </is>
      </c>
    </row>
    <row r="261">
      <c r="A261" t="inlineStr">
        <is>
          <t>MH-DC-002-NVR-01</t>
        </is>
      </c>
      <c r="B261" t="inlineStr">
        <is>
          <t>DISK2</t>
        </is>
      </c>
      <c r="C261" t="inlineStr">
        <is>
          <t>NVMe 3.84 TB</t>
        </is>
      </c>
      <c r="D261" t="inlineStr">
        <is>
          <t>DL0011403-D2</t>
        </is>
      </c>
    </row>
    <row r="262">
      <c r="A262" t="inlineStr">
        <is>
          <t>MH-DC-002-NVR-01</t>
        </is>
      </c>
      <c r="B262" t="inlineStr">
        <is>
          <t>DISK3</t>
        </is>
      </c>
      <c r="C262" t="inlineStr">
        <is>
          <t>NVMe 3.84 TB</t>
        </is>
      </c>
      <c r="D262" t="inlineStr">
        <is>
          <t>DL0011403-D3</t>
        </is>
      </c>
    </row>
    <row r="263">
      <c r="A263" t="inlineStr">
        <is>
          <t>MH-DC-002-JMP-01</t>
        </is>
      </c>
      <c r="B263" t="inlineStr">
        <is>
          <t>PSU1</t>
        </is>
      </c>
      <c r="C263" t="inlineStr">
        <is>
          <t>Power supply</t>
        </is>
      </c>
      <c r="D263" t="inlineStr">
        <is>
          <t>HP0011412-P1</t>
        </is>
      </c>
    </row>
    <row r="264">
      <c r="A264" t="inlineStr">
        <is>
          <t>MH-DC-002-JMP-01</t>
        </is>
      </c>
      <c r="B264" t="inlineStr">
        <is>
          <t>PSU2</t>
        </is>
      </c>
      <c r="C264" t="inlineStr">
        <is>
          <t>Power supply</t>
        </is>
      </c>
      <c r="D264" t="inlineStr">
        <is>
          <t>HP0011412-P2</t>
        </is>
      </c>
    </row>
    <row r="265">
      <c r="A265" t="inlineStr">
        <is>
          <t>MH-DC-002-JMP-01</t>
        </is>
      </c>
      <c r="B265" t="inlineStr">
        <is>
          <t>FAN</t>
        </is>
      </c>
      <c r="C265" t="inlineStr">
        <is>
          <t>Fan module</t>
        </is>
      </c>
      <c r="D265" t="inlineStr">
        <is>
          <t>HP0011412-FN</t>
        </is>
      </c>
    </row>
    <row r="266">
      <c r="A266" t="inlineStr">
        <is>
          <t>MH-DC-002-JMP-01</t>
        </is>
      </c>
      <c r="B266" t="inlineStr">
        <is>
          <t>DISK0</t>
        </is>
      </c>
      <c r="C266" t="inlineStr">
        <is>
          <t>NVMe 3.84 TB</t>
        </is>
      </c>
      <c r="D266" t="inlineStr">
        <is>
          <t>HP0011412-D0</t>
        </is>
      </c>
    </row>
    <row r="267">
      <c r="A267" t="inlineStr">
        <is>
          <t>MH-DC-002-JMP-01</t>
        </is>
      </c>
      <c r="B267" t="inlineStr">
        <is>
          <t>DISK1</t>
        </is>
      </c>
      <c r="C267" t="inlineStr">
        <is>
          <t>NVMe 3.84 TB</t>
        </is>
      </c>
      <c r="D267" t="inlineStr">
        <is>
          <t>HP0011412-D1</t>
        </is>
      </c>
    </row>
    <row r="268">
      <c r="A268" t="inlineStr">
        <is>
          <t>MH-DC-002-JMP-01</t>
        </is>
      </c>
      <c r="B268" t="inlineStr">
        <is>
          <t>DISK2</t>
        </is>
      </c>
      <c r="C268" t="inlineStr">
        <is>
          <t>NVMe 3.84 TB</t>
        </is>
      </c>
      <c r="D268" t="inlineStr">
        <is>
          <t>HP0011412-D2</t>
        </is>
      </c>
    </row>
    <row r="269">
      <c r="A269" t="inlineStr">
        <is>
          <t>MH-DC-002-JMP-01</t>
        </is>
      </c>
      <c r="B269" t="inlineStr">
        <is>
          <t>DISK3</t>
        </is>
      </c>
      <c r="C269" t="inlineStr">
        <is>
          <t>NVMe 3.84 TB</t>
        </is>
      </c>
      <c r="D269" t="inlineStr">
        <is>
          <t>HP0011412-D3</t>
        </is>
      </c>
    </row>
    <row r="270">
      <c r="A270" t="inlineStr">
        <is>
          <t>MH-DC-002-BKP-01</t>
        </is>
      </c>
      <c r="B270" t="inlineStr">
        <is>
          <t>PSU1</t>
        </is>
      </c>
      <c r="C270" t="inlineStr">
        <is>
          <t>Power supply</t>
        </is>
      </c>
      <c r="D270" t="inlineStr">
        <is>
          <t>HP0011414-P1</t>
        </is>
      </c>
    </row>
    <row r="271">
      <c r="A271" t="inlineStr">
        <is>
          <t>MH-DC-002-BKP-01</t>
        </is>
      </c>
      <c r="B271" t="inlineStr">
        <is>
          <t>PSU2</t>
        </is>
      </c>
      <c r="C271" t="inlineStr">
        <is>
          <t>Power supply</t>
        </is>
      </c>
      <c r="D271" t="inlineStr">
        <is>
          <t>HP0011414-P2</t>
        </is>
      </c>
    </row>
    <row r="272">
      <c r="A272" t="inlineStr">
        <is>
          <t>MH-DC-002-BKP-01</t>
        </is>
      </c>
      <c r="B272" t="inlineStr">
        <is>
          <t>FAN</t>
        </is>
      </c>
      <c r="C272" t="inlineStr">
        <is>
          <t>Fan module</t>
        </is>
      </c>
      <c r="D272" t="inlineStr">
        <is>
          <t>HP0011414-FN</t>
        </is>
      </c>
    </row>
    <row r="273">
      <c r="A273" t="inlineStr">
        <is>
          <t>MH-DC-002-BKP-01</t>
        </is>
      </c>
      <c r="B273" t="inlineStr">
        <is>
          <t>DISK0</t>
        </is>
      </c>
      <c r="C273" t="inlineStr">
        <is>
          <t>NVMe 3.84 TB</t>
        </is>
      </c>
      <c r="D273" t="inlineStr">
        <is>
          <t>HP0011414-D0</t>
        </is>
      </c>
    </row>
    <row r="274">
      <c r="A274" t="inlineStr">
        <is>
          <t>MH-DC-002-BKP-01</t>
        </is>
      </c>
      <c r="B274" t="inlineStr">
        <is>
          <t>DISK1</t>
        </is>
      </c>
      <c r="C274" t="inlineStr">
        <is>
          <t>NVMe 3.84 TB</t>
        </is>
      </c>
      <c r="D274" t="inlineStr">
        <is>
          <t>HP0011414-D1</t>
        </is>
      </c>
    </row>
    <row r="275">
      <c r="A275" t="inlineStr">
        <is>
          <t>MH-DC-002-BKP-01</t>
        </is>
      </c>
      <c r="B275" t="inlineStr">
        <is>
          <t>DISK2</t>
        </is>
      </c>
      <c r="C275" t="inlineStr">
        <is>
          <t>NVMe 3.84 TB</t>
        </is>
      </c>
      <c r="D275" t="inlineStr">
        <is>
          <t>HP0011414-D2</t>
        </is>
      </c>
    </row>
    <row r="276">
      <c r="A276" t="inlineStr">
        <is>
          <t>MH-DC-002-BKP-01</t>
        </is>
      </c>
      <c r="B276" t="inlineStr">
        <is>
          <t>DISK3</t>
        </is>
      </c>
      <c r="C276" t="inlineStr">
        <is>
          <t>NVMe 3.84 TB</t>
        </is>
      </c>
      <c r="D276" t="inlineStr">
        <is>
          <t>HP0011414-D3</t>
        </is>
      </c>
    </row>
    <row r="277">
      <c r="A277" t="inlineStr">
        <is>
          <t>MH-DC-002-DCIM-01</t>
        </is>
      </c>
      <c r="B277" t="inlineStr">
        <is>
          <t>PSU1</t>
        </is>
      </c>
      <c r="C277" t="inlineStr">
        <is>
          <t>Power supply</t>
        </is>
      </c>
      <c r="D277" t="inlineStr">
        <is>
          <t>HP0011421-P1</t>
        </is>
      </c>
    </row>
    <row r="278">
      <c r="A278" t="inlineStr">
        <is>
          <t>MH-DC-002-DCIM-01</t>
        </is>
      </c>
      <c r="B278" t="inlineStr">
        <is>
          <t>PSU2</t>
        </is>
      </c>
      <c r="C278" t="inlineStr">
        <is>
          <t>Power supply</t>
        </is>
      </c>
      <c r="D278" t="inlineStr">
        <is>
          <t>HP0011421-P2</t>
        </is>
      </c>
    </row>
    <row r="279">
      <c r="A279" t="inlineStr">
        <is>
          <t>MH-DC-002-DCIM-01</t>
        </is>
      </c>
      <c r="B279" t="inlineStr">
        <is>
          <t>FAN</t>
        </is>
      </c>
      <c r="C279" t="inlineStr">
        <is>
          <t>Fan module</t>
        </is>
      </c>
      <c r="D279" t="inlineStr">
        <is>
          <t>HP0011421-FN</t>
        </is>
      </c>
    </row>
    <row r="280">
      <c r="A280" t="inlineStr">
        <is>
          <t>MH-DC-002-DCIM-01</t>
        </is>
      </c>
      <c r="B280" t="inlineStr">
        <is>
          <t>DISK0</t>
        </is>
      </c>
      <c r="C280" t="inlineStr">
        <is>
          <t>NVMe 3.84 TB</t>
        </is>
      </c>
      <c r="D280" t="inlineStr">
        <is>
          <t>HP0011421-D0</t>
        </is>
      </c>
    </row>
    <row r="281">
      <c r="A281" t="inlineStr">
        <is>
          <t>MH-DC-002-DCIM-01</t>
        </is>
      </c>
      <c r="B281" t="inlineStr">
        <is>
          <t>DISK1</t>
        </is>
      </c>
      <c r="C281" t="inlineStr">
        <is>
          <t>NVMe 3.84 TB</t>
        </is>
      </c>
      <c r="D281" t="inlineStr">
        <is>
          <t>HP0011421-D1</t>
        </is>
      </c>
    </row>
    <row r="282">
      <c r="A282" t="inlineStr">
        <is>
          <t>MH-DC-002-DCIM-01</t>
        </is>
      </c>
      <c r="B282" t="inlineStr">
        <is>
          <t>DISK2</t>
        </is>
      </c>
      <c r="C282" t="inlineStr">
        <is>
          <t>NVMe 3.84 TB</t>
        </is>
      </c>
      <c r="D282" t="inlineStr">
        <is>
          <t>HP0011421-D2</t>
        </is>
      </c>
    </row>
    <row r="283">
      <c r="A283" t="inlineStr">
        <is>
          <t>MH-DC-002-DCIM-01</t>
        </is>
      </c>
      <c r="B283" t="inlineStr">
        <is>
          <t>DISK3</t>
        </is>
      </c>
      <c r="C283" t="inlineStr">
        <is>
          <t>NVMe 3.84 TB</t>
        </is>
      </c>
      <c r="D283" t="inlineStr">
        <is>
          <t>HP0011421-D3</t>
        </is>
      </c>
    </row>
    <row r="284">
      <c r="A284" t="inlineStr">
        <is>
          <t>MH-DC-002-DCIM-02</t>
        </is>
      </c>
      <c r="B284" t="inlineStr">
        <is>
          <t>PSU1</t>
        </is>
      </c>
      <c r="C284" t="inlineStr">
        <is>
          <t>Power supply</t>
        </is>
      </c>
      <c r="D284" t="inlineStr">
        <is>
          <t>SM0011433-P1</t>
        </is>
      </c>
    </row>
    <row r="285">
      <c r="A285" t="inlineStr">
        <is>
          <t>MH-DC-002-DCIM-02</t>
        </is>
      </c>
      <c r="B285" t="inlineStr">
        <is>
          <t>PSU2</t>
        </is>
      </c>
      <c r="C285" t="inlineStr">
        <is>
          <t>Power supply</t>
        </is>
      </c>
      <c r="D285" t="inlineStr">
        <is>
          <t>SM0011433-P2</t>
        </is>
      </c>
    </row>
    <row r="286">
      <c r="A286" t="inlineStr">
        <is>
          <t>MH-DC-002-DCIM-02</t>
        </is>
      </c>
      <c r="B286" t="inlineStr">
        <is>
          <t>FAN</t>
        </is>
      </c>
      <c r="C286" t="inlineStr">
        <is>
          <t>Fan module</t>
        </is>
      </c>
      <c r="D286" t="inlineStr">
        <is>
          <t>SM0011433-FN</t>
        </is>
      </c>
    </row>
    <row r="287">
      <c r="A287" t="inlineStr">
        <is>
          <t>MH-DC-002-DCIM-02</t>
        </is>
      </c>
      <c r="B287" t="inlineStr">
        <is>
          <t>DISK0</t>
        </is>
      </c>
      <c r="C287" t="inlineStr">
        <is>
          <t>NVMe 3.84 TB</t>
        </is>
      </c>
      <c r="D287" t="inlineStr">
        <is>
          <t>SM0011433-D0</t>
        </is>
      </c>
    </row>
    <row r="288">
      <c r="A288" t="inlineStr">
        <is>
          <t>MH-DC-002-DCIM-02</t>
        </is>
      </c>
      <c r="B288" t="inlineStr">
        <is>
          <t>DISK1</t>
        </is>
      </c>
      <c r="C288" t="inlineStr">
        <is>
          <t>NVMe 3.84 TB</t>
        </is>
      </c>
      <c r="D288" t="inlineStr">
        <is>
          <t>SM0011433-D1</t>
        </is>
      </c>
    </row>
    <row r="289">
      <c r="A289" t="inlineStr">
        <is>
          <t>MH-DC-002-DCIM-02</t>
        </is>
      </c>
      <c r="B289" t="inlineStr">
        <is>
          <t>DISK2</t>
        </is>
      </c>
      <c r="C289" t="inlineStr">
        <is>
          <t>NVMe 3.84 TB</t>
        </is>
      </c>
      <c r="D289" t="inlineStr">
        <is>
          <t>SM0011433-D2</t>
        </is>
      </c>
    </row>
    <row r="290">
      <c r="A290" t="inlineStr">
        <is>
          <t>MH-DC-002-DCIM-02</t>
        </is>
      </c>
      <c r="B290" t="inlineStr">
        <is>
          <t>DISK3</t>
        </is>
      </c>
      <c r="C290" t="inlineStr">
        <is>
          <t>NVMe 3.84 TB</t>
        </is>
      </c>
      <c r="D290" t="inlineStr">
        <is>
          <t>SM0011433-D3</t>
        </is>
      </c>
    </row>
    <row r="291">
      <c r="A291" t="inlineStr">
        <is>
          <t>MH-DC-002-MON-01</t>
        </is>
      </c>
      <c r="B291" t="inlineStr">
        <is>
          <t>PSU1</t>
        </is>
      </c>
      <c r="C291" t="inlineStr">
        <is>
          <t>Power supply</t>
        </is>
      </c>
      <c r="D291" t="inlineStr">
        <is>
          <t>SM0011438-P1</t>
        </is>
      </c>
    </row>
    <row r="292">
      <c r="A292" t="inlineStr">
        <is>
          <t>MH-DC-002-MON-01</t>
        </is>
      </c>
      <c r="B292" t="inlineStr">
        <is>
          <t>PSU2</t>
        </is>
      </c>
      <c r="C292" t="inlineStr">
        <is>
          <t>Power supply</t>
        </is>
      </c>
      <c r="D292" t="inlineStr">
        <is>
          <t>SM0011438-P2</t>
        </is>
      </c>
    </row>
    <row r="293">
      <c r="A293" t="inlineStr">
        <is>
          <t>MH-DC-002-MON-01</t>
        </is>
      </c>
      <c r="B293" t="inlineStr">
        <is>
          <t>FAN</t>
        </is>
      </c>
      <c r="C293" t="inlineStr">
        <is>
          <t>Fan module</t>
        </is>
      </c>
      <c r="D293" t="inlineStr">
        <is>
          <t>SM0011438-FN</t>
        </is>
      </c>
    </row>
    <row r="294">
      <c r="A294" t="inlineStr">
        <is>
          <t>MH-DC-002-MON-01</t>
        </is>
      </c>
      <c r="B294" t="inlineStr">
        <is>
          <t>DISK0</t>
        </is>
      </c>
      <c r="C294" t="inlineStr">
        <is>
          <t>NVMe 3.84 TB</t>
        </is>
      </c>
      <c r="D294" t="inlineStr">
        <is>
          <t>SM0011438-D0</t>
        </is>
      </c>
    </row>
    <row r="295">
      <c r="A295" t="inlineStr">
        <is>
          <t>MH-DC-002-MON-01</t>
        </is>
      </c>
      <c r="B295" t="inlineStr">
        <is>
          <t>DISK1</t>
        </is>
      </c>
      <c r="C295" t="inlineStr">
        <is>
          <t>NVMe 3.84 TB</t>
        </is>
      </c>
      <c r="D295" t="inlineStr">
        <is>
          <t>SM0011438-D1</t>
        </is>
      </c>
    </row>
    <row r="296">
      <c r="A296" t="inlineStr">
        <is>
          <t>MH-DC-002-MON-01</t>
        </is>
      </c>
      <c r="B296" t="inlineStr">
        <is>
          <t>DISK2</t>
        </is>
      </c>
      <c r="C296" t="inlineStr">
        <is>
          <t>NVMe 3.84 TB</t>
        </is>
      </c>
      <c r="D296" t="inlineStr">
        <is>
          <t>SM0011438-D2</t>
        </is>
      </c>
    </row>
    <row r="297">
      <c r="A297" t="inlineStr">
        <is>
          <t>MH-DC-002-MON-01</t>
        </is>
      </c>
      <c r="B297" t="inlineStr">
        <is>
          <t>DISK3</t>
        </is>
      </c>
      <c r="C297" t="inlineStr">
        <is>
          <t>NVMe 3.84 TB</t>
        </is>
      </c>
      <c r="D297" t="inlineStr">
        <is>
          <t>SM0011438-D3</t>
        </is>
      </c>
    </row>
    <row r="298">
      <c r="A298" t="inlineStr">
        <is>
          <t>MH-DC-002-MON-02</t>
        </is>
      </c>
      <c r="B298" t="inlineStr">
        <is>
          <t>PSU1</t>
        </is>
      </c>
      <c r="C298" t="inlineStr">
        <is>
          <t>Power supply</t>
        </is>
      </c>
      <c r="D298" t="inlineStr">
        <is>
          <t>DL0011443-P1</t>
        </is>
      </c>
    </row>
    <row r="299">
      <c r="A299" t="inlineStr">
        <is>
          <t>MH-DC-002-MON-02</t>
        </is>
      </c>
      <c r="B299" t="inlineStr">
        <is>
          <t>PSU2</t>
        </is>
      </c>
      <c r="C299" t="inlineStr">
        <is>
          <t>Power supply</t>
        </is>
      </c>
      <c r="D299" t="inlineStr">
        <is>
          <t>DL0011443-P2</t>
        </is>
      </c>
    </row>
    <row r="300">
      <c r="A300" t="inlineStr">
        <is>
          <t>MH-DC-002-MON-02</t>
        </is>
      </c>
      <c r="B300" t="inlineStr">
        <is>
          <t>FAN</t>
        </is>
      </c>
      <c r="C300" t="inlineStr">
        <is>
          <t>Fan module</t>
        </is>
      </c>
      <c r="D300" t="inlineStr">
        <is>
          <t>DL0011443-FN</t>
        </is>
      </c>
    </row>
    <row r="301">
      <c r="A301" t="inlineStr">
        <is>
          <t>MH-DC-002-MON-02</t>
        </is>
      </c>
      <c r="B301" t="inlineStr">
        <is>
          <t>DISK0</t>
        </is>
      </c>
      <c r="C301" t="inlineStr">
        <is>
          <t>NVMe 3.84 TB</t>
        </is>
      </c>
      <c r="D301" t="inlineStr">
        <is>
          <t>DL0011443-D0</t>
        </is>
      </c>
    </row>
    <row r="302">
      <c r="A302" t="inlineStr">
        <is>
          <t>MH-DC-002-MON-02</t>
        </is>
      </c>
      <c r="B302" t="inlineStr">
        <is>
          <t>DISK1</t>
        </is>
      </c>
      <c r="C302" t="inlineStr">
        <is>
          <t>NVMe 3.84 TB</t>
        </is>
      </c>
      <c r="D302" t="inlineStr">
        <is>
          <t>DL0011443-D1</t>
        </is>
      </c>
    </row>
    <row r="303">
      <c r="A303" t="inlineStr">
        <is>
          <t>MH-DC-002-MON-02</t>
        </is>
      </c>
      <c r="B303" t="inlineStr">
        <is>
          <t>DISK2</t>
        </is>
      </c>
      <c r="C303" t="inlineStr">
        <is>
          <t>NVMe 3.84 TB</t>
        </is>
      </c>
      <c r="D303" t="inlineStr">
        <is>
          <t>DL0011443-D2</t>
        </is>
      </c>
    </row>
    <row r="304">
      <c r="A304" t="inlineStr">
        <is>
          <t>MH-DC-002-MON-02</t>
        </is>
      </c>
      <c r="B304" t="inlineStr">
        <is>
          <t>DISK3</t>
        </is>
      </c>
      <c r="C304" t="inlineStr">
        <is>
          <t>NVMe 3.84 TB</t>
        </is>
      </c>
      <c r="D304" t="inlineStr">
        <is>
          <t>DL0011443-D3</t>
        </is>
      </c>
    </row>
  </sheetData>
  <autoFilter ref="A1:D304"/>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tabColor rgb="002E6BD9"/>
    <outlinePr summaryBelow="1" summaryRight="1"/>
    <pageSetUpPr/>
  </sheetPr>
  <dimension ref="A1:G137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2" customWidth="1" min="2" max="2"/>
    <col width="13" customWidth="1" min="3" max="3"/>
    <col width="15" customWidth="1" min="4" max="4"/>
    <col width="16" customWidth="1" min="5" max="5"/>
    <col width="31" customWidth="1" min="6" max="6"/>
    <col width="17" customWidth="1" min="7" max="7"/>
  </cols>
  <sheetData>
    <row r="1" ht="30" customHeight="1">
      <c r="A1" s="16" t="inlineStr">
        <is>
          <t>device_id *</t>
        </is>
      </c>
      <c r="B1" s="16" t="inlineStr">
        <is>
          <t>if_name *</t>
        </is>
      </c>
      <c r="C1" s="16" t="inlineStr">
        <is>
          <t>type *</t>
        </is>
      </c>
      <c r="D1" s="16" t="inlineStr">
        <is>
          <t>speed_mbps *</t>
        </is>
      </c>
      <c r="E1" s="16" t="inlineStr">
        <is>
          <t>admin_state *</t>
        </is>
      </c>
      <c r="F1" s="17" t="inlineStr">
        <is>
          <t>description</t>
        </is>
      </c>
      <c r="G1" s="17" t="inlineStr">
        <is>
          <t>optic_model</t>
        </is>
      </c>
    </row>
    <row r="2">
      <c r="A2" t="inlineStr">
        <is>
          <t>MH-DC-001-PE-T4-01</t>
        </is>
      </c>
      <c r="B2" t="inlineStr">
        <is>
          <t>xe-0/0/0</t>
        </is>
      </c>
      <c r="C2" t="inlineStr">
        <is>
          <t>10G SFP+</t>
        </is>
      </c>
      <c r="D2" t="n">
        <v>10000</v>
      </c>
      <c r="E2" t="inlineStr">
        <is>
          <t>admin-down</t>
        </is>
      </c>
    </row>
    <row r="3">
      <c r="A3" t="inlineStr">
        <is>
          <t>MH-DC-001-PE-T4-01</t>
        </is>
      </c>
      <c r="B3" t="inlineStr">
        <is>
          <t>xe-0/0/1</t>
        </is>
      </c>
      <c r="C3" t="inlineStr">
        <is>
          <t>10G SFP+</t>
        </is>
      </c>
      <c r="D3" t="n">
        <v>10000</v>
      </c>
      <c r="E3" t="inlineStr">
        <is>
          <t>up</t>
        </is>
      </c>
      <c r="F3" t="inlineStr">
        <is>
          <t>Backhaul to UP-DC-006</t>
        </is>
      </c>
      <c r="G3" t="inlineStr">
        <is>
          <t>SFP-10G-LR</t>
        </is>
      </c>
    </row>
    <row r="4">
      <c r="A4" t="inlineStr">
        <is>
          <t>MH-DC-001-PE-T4-01</t>
        </is>
      </c>
      <c r="B4" t="inlineStr">
        <is>
          <t>xe-0/0/2</t>
        </is>
      </c>
      <c r="C4" t="inlineStr">
        <is>
          <t>10G SFP+</t>
        </is>
      </c>
      <c r="D4" t="n">
        <v>10000</v>
      </c>
      <c r="E4" t="inlineStr">
        <is>
          <t>up</t>
        </is>
      </c>
      <c r="F4" t="inlineStr">
        <is>
          <t>Backhaul to KA-DC-021</t>
        </is>
      </c>
      <c r="G4" t="inlineStr">
        <is>
          <t>SFP-10G-LR</t>
        </is>
      </c>
    </row>
    <row r="5">
      <c r="A5" t="inlineStr">
        <is>
          <t>MH-DC-001-PE-T4-01</t>
        </is>
      </c>
      <c r="B5" t="inlineStr">
        <is>
          <t>xe-0/0/3</t>
        </is>
      </c>
      <c r="C5" t="inlineStr">
        <is>
          <t>10G SFP+</t>
        </is>
      </c>
      <c r="D5" t="n">
        <v>10000</v>
      </c>
      <c r="E5" t="inlineStr">
        <is>
          <t>up</t>
        </is>
      </c>
      <c r="F5" t="inlineStr">
        <is>
          <t>Backhaul to TS-DC-023</t>
        </is>
      </c>
      <c r="G5" t="inlineStr">
        <is>
          <t>SFP-10G-LR</t>
        </is>
      </c>
    </row>
    <row r="6">
      <c r="A6" t="inlineStr">
        <is>
          <t>MH-DC-001-PE-T4-01</t>
        </is>
      </c>
      <c r="B6" t="inlineStr">
        <is>
          <t>xe-0/0/4</t>
        </is>
      </c>
      <c r="C6" t="inlineStr">
        <is>
          <t>10G SFP+</t>
        </is>
      </c>
      <c r="D6" t="n">
        <v>10000</v>
      </c>
      <c r="E6" t="inlineStr">
        <is>
          <t>up</t>
        </is>
      </c>
      <c r="F6" t="inlineStr">
        <is>
          <t>Backhaul to BR-DC-019</t>
        </is>
      </c>
      <c r="G6" t="inlineStr">
        <is>
          <t>SFP-10G-LR</t>
        </is>
      </c>
    </row>
    <row r="7">
      <c r="A7" t="inlineStr">
        <is>
          <t>MH-DC-001-PE-T4-01</t>
        </is>
      </c>
      <c r="B7" t="inlineStr">
        <is>
          <t>xe-0/0/5</t>
        </is>
      </c>
      <c r="C7" t="inlineStr">
        <is>
          <t>10G SFP+</t>
        </is>
      </c>
      <c r="D7" t="n">
        <v>10000</v>
      </c>
      <c r="E7" t="inlineStr">
        <is>
          <t>up</t>
        </is>
      </c>
      <c r="F7" t="inlineStr">
        <is>
          <t>Backhaul to PB-DC-012</t>
        </is>
      </c>
      <c r="G7" t="inlineStr">
        <is>
          <t>SFP-10G-LR</t>
        </is>
      </c>
    </row>
    <row r="8">
      <c r="A8" t="inlineStr">
        <is>
          <t>MH-DC-001-PE-T4-01</t>
        </is>
      </c>
      <c r="B8" t="inlineStr">
        <is>
          <t>xe-0/0/6</t>
        </is>
      </c>
      <c r="C8" t="inlineStr">
        <is>
          <t>10G SFP+</t>
        </is>
      </c>
      <c r="D8" t="n">
        <v>10000</v>
      </c>
      <c r="E8" t="inlineStr">
        <is>
          <t>up</t>
        </is>
      </c>
      <c r="F8" t="inlineStr">
        <is>
          <t>Uplink to MH-DC-001-AGG-R01</t>
        </is>
      </c>
      <c r="G8" t="inlineStr">
        <is>
          <t>SFP-10G-LR</t>
        </is>
      </c>
    </row>
    <row r="9">
      <c r="A9" t="inlineStr">
        <is>
          <t>MH-DC-001-PE-T4-01</t>
        </is>
      </c>
      <c r="B9" t="inlineStr">
        <is>
          <t>xe-0/0/7</t>
        </is>
      </c>
      <c r="C9" t="inlineStr">
        <is>
          <t>10G SFP+</t>
        </is>
      </c>
      <c r="D9" t="n">
        <v>10000</v>
      </c>
      <c r="E9" t="inlineStr">
        <is>
          <t>admin-down</t>
        </is>
      </c>
    </row>
    <row r="10">
      <c r="A10" t="inlineStr">
        <is>
          <t>MH-DC-001-PE-T4-01</t>
        </is>
      </c>
      <c r="B10" t="inlineStr">
        <is>
          <t>xe-0/0/8</t>
        </is>
      </c>
      <c r="C10" t="inlineStr">
        <is>
          <t>10G SFP+</t>
        </is>
      </c>
      <c r="D10" t="n">
        <v>10000</v>
      </c>
      <c r="E10" t="inlineStr">
        <is>
          <t>admin-down</t>
        </is>
      </c>
    </row>
    <row r="11">
      <c r="A11" t="inlineStr">
        <is>
          <t>MH-DC-001-PE-T4-01</t>
        </is>
      </c>
      <c r="B11" t="inlineStr">
        <is>
          <t>xe-0/0/9</t>
        </is>
      </c>
      <c r="C11" t="inlineStr">
        <is>
          <t>10G SFP+</t>
        </is>
      </c>
      <c r="D11" t="n">
        <v>10000</v>
      </c>
      <c r="E11" t="inlineStr">
        <is>
          <t>admin-down</t>
        </is>
      </c>
    </row>
    <row r="12">
      <c r="A12" t="inlineStr">
        <is>
          <t>MH-DC-001-PE-T4-01</t>
        </is>
      </c>
      <c r="B12" t="inlineStr">
        <is>
          <t>xe-0/0/10</t>
        </is>
      </c>
      <c r="C12" t="inlineStr">
        <is>
          <t>10G SFP+</t>
        </is>
      </c>
      <c r="D12" t="n">
        <v>10000</v>
      </c>
      <c r="E12" t="inlineStr">
        <is>
          <t>admin-down</t>
        </is>
      </c>
    </row>
    <row r="13">
      <c r="A13" t="inlineStr">
        <is>
          <t>MH-DC-001-PE-T4-01</t>
        </is>
      </c>
      <c r="B13" t="inlineStr">
        <is>
          <t>xe-0/0/11</t>
        </is>
      </c>
      <c r="C13" t="inlineStr">
        <is>
          <t>10G SFP+</t>
        </is>
      </c>
      <c r="D13" t="n">
        <v>10000</v>
      </c>
      <c r="E13" t="inlineStr">
        <is>
          <t>admin-down</t>
        </is>
      </c>
    </row>
    <row r="14">
      <c r="A14" t="inlineStr">
        <is>
          <t>MH-DC-001-PE-T4-01</t>
        </is>
      </c>
      <c r="B14" t="inlineStr">
        <is>
          <t>et-0/1/0</t>
        </is>
      </c>
      <c r="C14" t="inlineStr">
        <is>
          <t>100G QSFP28</t>
        </is>
      </c>
      <c r="D14" t="n">
        <v>100000</v>
      </c>
      <c r="E14" t="inlineStr">
        <is>
          <t>up</t>
        </is>
      </c>
      <c r="F14" t="inlineStr">
        <is>
          <t>Fabric to MH-DC-001-PE-T4-02</t>
        </is>
      </c>
      <c r="G14" t="inlineStr">
        <is>
          <t>QSFP28-100G-LR4</t>
        </is>
      </c>
    </row>
    <row r="15">
      <c r="A15" t="inlineStr">
        <is>
          <t>MH-DC-001-PE-T4-01</t>
        </is>
      </c>
      <c r="B15" t="inlineStr">
        <is>
          <t>et-0/1/1</t>
        </is>
      </c>
      <c r="C15" t="inlineStr">
        <is>
          <t>100G QSFP28</t>
        </is>
      </c>
      <c r="D15" t="n">
        <v>100000</v>
      </c>
      <c r="E15" t="inlineStr">
        <is>
          <t>up</t>
        </is>
      </c>
      <c r="F15" t="inlineStr">
        <is>
          <t>Fabric to MH-DC-001-PE-T4-03</t>
        </is>
      </c>
      <c r="G15" t="inlineStr">
        <is>
          <t>QSFP28-100G-LR4</t>
        </is>
      </c>
    </row>
    <row r="16">
      <c r="A16" t="inlineStr">
        <is>
          <t>MH-DC-001-PE-T4-01</t>
        </is>
      </c>
      <c r="B16" t="inlineStr">
        <is>
          <t>et-0/1/2</t>
        </is>
      </c>
      <c r="C16" t="inlineStr">
        <is>
          <t>100G QSFP28</t>
        </is>
      </c>
      <c r="D16" t="n">
        <v>100000</v>
      </c>
      <c r="E16" t="inlineStr">
        <is>
          <t>up</t>
        </is>
      </c>
      <c r="F16" t="inlineStr">
        <is>
          <t>Fabric to MH-DC-001-PE-T4-04</t>
        </is>
      </c>
      <c r="G16" t="inlineStr">
        <is>
          <t>QSFP28-100G-LR4</t>
        </is>
      </c>
    </row>
    <row r="17">
      <c r="A17" t="inlineStr">
        <is>
          <t>MH-DC-001-PE-T4-01</t>
        </is>
      </c>
      <c r="B17" t="inlineStr">
        <is>
          <t>et-0/1/3</t>
        </is>
      </c>
      <c r="C17" t="inlineStr">
        <is>
          <t>100G QSFP28</t>
        </is>
      </c>
      <c r="D17" t="n">
        <v>100000</v>
      </c>
      <c r="E17" t="inlineStr">
        <is>
          <t>reserved</t>
        </is>
      </c>
    </row>
    <row r="18">
      <c r="A18" t="inlineStr">
        <is>
          <t>MH-DC-001-PE-T4-01</t>
        </is>
      </c>
      <c r="B18" t="inlineStr">
        <is>
          <t>ge-0/2/0</t>
        </is>
      </c>
      <c r="C18" t="inlineStr">
        <is>
          <t>1G copper</t>
        </is>
      </c>
      <c r="D18" t="n">
        <v>1000</v>
      </c>
      <c r="E18" t="inlineStr">
        <is>
          <t>reserved</t>
        </is>
      </c>
    </row>
    <row r="19">
      <c r="A19" t="inlineStr">
        <is>
          <t>MH-DC-001-PE-T4-01</t>
        </is>
      </c>
      <c r="B19" t="inlineStr">
        <is>
          <t>ge-0/2/1</t>
        </is>
      </c>
      <c r="C19" t="inlineStr">
        <is>
          <t>1G copper</t>
        </is>
      </c>
      <c r="D19" t="n">
        <v>1000</v>
      </c>
      <c r="E19" t="inlineStr">
        <is>
          <t>admin-down</t>
        </is>
      </c>
    </row>
    <row r="20">
      <c r="A20" t="inlineStr">
        <is>
          <t>MH-DC-001-PE-T4-01</t>
        </is>
      </c>
      <c r="B20" t="inlineStr">
        <is>
          <t>ge-0/2/2</t>
        </is>
      </c>
      <c r="C20" t="inlineStr">
        <is>
          <t>1G copper</t>
        </is>
      </c>
      <c r="D20" t="n">
        <v>1000</v>
      </c>
      <c r="E20" t="inlineStr">
        <is>
          <t>admin-down</t>
        </is>
      </c>
    </row>
    <row r="21">
      <c r="A21" t="inlineStr">
        <is>
          <t>MH-DC-001-PE-T4-01</t>
        </is>
      </c>
      <c r="B21" t="inlineStr">
        <is>
          <t>ge-0/2/3</t>
        </is>
      </c>
      <c r="C21" t="inlineStr">
        <is>
          <t>1G copper</t>
        </is>
      </c>
      <c r="D21" t="n">
        <v>1000</v>
      </c>
      <c r="E21" t="inlineStr">
        <is>
          <t>admin-down</t>
        </is>
      </c>
    </row>
    <row r="22">
      <c r="A22" t="inlineStr">
        <is>
          <t>MH-DC-001-PE-T4-01</t>
        </is>
      </c>
      <c r="B22" t="inlineStr">
        <is>
          <t>ge-0/2/4</t>
        </is>
      </c>
      <c r="C22" t="inlineStr">
        <is>
          <t>1G copper</t>
        </is>
      </c>
      <c r="D22" t="n">
        <v>1000</v>
      </c>
      <c r="E22" t="inlineStr">
        <is>
          <t>admin-down</t>
        </is>
      </c>
    </row>
    <row r="23">
      <c r="A23" t="inlineStr">
        <is>
          <t>MH-DC-001-PE-T4-01</t>
        </is>
      </c>
      <c r="B23" t="inlineStr">
        <is>
          <t>ge-0/2/5</t>
        </is>
      </c>
      <c r="C23" t="inlineStr">
        <is>
          <t>1G copper</t>
        </is>
      </c>
      <c r="D23" t="n">
        <v>1000</v>
      </c>
      <c r="E23" t="inlineStr">
        <is>
          <t>admin-down</t>
        </is>
      </c>
    </row>
    <row r="24">
      <c r="A24" t="inlineStr">
        <is>
          <t>MH-DC-001-PE-T4-01</t>
        </is>
      </c>
      <c r="B24" t="inlineStr">
        <is>
          <t>ge-0/2/6</t>
        </is>
      </c>
      <c r="C24" t="inlineStr">
        <is>
          <t>1G copper</t>
        </is>
      </c>
      <c r="D24" t="n">
        <v>1000</v>
      </c>
      <c r="E24" t="inlineStr">
        <is>
          <t>admin-down</t>
        </is>
      </c>
    </row>
    <row r="25">
      <c r="A25" t="inlineStr">
        <is>
          <t>MH-DC-001-PE-T4-01</t>
        </is>
      </c>
      <c r="B25" t="inlineStr">
        <is>
          <t>ge-0/2/7</t>
        </is>
      </c>
      <c r="C25" t="inlineStr">
        <is>
          <t>1G copper</t>
        </is>
      </c>
      <c r="D25" t="n">
        <v>1000</v>
      </c>
      <c r="E25" t="inlineStr">
        <is>
          <t>admin-down</t>
        </is>
      </c>
    </row>
    <row r="26">
      <c r="A26" t="inlineStr">
        <is>
          <t>MH-DC-001-PE-T4-01</t>
        </is>
      </c>
      <c r="B26" t="inlineStr">
        <is>
          <t>ge-0/2/8</t>
        </is>
      </c>
      <c r="C26" t="inlineStr">
        <is>
          <t>1G copper</t>
        </is>
      </c>
      <c r="D26" t="n">
        <v>1000</v>
      </c>
      <c r="E26" t="inlineStr">
        <is>
          <t>admin-down</t>
        </is>
      </c>
    </row>
    <row r="27">
      <c r="A27" t="inlineStr">
        <is>
          <t>MH-DC-001-PE-T4-01</t>
        </is>
      </c>
      <c r="B27" t="inlineStr">
        <is>
          <t>ge-0/2/9</t>
        </is>
      </c>
      <c r="C27" t="inlineStr">
        <is>
          <t>1G copper</t>
        </is>
      </c>
      <c r="D27" t="n">
        <v>1000</v>
      </c>
      <c r="E27" t="inlineStr">
        <is>
          <t>admin-down</t>
        </is>
      </c>
    </row>
    <row r="28">
      <c r="A28" t="inlineStr">
        <is>
          <t>MH-DC-001-PE-T4-01</t>
        </is>
      </c>
      <c r="B28" t="inlineStr">
        <is>
          <t>ge-0/2/10</t>
        </is>
      </c>
      <c r="C28" t="inlineStr">
        <is>
          <t>1G copper</t>
        </is>
      </c>
      <c r="D28" t="n">
        <v>1000</v>
      </c>
      <c r="E28" t="inlineStr">
        <is>
          <t>admin-down</t>
        </is>
      </c>
    </row>
    <row r="29">
      <c r="A29" t="inlineStr">
        <is>
          <t>MH-DC-001-PE-T4-01</t>
        </is>
      </c>
      <c r="B29" t="inlineStr">
        <is>
          <t>ge-0/2/11</t>
        </is>
      </c>
      <c r="C29" t="inlineStr">
        <is>
          <t>1G copper</t>
        </is>
      </c>
      <c r="D29" t="n">
        <v>1000</v>
      </c>
      <c r="E29" t="inlineStr">
        <is>
          <t>admin-down</t>
        </is>
      </c>
    </row>
    <row r="30">
      <c r="A30" t="inlineStr">
        <is>
          <t>MH-DC-001-PE-T4-01</t>
        </is>
      </c>
      <c r="B30" t="inlineStr">
        <is>
          <t>ge-0/2/12</t>
        </is>
      </c>
      <c r="C30" t="inlineStr">
        <is>
          <t>1G copper</t>
        </is>
      </c>
      <c r="D30" t="n">
        <v>1000</v>
      </c>
      <c r="E30" t="inlineStr">
        <is>
          <t>admin-down</t>
        </is>
      </c>
    </row>
    <row r="31">
      <c r="A31" t="inlineStr">
        <is>
          <t>MH-DC-001-PE-T4-01</t>
        </is>
      </c>
      <c r="B31" t="inlineStr">
        <is>
          <t>ge-0/2/13</t>
        </is>
      </c>
      <c r="C31" t="inlineStr">
        <is>
          <t>1G copper</t>
        </is>
      </c>
      <c r="D31" t="n">
        <v>1000</v>
      </c>
      <c r="E31" t="inlineStr">
        <is>
          <t>admin-down</t>
        </is>
      </c>
    </row>
    <row r="32">
      <c r="A32" t="inlineStr">
        <is>
          <t>MH-DC-001-PE-T4-01</t>
        </is>
      </c>
      <c r="B32" t="inlineStr">
        <is>
          <t>ge-0/2/14</t>
        </is>
      </c>
      <c r="C32" t="inlineStr">
        <is>
          <t>1G copper</t>
        </is>
      </c>
      <c r="D32" t="n">
        <v>1000</v>
      </c>
      <c r="E32" t="inlineStr">
        <is>
          <t>admin-down</t>
        </is>
      </c>
    </row>
    <row r="33">
      <c r="A33" t="inlineStr">
        <is>
          <t>MH-DC-001-PE-T4-01</t>
        </is>
      </c>
      <c r="B33" t="inlineStr">
        <is>
          <t>ge-0/2/15</t>
        </is>
      </c>
      <c r="C33" t="inlineStr">
        <is>
          <t>1G copper</t>
        </is>
      </c>
      <c r="D33" t="n">
        <v>1000</v>
      </c>
      <c r="E33" t="inlineStr">
        <is>
          <t>admin-down</t>
        </is>
      </c>
    </row>
    <row r="34">
      <c r="A34" t="inlineStr">
        <is>
          <t>MH-DC-001-PE-T4-02</t>
        </is>
      </c>
      <c r="B34" t="inlineStr">
        <is>
          <t>xe-0/0/0</t>
        </is>
      </c>
      <c r="C34" t="inlineStr">
        <is>
          <t>10G SFP+</t>
        </is>
      </c>
      <c r="D34" t="n">
        <v>10000</v>
      </c>
      <c r="E34" t="inlineStr">
        <is>
          <t>admin-down</t>
        </is>
      </c>
    </row>
    <row r="35">
      <c r="A35" t="inlineStr">
        <is>
          <t>MH-DC-001-PE-T4-02</t>
        </is>
      </c>
      <c r="B35" t="inlineStr">
        <is>
          <t>xe-0/0/1</t>
        </is>
      </c>
      <c r="C35" t="inlineStr">
        <is>
          <t>10G SFP+</t>
        </is>
      </c>
      <c r="D35" t="n">
        <v>10000</v>
      </c>
      <c r="E35" t="inlineStr">
        <is>
          <t>up</t>
        </is>
      </c>
      <c r="F35" t="inlineStr">
        <is>
          <t>Backhaul to HR-DC-011</t>
        </is>
      </c>
      <c r="G35" t="inlineStr">
        <is>
          <t>SFP-10G-LR</t>
        </is>
      </c>
    </row>
    <row r="36">
      <c r="A36" t="inlineStr">
        <is>
          <t>MH-DC-001-PE-T4-02</t>
        </is>
      </c>
      <c r="B36" t="inlineStr">
        <is>
          <t>xe-0/0/2</t>
        </is>
      </c>
      <c r="C36" t="inlineStr">
        <is>
          <t>10G SFP+</t>
        </is>
      </c>
      <c r="D36" t="n">
        <v>10000</v>
      </c>
      <c r="E36" t="inlineStr">
        <is>
          <t>up</t>
        </is>
      </c>
      <c r="F36" t="inlineStr">
        <is>
          <t>Backhaul to DL-DC-009</t>
        </is>
      </c>
      <c r="G36" t="inlineStr">
        <is>
          <t>SFP-10G-LR</t>
        </is>
      </c>
    </row>
    <row r="37">
      <c r="A37" t="inlineStr">
        <is>
          <t>MH-DC-001-PE-T4-02</t>
        </is>
      </c>
      <c r="B37" t="inlineStr">
        <is>
          <t>xe-0/0/3</t>
        </is>
      </c>
      <c r="C37" t="inlineStr">
        <is>
          <t>10G SFP+</t>
        </is>
      </c>
      <c r="D37" t="n">
        <v>10000</v>
      </c>
      <c r="E37" t="inlineStr">
        <is>
          <t>up</t>
        </is>
      </c>
      <c r="F37" t="inlineStr">
        <is>
          <t>Backhaul to UP-DC-006</t>
        </is>
      </c>
      <c r="G37" t="inlineStr">
        <is>
          <t>SFP-10G-LR</t>
        </is>
      </c>
    </row>
    <row r="38">
      <c r="A38" t="inlineStr">
        <is>
          <t>MH-DC-001-PE-T4-02</t>
        </is>
      </c>
      <c r="B38" t="inlineStr">
        <is>
          <t>xe-0/0/4</t>
        </is>
      </c>
      <c r="C38" t="inlineStr">
        <is>
          <t>10G SFP+</t>
        </is>
      </c>
      <c r="D38" t="n">
        <v>10000</v>
      </c>
      <c r="E38" t="inlineStr">
        <is>
          <t>up</t>
        </is>
      </c>
      <c r="F38" t="inlineStr">
        <is>
          <t>Backhaul to BR-DC-019</t>
        </is>
      </c>
      <c r="G38" t="inlineStr">
        <is>
          <t>SFP-10G-LR</t>
        </is>
      </c>
    </row>
    <row r="39">
      <c r="A39" t="inlineStr">
        <is>
          <t>MH-DC-001-PE-T4-02</t>
        </is>
      </c>
      <c r="B39" t="inlineStr">
        <is>
          <t>xe-0/0/5</t>
        </is>
      </c>
      <c r="C39" t="inlineStr">
        <is>
          <t>10G SFP+</t>
        </is>
      </c>
      <c r="D39" t="n">
        <v>10000</v>
      </c>
      <c r="E39" t="inlineStr">
        <is>
          <t>up</t>
        </is>
      </c>
      <c r="F39" t="inlineStr">
        <is>
          <t>Backhaul to TS-DC-023</t>
        </is>
      </c>
      <c r="G39" t="inlineStr">
        <is>
          <t>SFP-10G-LR</t>
        </is>
      </c>
    </row>
    <row r="40">
      <c r="A40" t="inlineStr">
        <is>
          <t>MH-DC-001-PE-T4-02</t>
        </is>
      </c>
      <c r="B40" t="inlineStr">
        <is>
          <t>xe-0/0/6</t>
        </is>
      </c>
      <c r="C40" t="inlineStr">
        <is>
          <t>10G SFP+</t>
        </is>
      </c>
      <c r="D40" t="n">
        <v>10000</v>
      </c>
      <c r="E40" t="inlineStr">
        <is>
          <t>up</t>
        </is>
      </c>
      <c r="F40" t="inlineStr">
        <is>
          <t>Uplink to MH-DC-001-AGG-R01</t>
        </is>
      </c>
      <c r="G40" t="inlineStr">
        <is>
          <t>SFP-10G-LR</t>
        </is>
      </c>
    </row>
    <row r="41">
      <c r="A41" t="inlineStr">
        <is>
          <t>MH-DC-001-PE-T4-02</t>
        </is>
      </c>
      <c r="B41" t="inlineStr">
        <is>
          <t>xe-0/0/7</t>
        </is>
      </c>
      <c r="C41" t="inlineStr">
        <is>
          <t>10G SFP+</t>
        </is>
      </c>
      <c r="D41" t="n">
        <v>10000</v>
      </c>
      <c r="E41" t="inlineStr">
        <is>
          <t>up</t>
        </is>
      </c>
      <c r="F41" t="inlineStr">
        <is>
          <t>Uplink to MH-DC-001-AGG-R02</t>
        </is>
      </c>
      <c r="G41" t="inlineStr">
        <is>
          <t>SFP-10G-LR</t>
        </is>
      </c>
    </row>
    <row r="42">
      <c r="A42" t="inlineStr">
        <is>
          <t>MH-DC-001-PE-T4-02</t>
        </is>
      </c>
      <c r="B42" t="inlineStr">
        <is>
          <t>xe-0/0/8</t>
        </is>
      </c>
      <c r="C42" t="inlineStr">
        <is>
          <t>10G SFP+</t>
        </is>
      </c>
      <c r="D42" t="n">
        <v>10000</v>
      </c>
      <c r="E42" t="inlineStr">
        <is>
          <t>admin-down</t>
        </is>
      </c>
    </row>
    <row r="43">
      <c r="A43" t="inlineStr">
        <is>
          <t>MH-DC-001-PE-T4-02</t>
        </is>
      </c>
      <c r="B43" t="inlineStr">
        <is>
          <t>xe-0/0/9</t>
        </is>
      </c>
      <c r="C43" t="inlineStr">
        <is>
          <t>10G SFP+</t>
        </is>
      </c>
      <c r="D43" t="n">
        <v>10000</v>
      </c>
      <c r="E43" t="inlineStr">
        <is>
          <t>admin-down</t>
        </is>
      </c>
    </row>
    <row r="44">
      <c r="A44" t="inlineStr">
        <is>
          <t>MH-DC-001-PE-T4-02</t>
        </is>
      </c>
      <c r="B44" t="inlineStr">
        <is>
          <t>xe-0/0/10</t>
        </is>
      </c>
      <c r="C44" t="inlineStr">
        <is>
          <t>10G SFP+</t>
        </is>
      </c>
      <c r="D44" t="n">
        <v>10000</v>
      </c>
      <c r="E44" t="inlineStr">
        <is>
          <t>admin-down</t>
        </is>
      </c>
    </row>
    <row r="45">
      <c r="A45" t="inlineStr">
        <is>
          <t>MH-DC-001-PE-T4-02</t>
        </is>
      </c>
      <c r="B45" t="inlineStr">
        <is>
          <t>xe-0/0/11</t>
        </is>
      </c>
      <c r="C45" t="inlineStr">
        <is>
          <t>10G SFP+</t>
        </is>
      </c>
      <c r="D45" t="n">
        <v>10000</v>
      </c>
      <c r="E45" t="inlineStr">
        <is>
          <t>admin-down</t>
        </is>
      </c>
    </row>
    <row r="46">
      <c r="A46" t="inlineStr">
        <is>
          <t>MH-DC-001-PE-T4-02</t>
        </is>
      </c>
      <c r="B46" t="inlineStr">
        <is>
          <t>et-0/1/0</t>
        </is>
      </c>
      <c r="C46" t="inlineStr">
        <is>
          <t>100G QSFP28</t>
        </is>
      </c>
      <c r="D46" t="n">
        <v>100000</v>
      </c>
      <c r="E46" t="inlineStr">
        <is>
          <t>up</t>
        </is>
      </c>
      <c r="F46" t="inlineStr">
        <is>
          <t>Fabric to MH-DC-001-PE-T4-01</t>
        </is>
      </c>
      <c r="G46" t="inlineStr">
        <is>
          <t>QSFP28-100G-LR4</t>
        </is>
      </c>
    </row>
    <row r="47">
      <c r="A47" t="inlineStr">
        <is>
          <t>MH-DC-001-PE-T4-02</t>
        </is>
      </c>
      <c r="B47" t="inlineStr">
        <is>
          <t>et-0/1/1</t>
        </is>
      </c>
      <c r="C47" t="inlineStr">
        <is>
          <t>100G QSFP28</t>
        </is>
      </c>
      <c r="D47" t="n">
        <v>100000</v>
      </c>
      <c r="E47" t="inlineStr">
        <is>
          <t>up</t>
        </is>
      </c>
      <c r="F47" t="inlineStr">
        <is>
          <t>Fabric to MH-DC-001-PE-T4-03</t>
        </is>
      </c>
      <c r="G47" t="inlineStr">
        <is>
          <t>QSFP28-100G-LR4</t>
        </is>
      </c>
    </row>
    <row r="48">
      <c r="A48" t="inlineStr">
        <is>
          <t>MH-DC-001-PE-T4-02</t>
        </is>
      </c>
      <c r="B48" t="inlineStr">
        <is>
          <t>et-0/1/2</t>
        </is>
      </c>
      <c r="C48" t="inlineStr">
        <is>
          <t>100G QSFP28</t>
        </is>
      </c>
      <c r="D48" t="n">
        <v>100000</v>
      </c>
      <c r="E48" t="inlineStr">
        <is>
          <t>up</t>
        </is>
      </c>
      <c r="F48" t="inlineStr">
        <is>
          <t>Fabric to MH-DC-001-PE-T4-04</t>
        </is>
      </c>
      <c r="G48" t="inlineStr">
        <is>
          <t>QSFP28-100G-LR4</t>
        </is>
      </c>
    </row>
    <row r="49">
      <c r="A49" t="inlineStr">
        <is>
          <t>MH-DC-001-PE-T4-02</t>
        </is>
      </c>
      <c r="B49" t="inlineStr">
        <is>
          <t>et-0/1/3</t>
        </is>
      </c>
      <c r="C49" t="inlineStr">
        <is>
          <t>100G QSFP28</t>
        </is>
      </c>
      <c r="D49" t="n">
        <v>100000</v>
      </c>
      <c r="E49" t="inlineStr">
        <is>
          <t>admin-down</t>
        </is>
      </c>
    </row>
    <row r="50">
      <c r="A50" t="inlineStr">
        <is>
          <t>MH-DC-001-PE-T4-02</t>
        </is>
      </c>
      <c r="B50" t="inlineStr">
        <is>
          <t>ge-0/2/0</t>
        </is>
      </c>
      <c r="C50" t="inlineStr">
        <is>
          <t>1G copper</t>
        </is>
      </c>
      <c r="D50" t="n">
        <v>1000</v>
      </c>
      <c r="E50" t="inlineStr">
        <is>
          <t>admin-down</t>
        </is>
      </c>
    </row>
    <row r="51">
      <c r="A51" t="inlineStr">
        <is>
          <t>MH-DC-001-PE-T4-02</t>
        </is>
      </c>
      <c r="B51" t="inlineStr">
        <is>
          <t>ge-0/2/1</t>
        </is>
      </c>
      <c r="C51" t="inlineStr">
        <is>
          <t>1G copper</t>
        </is>
      </c>
      <c r="D51" t="n">
        <v>1000</v>
      </c>
      <c r="E51" t="inlineStr">
        <is>
          <t>admin-down</t>
        </is>
      </c>
    </row>
    <row r="52">
      <c r="A52" t="inlineStr">
        <is>
          <t>MH-DC-001-PE-T4-02</t>
        </is>
      </c>
      <c r="B52" t="inlineStr">
        <is>
          <t>ge-0/2/2</t>
        </is>
      </c>
      <c r="C52" t="inlineStr">
        <is>
          <t>1G copper</t>
        </is>
      </c>
      <c r="D52" t="n">
        <v>1000</v>
      </c>
      <c r="E52" t="inlineStr">
        <is>
          <t>admin-down</t>
        </is>
      </c>
    </row>
    <row r="53">
      <c r="A53" t="inlineStr">
        <is>
          <t>MH-DC-001-PE-T4-02</t>
        </is>
      </c>
      <c r="B53" t="inlineStr">
        <is>
          <t>ge-0/2/3</t>
        </is>
      </c>
      <c r="C53" t="inlineStr">
        <is>
          <t>1G copper</t>
        </is>
      </c>
      <c r="D53" t="n">
        <v>1000</v>
      </c>
      <c r="E53" t="inlineStr">
        <is>
          <t>reserved</t>
        </is>
      </c>
    </row>
    <row r="54">
      <c r="A54" t="inlineStr">
        <is>
          <t>MH-DC-001-PE-T4-02</t>
        </is>
      </c>
      <c r="B54" t="inlineStr">
        <is>
          <t>ge-0/2/4</t>
        </is>
      </c>
      <c r="C54" t="inlineStr">
        <is>
          <t>1G copper</t>
        </is>
      </c>
      <c r="D54" t="n">
        <v>1000</v>
      </c>
      <c r="E54" t="inlineStr">
        <is>
          <t>admin-down</t>
        </is>
      </c>
    </row>
    <row r="55">
      <c r="A55" t="inlineStr">
        <is>
          <t>MH-DC-001-PE-T4-02</t>
        </is>
      </c>
      <c r="B55" t="inlineStr">
        <is>
          <t>ge-0/2/5</t>
        </is>
      </c>
      <c r="C55" t="inlineStr">
        <is>
          <t>1G copper</t>
        </is>
      </c>
      <c r="D55" t="n">
        <v>1000</v>
      </c>
      <c r="E55" t="inlineStr">
        <is>
          <t>admin-down</t>
        </is>
      </c>
    </row>
    <row r="56">
      <c r="A56" t="inlineStr">
        <is>
          <t>MH-DC-001-PE-T4-02</t>
        </is>
      </c>
      <c r="B56" t="inlineStr">
        <is>
          <t>ge-0/2/6</t>
        </is>
      </c>
      <c r="C56" t="inlineStr">
        <is>
          <t>1G copper</t>
        </is>
      </c>
      <c r="D56" t="n">
        <v>1000</v>
      </c>
      <c r="E56" t="inlineStr">
        <is>
          <t>admin-down</t>
        </is>
      </c>
    </row>
    <row r="57">
      <c r="A57" t="inlineStr">
        <is>
          <t>MH-DC-001-PE-T4-02</t>
        </is>
      </c>
      <c r="B57" t="inlineStr">
        <is>
          <t>ge-0/2/7</t>
        </is>
      </c>
      <c r="C57" t="inlineStr">
        <is>
          <t>1G copper</t>
        </is>
      </c>
      <c r="D57" t="n">
        <v>1000</v>
      </c>
      <c r="E57" t="inlineStr">
        <is>
          <t>admin-down</t>
        </is>
      </c>
    </row>
    <row r="58">
      <c r="A58" t="inlineStr">
        <is>
          <t>MH-DC-001-PE-T4-02</t>
        </is>
      </c>
      <c r="B58" t="inlineStr">
        <is>
          <t>ge-0/2/8</t>
        </is>
      </c>
      <c r="C58" t="inlineStr">
        <is>
          <t>1G copper</t>
        </is>
      </c>
      <c r="D58" t="n">
        <v>1000</v>
      </c>
      <c r="E58" t="inlineStr">
        <is>
          <t>admin-down</t>
        </is>
      </c>
    </row>
    <row r="59">
      <c r="A59" t="inlineStr">
        <is>
          <t>MH-DC-001-PE-T4-02</t>
        </is>
      </c>
      <c r="B59" t="inlineStr">
        <is>
          <t>ge-0/2/9</t>
        </is>
      </c>
      <c r="C59" t="inlineStr">
        <is>
          <t>1G copper</t>
        </is>
      </c>
      <c r="D59" t="n">
        <v>1000</v>
      </c>
      <c r="E59" t="inlineStr">
        <is>
          <t>admin-down</t>
        </is>
      </c>
    </row>
    <row r="60">
      <c r="A60" t="inlineStr">
        <is>
          <t>MH-DC-001-PE-T4-02</t>
        </is>
      </c>
      <c r="B60" t="inlineStr">
        <is>
          <t>ge-0/2/10</t>
        </is>
      </c>
      <c r="C60" t="inlineStr">
        <is>
          <t>1G copper</t>
        </is>
      </c>
      <c r="D60" t="n">
        <v>1000</v>
      </c>
      <c r="E60" t="inlineStr">
        <is>
          <t>admin-down</t>
        </is>
      </c>
    </row>
    <row r="61">
      <c r="A61" t="inlineStr">
        <is>
          <t>MH-DC-001-PE-T4-02</t>
        </is>
      </c>
      <c r="B61" t="inlineStr">
        <is>
          <t>ge-0/2/11</t>
        </is>
      </c>
      <c r="C61" t="inlineStr">
        <is>
          <t>1G copper</t>
        </is>
      </c>
      <c r="D61" t="n">
        <v>1000</v>
      </c>
      <c r="E61" t="inlineStr">
        <is>
          <t>admin-down</t>
        </is>
      </c>
    </row>
    <row r="62">
      <c r="A62" t="inlineStr">
        <is>
          <t>MH-DC-001-PE-T4-02</t>
        </is>
      </c>
      <c r="B62" t="inlineStr">
        <is>
          <t>ge-0/2/12</t>
        </is>
      </c>
      <c r="C62" t="inlineStr">
        <is>
          <t>1G copper</t>
        </is>
      </c>
      <c r="D62" t="n">
        <v>1000</v>
      </c>
      <c r="E62" t="inlineStr">
        <is>
          <t>admin-down</t>
        </is>
      </c>
    </row>
    <row r="63">
      <c r="A63" t="inlineStr">
        <is>
          <t>MH-DC-001-PE-T4-02</t>
        </is>
      </c>
      <c r="B63" t="inlineStr">
        <is>
          <t>ge-0/2/13</t>
        </is>
      </c>
      <c r="C63" t="inlineStr">
        <is>
          <t>1G copper</t>
        </is>
      </c>
      <c r="D63" t="n">
        <v>1000</v>
      </c>
      <c r="E63" t="inlineStr">
        <is>
          <t>admin-down</t>
        </is>
      </c>
    </row>
    <row r="64">
      <c r="A64" t="inlineStr">
        <is>
          <t>MH-DC-001-PE-T4-02</t>
        </is>
      </c>
      <c r="B64" t="inlineStr">
        <is>
          <t>ge-0/2/14</t>
        </is>
      </c>
      <c r="C64" t="inlineStr">
        <is>
          <t>1G copper</t>
        </is>
      </c>
      <c r="D64" t="n">
        <v>1000</v>
      </c>
      <c r="E64" t="inlineStr">
        <is>
          <t>admin-down</t>
        </is>
      </c>
    </row>
    <row r="65">
      <c r="A65" t="inlineStr">
        <is>
          <t>MH-DC-001-PE-T4-02</t>
        </is>
      </c>
      <c r="B65" t="inlineStr">
        <is>
          <t>ge-0/2/15</t>
        </is>
      </c>
      <c r="C65" t="inlineStr">
        <is>
          <t>1G copper</t>
        </is>
      </c>
      <c r="D65" t="n">
        <v>1000</v>
      </c>
      <c r="E65" t="inlineStr">
        <is>
          <t>admin-down</t>
        </is>
      </c>
    </row>
    <row r="66">
      <c r="A66" t="inlineStr">
        <is>
          <t>MH-DC-001-PE-T4-03</t>
        </is>
      </c>
      <c r="B66" t="inlineStr">
        <is>
          <t>Te0/0/0/0</t>
        </is>
      </c>
      <c r="C66" t="inlineStr">
        <is>
          <t>10G SFP+</t>
        </is>
      </c>
      <c r="D66" t="n">
        <v>10000</v>
      </c>
      <c r="E66" t="inlineStr">
        <is>
          <t>admin-down</t>
        </is>
      </c>
    </row>
    <row r="67">
      <c r="A67" t="inlineStr">
        <is>
          <t>MH-DC-001-PE-T4-03</t>
        </is>
      </c>
      <c r="B67" t="inlineStr">
        <is>
          <t>Te0/0/0/1</t>
        </is>
      </c>
      <c r="C67" t="inlineStr">
        <is>
          <t>10G SFP+</t>
        </is>
      </c>
      <c r="D67" t="n">
        <v>10000</v>
      </c>
      <c r="E67" t="inlineStr">
        <is>
          <t>up</t>
        </is>
      </c>
      <c r="F67" t="inlineStr">
        <is>
          <t>Backhaul to BR-DC-019</t>
        </is>
      </c>
      <c r="G67" t="inlineStr">
        <is>
          <t>SFP-10G-LR</t>
        </is>
      </c>
    </row>
    <row r="68">
      <c r="A68" t="inlineStr">
        <is>
          <t>MH-DC-001-PE-T4-03</t>
        </is>
      </c>
      <c r="B68" t="inlineStr">
        <is>
          <t>Te0/0/0/2</t>
        </is>
      </c>
      <c r="C68" t="inlineStr">
        <is>
          <t>10G SFP+</t>
        </is>
      </c>
      <c r="D68" t="n">
        <v>10000</v>
      </c>
      <c r="E68" t="inlineStr">
        <is>
          <t>up</t>
        </is>
      </c>
      <c r="F68" t="inlineStr">
        <is>
          <t>Backhaul to WB-DC-016</t>
        </is>
      </c>
      <c r="G68" t="inlineStr">
        <is>
          <t>SFP-10G-LR</t>
        </is>
      </c>
    </row>
    <row r="69">
      <c r="A69" t="inlineStr">
        <is>
          <t>MH-DC-001-PE-T4-03</t>
        </is>
      </c>
      <c r="B69" t="inlineStr">
        <is>
          <t>Te0/0/0/3</t>
        </is>
      </c>
      <c r="C69" t="inlineStr">
        <is>
          <t>10G SFP+</t>
        </is>
      </c>
      <c r="D69" t="n">
        <v>10000</v>
      </c>
      <c r="E69" t="inlineStr">
        <is>
          <t>up</t>
        </is>
      </c>
      <c r="F69" t="inlineStr">
        <is>
          <t>Backhaul to TN-DC-022</t>
        </is>
      </c>
      <c r="G69" t="inlineStr">
        <is>
          <t>SFP-10G-LR</t>
        </is>
      </c>
    </row>
    <row r="70">
      <c r="A70" t="inlineStr">
        <is>
          <t>MH-DC-001-PE-T4-03</t>
        </is>
      </c>
      <c r="B70" t="inlineStr">
        <is>
          <t>Te0/0/0/4</t>
        </is>
      </c>
      <c r="C70" t="inlineStr">
        <is>
          <t>10G SFP+</t>
        </is>
      </c>
      <c r="D70" t="n">
        <v>10000</v>
      </c>
      <c r="E70" t="inlineStr">
        <is>
          <t>up</t>
        </is>
      </c>
      <c r="F70" t="inlineStr">
        <is>
          <t>Backhaul to RJ-DC-015</t>
        </is>
      </c>
      <c r="G70" t="inlineStr">
        <is>
          <t>SFP-10G-LR</t>
        </is>
      </c>
    </row>
    <row r="71">
      <c r="A71" t="inlineStr">
        <is>
          <t>MH-DC-001-PE-T4-03</t>
        </is>
      </c>
      <c r="B71" t="inlineStr">
        <is>
          <t>Te0/0/0/5</t>
        </is>
      </c>
      <c r="C71" t="inlineStr">
        <is>
          <t>10G SFP+</t>
        </is>
      </c>
      <c r="D71" t="n">
        <v>10000</v>
      </c>
      <c r="E71" t="inlineStr">
        <is>
          <t>up</t>
        </is>
      </c>
      <c r="F71" t="inlineStr">
        <is>
          <t>Backhaul to HR-DC-011</t>
        </is>
      </c>
      <c r="G71" t="inlineStr">
        <is>
          <t>SFP-10G-LR</t>
        </is>
      </c>
    </row>
    <row r="72">
      <c r="A72" t="inlineStr">
        <is>
          <t>MH-DC-001-PE-T4-03</t>
        </is>
      </c>
      <c r="B72" t="inlineStr">
        <is>
          <t>Te0/0/0/6</t>
        </is>
      </c>
      <c r="C72" t="inlineStr">
        <is>
          <t>10G SFP+</t>
        </is>
      </c>
      <c r="D72" t="n">
        <v>10000</v>
      </c>
      <c r="E72" t="inlineStr">
        <is>
          <t>up</t>
        </is>
      </c>
      <c r="F72" t="inlineStr">
        <is>
          <t>Uplink to MH-DC-001-AGG-R02</t>
        </is>
      </c>
      <c r="G72" t="inlineStr">
        <is>
          <t>SFP-10G-LR</t>
        </is>
      </c>
    </row>
    <row r="73">
      <c r="A73" t="inlineStr">
        <is>
          <t>MH-DC-001-PE-T4-03</t>
        </is>
      </c>
      <c r="B73" t="inlineStr">
        <is>
          <t>Te0/0/0/7</t>
        </is>
      </c>
      <c r="C73" t="inlineStr">
        <is>
          <t>10G SFP+</t>
        </is>
      </c>
      <c r="D73" t="n">
        <v>10000</v>
      </c>
      <c r="E73" t="inlineStr">
        <is>
          <t>up</t>
        </is>
      </c>
      <c r="F73" t="inlineStr">
        <is>
          <t>Uplink to MH-DC-001-AGG-R03</t>
        </is>
      </c>
      <c r="G73" t="inlineStr">
        <is>
          <t>SFP-10G-LR</t>
        </is>
      </c>
    </row>
    <row r="74">
      <c r="A74" t="inlineStr">
        <is>
          <t>MH-DC-001-PE-T4-03</t>
        </is>
      </c>
      <c r="B74" t="inlineStr">
        <is>
          <t>Te0/0/0/8</t>
        </is>
      </c>
      <c r="C74" t="inlineStr">
        <is>
          <t>10G SFP+</t>
        </is>
      </c>
      <c r="D74" t="n">
        <v>10000</v>
      </c>
      <c r="E74" t="inlineStr">
        <is>
          <t>admin-down</t>
        </is>
      </c>
    </row>
    <row r="75">
      <c r="A75" t="inlineStr">
        <is>
          <t>MH-DC-001-PE-T4-03</t>
        </is>
      </c>
      <c r="B75" t="inlineStr">
        <is>
          <t>Te0/0/0/9</t>
        </is>
      </c>
      <c r="C75" t="inlineStr">
        <is>
          <t>10G SFP+</t>
        </is>
      </c>
      <c r="D75" t="n">
        <v>10000</v>
      </c>
      <c r="E75" t="inlineStr">
        <is>
          <t>admin-down</t>
        </is>
      </c>
    </row>
    <row r="76">
      <c r="A76" t="inlineStr">
        <is>
          <t>MH-DC-001-PE-T4-03</t>
        </is>
      </c>
      <c r="B76" t="inlineStr">
        <is>
          <t>Te0/0/0/10</t>
        </is>
      </c>
      <c r="C76" t="inlineStr">
        <is>
          <t>10G SFP+</t>
        </is>
      </c>
      <c r="D76" t="n">
        <v>10000</v>
      </c>
      <c r="E76" t="inlineStr">
        <is>
          <t>admin-down</t>
        </is>
      </c>
    </row>
    <row r="77">
      <c r="A77" t="inlineStr">
        <is>
          <t>MH-DC-001-PE-T4-03</t>
        </is>
      </c>
      <c r="B77" t="inlineStr">
        <is>
          <t>Te0/0/0/11</t>
        </is>
      </c>
      <c r="C77" t="inlineStr">
        <is>
          <t>10G SFP+</t>
        </is>
      </c>
      <c r="D77" t="n">
        <v>10000</v>
      </c>
      <c r="E77" t="inlineStr">
        <is>
          <t>admin-down</t>
        </is>
      </c>
    </row>
    <row r="78">
      <c r="A78" t="inlineStr">
        <is>
          <t>MH-DC-001-PE-T4-03</t>
        </is>
      </c>
      <c r="B78" t="inlineStr">
        <is>
          <t>Hu0/0/1/0</t>
        </is>
      </c>
      <c r="C78" t="inlineStr">
        <is>
          <t>100G QSFP28</t>
        </is>
      </c>
      <c r="D78" t="n">
        <v>100000</v>
      </c>
      <c r="E78" t="inlineStr">
        <is>
          <t>up</t>
        </is>
      </c>
      <c r="F78" t="inlineStr">
        <is>
          <t>Fabric to MH-DC-001-PE-T4-01</t>
        </is>
      </c>
      <c r="G78" t="inlineStr">
        <is>
          <t>QSFP28-100G-LR4</t>
        </is>
      </c>
    </row>
    <row r="79">
      <c r="A79" t="inlineStr">
        <is>
          <t>MH-DC-001-PE-T4-03</t>
        </is>
      </c>
      <c r="B79" t="inlineStr">
        <is>
          <t>Hu0/0/1/1</t>
        </is>
      </c>
      <c r="C79" t="inlineStr">
        <is>
          <t>100G QSFP28</t>
        </is>
      </c>
      <c r="D79" t="n">
        <v>100000</v>
      </c>
      <c r="E79" t="inlineStr">
        <is>
          <t>up</t>
        </is>
      </c>
      <c r="F79" t="inlineStr">
        <is>
          <t>Fabric to MH-DC-001-PE-T4-02</t>
        </is>
      </c>
      <c r="G79" t="inlineStr">
        <is>
          <t>QSFP28-100G-LR4</t>
        </is>
      </c>
    </row>
    <row r="80">
      <c r="A80" t="inlineStr">
        <is>
          <t>MH-DC-001-PE-T4-03</t>
        </is>
      </c>
      <c r="B80" t="inlineStr">
        <is>
          <t>Hu0/0/1/2</t>
        </is>
      </c>
      <c r="C80" t="inlineStr">
        <is>
          <t>100G QSFP28</t>
        </is>
      </c>
      <c r="D80" t="n">
        <v>100000</v>
      </c>
      <c r="E80" t="inlineStr">
        <is>
          <t>up</t>
        </is>
      </c>
      <c r="F80" t="inlineStr">
        <is>
          <t>Fabric to MH-DC-001-PE-T4-04</t>
        </is>
      </c>
      <c r="G80" t="inlineStr">
        <is>
          <t>QSFP28-100G-LR4</t>
        </is>
      </c>
    </row>
    <row r="81">
      <c r="A81" t="inlineStr">
        <is>
          <t>MH-DC-001-PE-T4-03</t>
        </is>
      </c>
      <c r="B81" t="inlineStr">
        <is>
          <t>Hu0/0/1/3</t>
        </is>
      </c>
      <c r="C81" t="inlineStr">
        <is>
          <t>100G QSFP28</t>
        </is>
      </c>
      <c r="D81" t="n">
        <v>100000</v>
      </c>
      <c r="E81" t="inlineStr">
        <is>
          <t>reserved</t>
        </is>
      </c>
    </row>
    <row r="82">
      <c r="A82" t="inlineStr">
        <is>
          <t>MH-DC-001-PE-T4-03</t>
        </is>
      </c>
      <c r="B82" t="inlineStr">
        <is>
          <t>Gi0/0/2/0</t>
        </is>
      </c>
      <c r="C82" t="inlineStr">
        <is>
          <t>1G copper</t>
        </is>
      </c>
      <c r="D82" t="n">
        <v>1000</v>
      </c>
      <c r="E82" t="inlineStr">
        <is>
          <t>admin-down</t>
        </is>
      </c>
    </row>
    <row r="83">
      <c r="A83" t="inlineStr">
        <is>
          <t>MH-DC-001-PE-T4-03</t>
        </is>
      </c>
      <c r="B83" t="inlineStr">
        <is>
          <t>Gi0/0/2/1</t>
        </is>
      </c>
      <c r="C83" t="inlineStr">
        <is>
          <t>1G copper</t>
        </is>
      </c>
      <c r="D83" t="n">
        <v>1000</v>
      </c>
      <c r="E83" t="inlineStr">
        <is>
          <t>admin-down</t>
        </is>
      </c>
    </row>
    <row r="84">
      <c r="A84" t="inlineStr">
        <is>
          <t>MH-DC-001-PE-T4-03</t>
        </is>
      </c>
      <c r="B84" t="inlineStr">
        <is>
          <t>Gi0/0/2/2</t>
        </is>
      </c>
      <c r="C84" t="inlineStr">
        <is>
          <t>1G copper</t>
        </is>
      </c>
      <c r="D84" t="n">
        <v>1000</v>
      </c>
      <c r="E84" t="inlineStr">
        <is>
          <t>admin-down</t>
        </is>
      </c>
    </row>
    <row r="85">
      <c r="A85" t="inlineStr">
        <is>
          <t>MH-DC-001-PE-T4-03</t>
        </is>
      </c>
      <c r="B85" t="inlineStr">
        <is>
          <t>Gi0/0/2/3</t>
        </is>
      </c>
      <c r="C85" t="inlineStr">
        <is>
          <t>1G copper</t>
        </is>
      </c>
      <c r="D85" t="n">
        <v>1000</v>
      </c>
      <c r="E85" t="inlineStr">
        <is>
          <t>admin-down</t>
        </is>
      </c>
    </row>
    <row r="86">
      <c r="A86" t="inlineStr">
        <is>
          <t>MH-DC-001-PE-T4-03</t>
        </is>
      </c>
      <c r="B86" t="inlineStr">
        <is>
          <t>Gi0/0/2/4</t>
        </is>
      </c>
      <c r="C86" t="inlineStr">
        <is>
          <t>1G copper</t>
        </is>
      </c>
      <c r="D86" t="n">
        <v>1000</v>
      </c>
      <c r="E86" t="inlineStr">
        <is>
          <t>admin-down</t>
        </is>
      </c>
    </row>
    <row r="87">
      <c r="A87" t="inlineStr">
        <is>
          <t>MH-DC-001-PE-T4-03</t>
        </is>
      </c>
      <c r="B87" t="inlineStr">
        <is>
          <t>Gi0/0/2/5</t>
        </is>
      </c>
      <c r="C87" t="inlineStr">
        <is>
          <t>1G copper</t>
        </is>
      </c>
      <c r="D87" t="n">
        <v>1000</v>
      </c>
      <c r="E87" t="inlineStr">
        <is>
          <t>admin-down</t>
        </is>
      </c>
    </row>
    <row r="88">
      <c r="A88" t="inlineStr">
        <is>
          <t>MH-DC-001-PE-T4-03</t>
        </is>
      </c>
      <c r="B88" t="inlineStr">
        <is>
          <t>Gi0/0/2/6</t>
        </is>
      </c>
      <c r="C88" t="inlineStr">
        <is>
          <t>1G copper</t>
        </is>
      </c>
      <c r="D88" t="n">
        <v>1000</v>
      </c>
      <c r="E88" t="inlineStr">
        <is>
          <t>admin-down</t>
        </is>
      </c>
    </row>
    <row r="89">
      <c r="A89" t="inlineStr">
        <is>
          <t>MH-DC-001-PE-T4-03</t>
        </is>
      </c>
      <c r="B89" t="inlineStr">
        <is>
          <t>Gi0/0/2/7</t>
        </is>
      </c>
      <c r="C89" t="inlineStr">
        <is>
          <t>1G copper</t>
        </is>
      </c>
      <c r="D89" t="n">
        <v>1000</v>
      </c>
      <c r="E89" t="inlineStr">
        <is>
          <t>admin-down</t>
        </is>
      </c>
    </row>
    <row r="90">
      <c r="A90" t="inlineStr">
        <is>
          <t>MH-DC-001-PE-T4-03</t>
        </is>
      </c>
      <c r="B90" t="inlineStr">
        <is>
          <t>Gi0/0/2/8</t>
        </is>
      </c>
      <c r="C90" t="inlineStr">
        <is>
          <t>1G copper</t>
        </is>
      </c>
      <c r="D90" t="n">
        <v>1000</v>
      </c>
      <c r="E90" t="inlineStr">
        <is>
          <t>admin-down</t>
        </is>
      </c>
    </row>
    <row r="91">
      <c r="A91" t="inlineStr">
        <is>
          <t>MH-DC-001-PE-T4-03</t>
        </is>
      </c>
      <c r="B91" t="inlineStr">
        <is>
          <t>Gi0/0/2/9</t>
        </is>
      </c>
      <c r="C91" t="inlineStr">
        <is>
          <t>1G copper</t>
        </is>
      </c>
      <c r="D91" t="n">
        <v>1000</v>
      </c>
      <c r="E91" t="inlineStr">
        <is>
          <t>admin-down</t>
        </is>
      </c>
    </row>
    <row r="92">
      <c r="A92" t="inlineStr">
        <is>
          <t>MH-DC-001-PE-T4-03</t>
        </is>
      </c>
      <c r="B92" t="inlineStr">
        <is>
          <t>Gi0/0/2/10</t>
        </is>
      </c>
      <c r="C92" t="inlineStr">
        <is>
          <t>1G copper</t>
        </is>
      </c>
      <c r="D92" t="n">
        <v>1000</v>
      </c>
      <c r="E92" t="inlineStr">
        <is>
          <t>admin-down</t>
        </is>
      </c>
    </row>
    <row r="93">
      <c r="A93" t="inlineStr">
        <is>
          <t>MH-DC-001-PE-T4-03</t>
        </is>
      </c>
      <c r="B93" t="inlineStr">
        <is>
          <t>Gi0/0/2/11</t>
        </is>
      </c>
      <c r="C93" t="inlineStr">
        <is>
          <t>1G copper</t>
        </is>
      </c>
      <c r="D93" t="n">
        <v>1000</v>
      </c>
      <c r="E93" t="inlineStr">
        <is>
          <t>admin-down</t>
        </is>
      </c>
    </row>
    <row r="94">
      <c r="A94" t="inlineStr">
        <is>
          <t>MH-DC-001-PE-T4-03</t>
        </is>
      </c>
      <c r="B94" t="inlineStr">
        <is>
          <t>Gi0/0/2/12</t>
        </is>
      </c>
      <c r="C94" t="inlineStr">
        <is>
          <t>1G copper</t>
        </is>
      </c>
      <c r="D94" t="n">
        <v>1000</v>
      </c>
      <c r="E94" t="inlineStr">
        <is>
          <t>admin-down</t>
        </is>
      </c>
    </row>
    <row r="95">
      <c r="A95" t="inlineStr">
        <is>
          <t>MH-DC-001-PE-T4-03</t>
        </is>
      </c>
      <c r="B95" t="inlineStr">
        <is>
          <t>Gi0/0/2/13</t>
        </is>
      </c>
      <c r="C95" t="inlineStr">
        <is>
          <t>1G copper</t>
        </is>
      </c>
      <c r="D95" t="n">
        <v>1000</v>
      </c>
      <c r="E95" t="inlineStr">
        <is>
          <t>admin-down</t>
        </is>
      </c>
    </row>
    <row r="96">
      <c r="A96" t="inlineStr">
        <is>
          <t>MH-DC-001-PE-T4-03</t>
        </is>
      </c>
      <c r="B96" t="inlineStr">
        <is>
          <t>Gi0/0/2/14</t>
        </is>
      </c>
      <c r="C96" t="inlineStr">
        <is>
          <t>1G copper</t>
        </is>
      </c>
      <c r="D96" t="n">
        <v>1000</v>
      </c>
      <c r="E96" t="inlineStr">
        <is>
          <t>admin-down</t>
        </is>
      </c>
    </row>
    <row r="97">
      <c r="A97" t="inlineStr">
        <is>
          <t>MH-DC-001-PE-T4-03</t>
        </is>
      </c>
      <c r="B97" t="inlineStr">
        <is>
          <t>Gi0/0/2/15</t>
        </is>
      </c>
      <c r="C97" t="inlineStr">
        <is>
          <t>1G copper</t>
        </is>
      </c>
      <c r="D97" t="n">
        <v>1000</v>
      </c>
      <c r="E97" t="inlineStr">
        <is>
          <t>admin-down</t>
        </is>
      </c>
    </row>
    <row r="98">
      <c r="A98" t="inlineStr">
        <is>
          <t>MH-DC-001-PE-T4-04</t>
        </is>
      </c>
      <c r="B98" t="inlineStr">
        <is>
          <t>Te0/0/0/0</t>
        </is>
      </c>
      <c r="C98" t="inlineStr">
        <is>
          <t>10G SFP+</t>
        </is>
      </c>
      <c r="D98" t="n">
        <v>10000</v>
      </c>
      <c r="E98" t="inlineStr">
        <is>
          <t>admin-down</t>
        </is>
      </c>
    </row>
    <row r="99">
      <c r="A99" t="inlineStr">
        <is>
          <t>MH-DC-001-PE-T4-04</t>
        </is>
      </c>
      <c r="B99" t="inlineStr">
        <is>
          <t>Te0/0/0/1</t>
        </is>
      </c>
      <c r="C99" t="inlineStr">
        <is>
          <t>10G SFP+</t>
        </is>
      </c>
      <c r="D99" t="n">
        <v>10000</v>
      </c>
      <c r="E99" t="inlineStr">
        <is>
          <t>up</t>
        </is>
      </c>
      <c r="F99" t="inlineStr">
        <is>
          <t>Backhaul to MP-DC-014</t>
        </is>
      </c>
      <c r="G99" t="inlineStr">
        <is>
          <t>SFP-10G-LR</t>
        </is>
      </c>
    </row>
    <row r="100">
      <c r="A100" t="inlineStr">
        <is>
          <t>MH-DC-001-PE-T4-04</t>
        </is>
      </c>
      <c r="B100" t="inlineStr">
        <is>
          <t>Te0/0/0/2</t>
        </is>
      </c>
      <c r="C100" t="inlineStr">
        <is>
          <t>10G SFP+</t>
        </is>
      </c>
      <c r="D100" t="n">
        <v>10000</v>
      </c>
      <c r="E100" t="inlineStr">
        <is>
          <t>up</t>
        </is>
      </c>
      <c r="F100" t="inlineStr">
        <is>
          <t>Backhaul to MH-DC-004</t>
        </is>
      </c>
      <c r="G100" t="inlineStr">
        <is>
          <t>SFP-10G-LR</t>
        </is>
      </c>
    </row>
    <row r="101">
      <c r="A101" t="inlineStr">
        <is>
          <t>MH-DC-001-PE-T4-04</t>
        </is>
      </c>
      <c r="B101" t="inlineStr">
        <is>
          <t>Te0/0/0/3</t>
        </is>
      </c>
      <c r="C101" t="inlineStr">
        <is>
          <t>10G SFP+</t>
        </is>
      </c>
      <c r="D101" t="n">
        <v>10000</v>
      </c>
      <c r="E101" t="inlineStr">
        <is>
          <t>up</t>
        </is>
      </c>
      <c r="F101" t="inlineStr">
        <is>
          <t>Backhaul to KL-DC-024</t>
        </is>
      </c>
      <c r="G101" t="inlineStr">
        <is>
          <t>SFP-10G-LR</t>
        </is>
      </c>
    </row>
    <row r="102">
      <c r="A102" t="inlineStr">
        <is>
          <t>MH-DC-001-PE-T4-04</t>
        </is>
      </c>
      <c r="B102" t="inlineStr">
        <is>
          <t>Te0/0/0/4</t>
        </is>
      </c>
      <c r="C102" t="inlineStr">
        <is>
          <t>10G SFP+</t>
        </is>
      </c>
      <c r="D102" t="n">
        <v>10000</v>
      </c>
      <c r="E102" t="inlineStr">
        <is>
          <t>up</t>
        </is>
      </c>
      <c r="F102" t="inlineStr">
        <is>
          <t>Backhaul to KA-DC-021</t>
        </is>
      </c>
      <c r="G102" t="inlineStr">
        <is>
          <t>SFP-10G-LR</t>
        </is>
      </c>
    </row>
    <row r="103">
      <c r="A103" t="inlineStr">
        <is>
          <t>MH-DC-001-PE-T4-04</t>
        </is>
      </c>
      <c r="B103" t="inlineStr">
        <is>
          <t>Te0/0/0/5</t>
        </is>
      </c>
      <c r="C103" t="inlineStr">
        <is>
          <t>10G SFP+</t>
        </is>
      </c>
      <c r="D103" t="n">
        <v>10000</v>
      </c>
      <c r="E103" t="inlineStr">
        <is>
          <t>up</t>
        </is>
      </c>
      <c r="F103" t="inlineStr">
        <is>
          <t>Backhaul to TS-DC-023</t>
        </is>
      </c>
      <c r="G103" t="inlineStr">
        <is>
          <t>SFP-10G-LR</t>
        </is>
      </c>
    </row>
    <row r="104">
      <c r="A104" t="inlineStr">
        <is>
          <t>MH-DC-001-PE-T4-04</t>
        </is>
      </c>
      <c r="B104" t="inlineStr">
        <is>
          <t>Te0/0/0/6</t>
        </is>
      </c>
      <c r="C104" t="inlineStr">
        <is>
          <t>10G SFP+</t>
        </is>
      </c>
      <c r="D104" t="n">
        <v>10000</v>
      </c>
      <c r="E104" t="inlineStr">
        <is>
          <t>up</t>
        </is>
      </c>
      <c r="F104" t="inlineStr">
        <is>
          <t>Uplink to MH-DC-001-AGG-R03</t>
        </is>
      </c>
      <c r="G104" t="inlineStr">
        <is>
          <t>SFP-10G-LR</t>
        </is>
      </c>
    </row>
    <row r="105">
      <c r="A105" t="inlineStr">
        <is>
          <t>MH-DC-001-PE-T4-04</t>
        </is>
      </c>
      <c r="B105" t="inlineStr">
        <is>
          <t>Te0/0/0/7</t>
        </is>
      </c>
      <c r="C105" t="inlineStr">
        <is>
          <t>10G SFP+</t>
        </is>
      </c>
      <c r="D105" t="n">
        <v>10000</v>
      </c>
      <c r="E105" t="inlineStr">
        <is>
          <t>admin-down</t>
        </is>
      </c>
    </row>
    <row r="106">
      <c r="A106" t="inlineStr">
        <is>
          <t>MH-DC-001-PE-T4-04</t>
        </is>
      </c>
      <c r="B106" t="inlineStr">
        <is>
          <t>Te0/0/0/8</t>
        </is>
      </c>
      <c r="C106" t="inlineStr">
        <is>
          <t>10G SFP+</t>
        </is>
      </c>
      <c r="D106" t="n">
        <v>10000</v>
      </c>
      <c r="E106" t="inlineStr">
        <is>
          <t>admin-down</t>
        </is>
      </c>
    </row>
    <row r="107">
      <c r="A107" t="inlineStr">
        <is>
          <t>MH-DC-001-PE-T4-04</t>
        </is>
      </c>
      <c r="B107" t="inlineStr">
        <is>
          <t>Te0/0/0/9</t>
        </is>
      </c>
      <c r="C107" t="inlineStr">
        <is>
          <t>10G SFP+</t>
        </is>
      </c>
      <c r="D107" t="n">
        <v>10000</v>
      </c>
      <c r="E107" t="inlineStr">
        <is>
          <t>admin-down</t>
        </is>
      </c>
    </row>
    <row r="108">
      <c r="A108" t="inlineStr">
        <is>
          <t>MH-DC-001-PE-T4-04</t>
        </is>
      </c>
      <c r="B108" t="inlineStr">
        <is>
          <t>Te0/0/0/10</t>
        </is>
      </c>
      <c r="C108" t="inlineStr">
        <is>
          <t>10G SFP+</t>
        </is>
      </c>
      <c r="D108" t="n">
        <v>10000</v>
      </c>
      <c r="E108" t="inlineStr">
        <is>
          <t>admin-down</t>
        </is>
      </c>
    </row>
    <row r="109">
      <c r="A109" t="inlineStr">
        <is>
          <t>MH-DC-001-PE-T4-04</t>
        </is>
      </c>
      <c r="B109" t="inlineStr">
        <is>
          <t>Te0/0/0/11</t>
        </is>
      </c>
      <c r="C109" t="inlineStr">
        <is>
          <t>10G SFP+</t>
        </is>
      </c>
      <c r="D109" t="n">
        <v>10000</v>
      </c>
      <c r="E109" t="inlineStr">
        <is>
          <t>admin-down</t>
        </is>
      </c>
    </row>
    <row r="110">
      <c r="A110" t="inlineStr">
        <is>
          <t>MH-DC-001-PE-T4-04</t>
        </is>
      </c>
      <c r="B110" t="inlineStr">
        <is>
          <t>Hu0/0/1/0</t>
        </is>
      </c>
      <c r="C110" t="inlineStr">
        <is>
          <t>100G QSFP28</t>
        </is>
      </c>
      <c r="D110" t="n">
        <v>100000</v>
      </c>
      <c r="E110" t="inlineStr">
        <is>
          <t>up</t>
        </is>
      </c>
      <c r="F110" t="inlineStr">
        <is>
          <t>Fabric to MH-DC-001-PE-T4-01</t>
        </is>
      </c>
      <c r="G110" t="inlineStr">
        <is>
          <t>QSFP28-100G-LR4</t>
        </is>
      </c>
    </row>
    <row r="111">
      <c r="A111" t="inlineStr">
        <is>
          <t>MH-DC-001-PE-T4-04</t>
        </is>
      </c>
      <c r="B111" t="inlineStr">
        <is>
          <t>Hu0/0/1/1</t>
        </is>
      </c>
      <c r="C111" t="inlineStr">
        <is>
          <t>100G QSFP28</t>
        </is>
      </c>
      <c r="D111" t="n">
        <v>100000</v>
      </c>
      <c r="E111" t="inlineStr">
        <is>
          <t>up</t>
        </is>
      </c>
      <c r="F111" t="inlineStr">
        <is>
          <t>Fabric to MH-DC-001-PE-T4-02</t>
        </is>
      </c>
      <c r="G111" t="inlineStr">
        <is>
          <t>QSFP28-100G-LR4</t>
        </is>
      </c>
    </row>
    <row r="112">
      <c r="A112" t="inlineStr">
        <is>
          <t>MH-DC-001-PE-T4-04</t>
        </is>
      </c>
      <c r="B112" t="inlineStr">
        <is>
          <t>Hu0/0/1/2</t>
        </is>
      </c>
      <c r="C112" t="inlineStr">
        <is>
          <t>100G QSFP28</t>
        </is>
      </c>
      <c r="D112" t="n">
        <v>100000</v>
      </c>
      <c r="E112" t="inlineStr">
        <is>
          <t>up</t>
        </is>
      </c>
      <c r="F112" t="inlineStr">
        <is>
          <t>Fabric to MH-DC-001-PE-T4-03</t>
        </is>
      </c>
      <c r="G112" t="inlineStr">
        <is>
          <t>QSFP28-100G-LR4</t>
        </is>
      </c>
    </row>
    <row r="113">
      <c r="A113" t="inlineStr">
        <is>
          <t>MH-DC-001-PE-T4-04</t>
        </is>
      </c>
      <c r="B113" t="inlineStr">
        <is>
          <t>Hu0/0/1/3</t>
        </is>
      </c>
      <c r="C113" t="inlineStr">
        <is>
          <t>100G QSFP28</t>
        </is>
      </c>
      <c r="D113" t="n">
        <v>100000</v>
      </c>
      <c r="E113" t="inlineStr">
        <is>
          <t>admin-down</t>
        </is>
      </c>
    </row>
    <row r="114">
      <c r="A114" t="inlineStr">
        <is>
          <t>MH-DC-001-PE-T4-04</t>
        </is>
      </c>
      <c r="B114" t="inlineStr">
        <is>
          <t>Gi0/0/2/0</t>
        </is>
      </c>
      <c r="C114" t="inlineStr">
        <is>
          <t>1G copper</t>
        </is>
      </c>
      <c r="D114" t="n">
        <v>1000</v>
      </c>
      <c r="E114" t="inlineStr">
        <is>
          <t>admin-down</t>
        </is>
      </c>
    </row>
    <row r="115">
      <c r="A115" t="inlineStr">
        <is>
          <t>MH-DC-001-PE-T4-04</t>
        </is>
      </c>
      <c r="B115" t="inlineStr">
        <is>
          <t>Gi0/0/2/1</t>
        </is>
      </c>
      <c r="C115" t="inlineStr">
        <is>
          <t>1G copper</t>
        </is>
      </c>
      <c r="D115" t="n">
        <v>1000</v>
      </c>
      <c r="E115" t="inlineStr">
        <is>
          <t>admin-down</t>
        </is>
      </c>
    </row>
    <row r="116">
      <c r="A116" t="inlineStr">
        <is>
          <t>MH-DC-001-PE-T4-04</t>
        </is>
      </c>
      <c r="B116" t="inlineStr">
        <is>
          <t>Gi0/0/2/2</t>
        </is>
      </c>
      <c r="C116" t="inlineStr">
        <is>
          <t>1G copper</t>
        </is>
      </c>
      <c r="D116" t="n">
        <v>1000</v>
      </c>
      <c r="E116" t="inlineStr">
        <is>
          <t>admin-down</t>
        </is>
      </c>
    </row>
    <row r="117">
      <c r="A117" t="inlineStr">
        <is>
          <t>MH-DC-001-PE-T4-04</t>
        </is>
      </c>
      <c r="B117" t="inlineStr">
        <is>
          <t>Gi0/0/2/3</t>
        </is>
      </c>
      <c r="C117" t="inlineStr">
        <is>
          <t>1G copper</t>
        </is>
      </c>
      <c r="D117" t="n">
        <v>1000</v>
      </c>
      <c r="E117" t="inlineStr">
        <is>
          <t>admin-down</t>
        </is>
      </c>
    </row>
    <row r="118">
      <c r="A118" t="inlineStr">
        <is>
          <t>MH-DC-001-PE-T4-04</t>
        </is>
      </c>
      <c r="B118" t="inlineStr">
        <is>
          <t>Gi0/0/2/4</t>
        </is>
      </c>
      <c r="C118" t="inlineStr">
        <is>
          <t>1G copper</t>
        </is>
      </c>
      <c r="D118" t="n">
        <v>1000</v>
      </c>
      <c r="E118" t="inlineStr">
        <is>
          <t>admin-down</t>
        </is>
      </c>
    </row>
    <row r="119">
      <c r="A119" t="inlineStr">
        <is>
          <t>MH-DC-001-PE-T4-04</t>
        </is>
      </c>
      <c r="B119" t="inlineStr">
        <is>
          <t>Gi0/0/2/5</t>
        </is>
      </c>
      <c r="C119" t="inlineStr">
        <is>
          <t>1G copper</t>
        </is>
      </c>
      <c r="D119" t="n">
        <v>1000</v>
      </c>
      <c r="E119" t="inlineStr">
        <is>
          <t>admin-down</t>
        </is>
      </c>
    </row>
    <row r="120">
      <c r="A120" t="inlineStr">
        <is>
          <t>MH-DC-001-PE-T4-04</t>
        </is>
      </c>
      <c r="B120" t="inlineStr">
        <is>
          <t>Gi0/0/2/6</t>
        </is>
      </c>
      <c r="C120" t="inlineStr">
        <is>
          <t>1G copper</t>
        </is>
      </c>
      <c r="D120" t="n">
        <v>1000</v>
      </c>
      <c r="E120" t="inlineStr">
        <is>
          <t>admin-down</t>
        </is>
      </c>
    </row>
    <row r="121">
      <c r="A121" t="inlineStr">
        <is>
          <t>MH-DC-001-PE-T4-04</t>
        </is>
      </c>
      <c r="B121" t="inlineStr">
        <is>
          <t>Gi0/0/2/7</t>
        </is>
      </c>
      <c r="C121" t="inlineStr">
        <is>
          <t>1G copper</t>
        </is>
      </c>
      <c r="D121" t="n">
        <v>1000</v>
      </c>
      <c r="E121" t="inlineStr">
        <is>
          <t>admin-down</t>
        </is>
      </c>
    </row>
    <row r="122">
      <c r="A122" t="inlineStr">
        <is>
          <t>MH-DC-001-PE-T4-04</t>
        </is>
      </c>
      <c r="B122" t="inlineStr">
        <is>
          <t>Gi0/0/2/8</t>
        </is>
      </c>
      <c r="C122" t="inlineStr">
        <is>
          <t>1G copper</t>
        </is>
      </c>
      <c r="D122" t="n">
        <v>1000</v>
      </c>
      <c r="E122" t="inlineStr">
        <is>
          <t>admin-down</t>
        </is>
      </c>
    </row>
    <row r="123">
      <c r="A123" t="inlineStr">
        <is>
          <t>MH-DC-001-PE-T4-04</t>
        </is>
      </c>
      <c r="B123" t="inlineStr">
        <is>
          <t>Gi0/0/2/9</t>
        </is>
      </c>
      <c r="C123" t="inlineStr">
        <is>
          <t>1G copper</t>
        </is>
      </c>
      <c r="D123" t="n">
        <v>1000</v>
      </c>
      <c r="E123" t="inlineStr">
        <is>
          <t>admin-down</t>
        </is>
      </c>
    </row>
    <row r="124">
      <c r="A124" t="inlineStr">
        <is>
          <t>MH-DC-001-PE-T4-04</t>
        </is>
      </c>
      <c r="B124" t="inlineStr">
        <is>
          <t>Gi0/0/2/10</t>
        </is>
      </c>
      <c r="C124" t="inlineStr">
        <is>
          <t>1G copper</t>
        </is>
      </c>
      <c r="D124" t="n">
        <v>1000</v>
      </c>
      <c r="E124" t="inlineStr">
        <is>
          <t>admin-down</t>
        </is>
      </c>
    </row>
    <row r="125">
      <c r="A125" t="inlineStr">
        <is>
          <t>MH-DC-001-PE-T4-04</t>
        </is>
      </c>
      <c r="B125" t="inlineStr">
        <is>
          <t>Gi0/0/2/11</t>
        </is>
      </c>
      <c r="C125" t="inlineStr">
        <is>
          <t>1G copper</t>
        </is>
      </c>
      <c r="D125" t="n">
        <v>1000</v>
      </c>
      <c r="E125" t="inlineStr">
        <is>
          <t>admin-down</t>
        </is>
      </c>
    </row>
    <row r="126">
      <c r="A126" t="inlineStr">
        <is>
          <t>MH-DC-001-PE-T4-04</t>
        </is>
      </c>
      <c r="B126" t="inlineStr">
        <is>
          <t>Gi0/0/2/12</t>
        </is>
      </c>
      <c r="C126" t="inlineStr">
        <is>
          <t>1G copper</t>
        </is>
      </c>
      <c r="D126" t="n">
        <v>1000</v>
      </c>
      <c r="E126" t="inlineStr">
        <is>
          <t>admin-down</t>
        </is>
      </c>
    </row>
    <row r="127">
      <c r="A127" t="inlineStr">
        <is>
          <t>MH-DC-001-PE-T4-04</t>
        </is>
      </c>
      <c r="B127" t="inlineStr">
        <is>
          <t>Gi0/0/2/13</t>
        </is>
      </c>
      <c r="C127" t="inlineStr">
        <is>
          <t>1G copper</t>
        </is>
      </c>
      <c r="D127" t="n">
        <v>1000</v>
      </c>
      <c r="E127" t="inlineStr">
        <is>
          <t>admin-down</t>
        </is>
      </c>
    </row>
    <row r="128">
      <c r="A128" t="inlineStr">
        <is>
          <t>MH-DC-001-PE-T4-04</t>
        </is>
      </c>
      <c r="B128" t="inlineStr">
        <is>
          <t>Gi0/0/2/14</t>
        </is>
      </c>
      <c r="C128" t="inlineStr">
        <is>
          <t>1G copper</t>
        </is>
      </c>
      <c r="D128" t="n">
        <v>1000</v>
      </c>
      <c r="E128" t="inlineStr">
        <is>
          <t>admin-down</t>
        </is>
      </c>
    </row>
    <row r="129">
      <c r="A129" t="inlineStr">
        <is>
          <t>MH-DC-001-PE-T4-04</t>
        </is>
      </c>
      <c r="B129" t="inlineStr">
        <is>
          <t>Gi0/0/2/15</t>
        </is>
      </c>
      <c r="C129" t="inlineStr">
        <is>
          <t>1G copper</t>
        </is>
      </c>
      <c r="D129" t="n">
        <v>1000</v>
      </c>
      <c r="E129" t="inlineStr">
        <is>
          <t>admin-down</t>
        </is>
      </c>
    </row>
    <row r="130">
      <c r="A130" t="inlineStr">
        <is>
          <t>MH-DC-001-FW-01</t>
        </is>
      </c>
      <c r="B130" t="inlineStr">
        <is>
          <t>port1</t>
        </is>
      </c>
      <c r="C130" t="inlineStr">
        <is>
          <t>10G SFP+</t>
        </is>
      </c>
      <c r="D130" t="n">
        <v>10000</v>
      </c>
      <c r="E130" t="inlineStr">
        <is>
          <t>up</t>
        </is>
      </c>
      <c r="F130" t="inlineStr">
        <is>
          <t>Uplink to MH-DC-001-AGG-R01</t>
        </is>
      </c>
      <c r="G130" t="inlineStr">
        <is>
          <t>SFP-10G-LR</t>
        </is>
      </c>
    </row>
    <row r="131">
      <c r="A131" t="inlineStr">
        <is>
          <t>MH-DC-001-FW-01</t>
        </is>
      </c>
      <c r="B131" t="inlineStr">
        <is>
          <t>port2</t>
        </is>
      </c>
      <c r="C131" t="inlineStr">
        <is>
          <t>10G SFP+</t>
        </is>
      </c>
      <c r="D131" t="n">
        <v>10000</v>
      </c>
      <c r="E131" t="inlineStr">
        <is>
          <t>up</t>
        </is>
      </c>
      <c r="F131" t="inlineStr">
        <is>
          <t>Uplink to MH-DC-001-AGG-R02</t>
        </is>
      </c>
      <c r="G131" t="inlineStr">
        <is>
          <t>SFP-10G-LR</t>
        </is>
      </c>
    </row>
    <row r="132">
      <c r="A132" t="inlineStr">
        <is>
          <t>MH-DC-001-FW-01</t>
        </is>
      </c>
      <c r="B132" t="inlineStr">
        <is>
          <t>port3</t>
        </is>
      </c>
      <c r="C132" t="inlineStr">
        <is>
          <t>10G SFP+</t>
        </is>
      </c>
      <c r="D132" t="n">
        <v>10000</v>
      </c>
      <c r="E132" t="inlineStr">
        <is>
          <t>admin-down</t>
        </is>
      </c>
    </row>
    <row r="133">
      <c r="A133" t="inlineStr">
        <is>
          <t>MH-DC-001-FW-01</t>
        </is>
      </c>
      <c r="B133" t="inlineStr">
        <is>
          <t>port4</t>
        </is>
      </c>
      <c r="C133" t="inlineStr">
        <is>
          <t>10G SFP+</t>
        </is>
      </c>
      <c r="D133" t="n">
        <v>10000</v>
      </c>
      <c r="E133" t="inlineStr">
        <is>
          <t>admin-down</t>
        </is>
      </c>
    </row>
    <row r="134">
      <c r="A134" t="inlineStr">
        <is>
          <t>MH-DC-001-FW-01</t>
        </is>
      </c>
      <c r="B134" t="inlineStr">
        <is>
          <t>port5</t>
        </is>
      </c>
      <c r="C134" t="inlineStr">
        <is>
          <t>10G SFP+</t>
        </is>
      </c>
      <c r="D134" t="n">
        <v>10000</v>
      </c>
      <c r="E134" t="inlineStr">
        <is>
          <t>admin-down</t>
        </is>
      </c>
    </row>
    <row r="135">
      <c r="A135" t="inlineStr">
        <is>
          <t>MH-DC-001-FW-01</t>
        </is>
      </c>
      <c r="B135" t="inlineStr">
        <is>
          <t>port6</t>
        </is>
      </c>
      <c r="C135" t="inlineStr">
        <is>
          <t>10G SFP+</t>
        </is>
      </c>
      <c r="D135" t="n">
        <v>10000</v>
      </c>
      <c r="E135" t="inlineStr">
        <is>
          <t>admin-down</t>
        </is>
      </c>
    </row>
    <row r="136">
      <c r="A136" t="inlineStr">
        <is>
          <t>MH-DC-001-FW-01</t>
        </is>
      </c>
      <c r="B136" t="inlineStr">
        <is>
          <t>port7</t>
        </is>
      </c>
      <c r="C136" t="inlineStr">
        <is>
          <t>10G SFP+</t>
        </is>
      </c>
      <c r="D136" t="n">
        <v>10000</v>
      </c>
      <c r="E136" t="inlineStr">
        <is>
          <t>admin-down</t>
        </is>
      </c>
    </row>
    <row r="137">
      <c r="A137" t="inlineStr">
        <is>
          <t>MH-DC-001-FW-01</t>
        </is>
      </c>
      <c r="B137" t="inlineStr">
        <is>
          <t>port8</t>
        </is>
      </c>
      <c r="C137" t="inlineStr">
        <is>
          <t>10G SFP+</t>
        </is>
      </c>
      <c r="D137" t="n">
        <v>10000</v>
      </c>
      <c r="E137" t="inlineStr">
        <is>
          <t>admin-down</t>
        </is>
      </c>
    </row>
    <row r="138">
      <c r="A138" t="inlineStr">
        <is>
          <t>MH-DC-001-FW-02</t>
        </is>
      </c>
      <c r="B138" t="inlineStr">
        <is>
          <t>port1</t>
        </is>
      </c>
      <c r="C138" t="inlineStr">
        <is>
          <t>10G SFP+</t>
        </is>
      </c>
      <c r="D138" t="n">
        <v>10000</v>
      </c>
      <c r="E138" t="inlineStr">
        <is>
          <t>up</t>
        </is>
      </c>
      <c r="F138" t="inlineStr">
        <is>
          <t>Uplink to MH-DC-001-AGG-R02</t>
        </is>
      </c>
      <c r="G138" t="inlineStr">
        <is>
          <t>SFP-10G-LR</t>
        </is>
      </c>
    </row>
    <row r="139">
      <c r="A139" t="inlineStr">
        <is>
          <t>MH-DC-001-FW-02</t>
        </is>
      </c>
      <c r="B139" t="inlineStr">
        <is>
          <t>port2</t>
        </is>
      </c>
      <c r="C139" t="inlineStr">
        <is>
          <t>10G SFP+</t>
        </is>
      </c>
      <c r="D139" t="n">
        <v>10000</v>
      </c>
      <c r="E139" t="inlineStr">
        <is>
          <t>up</t>
        </is>
      </c>
      <c r="F139" t="inlineStr">
        <is>
          <t>Uplink to MH-DC-001-AGG-R03</t>
        </is>
      </c>
      <c r="G139" t="inlineStr">
        <is>
          <t>SFP-10G-LR</t>
        </is>
      </c>
    </row>
    <row r="140">
      <c r="A140" t="inlineStr">
        <is>
          <t>MH-DC-001-FW-02</t>
        </is>
      </c>
      <c r="B140" t="inlineStr">
        <is>
          <t>port3</t>
        </is>
      </c>
      <c r="C140" t="inlineStr">
        <is>
          <t>10G SFP+</t>
        </is>
      </c>
      <c r="D140" t="n">
        <v>10000</v>
      </c>
      <c r="E140" t="inlineStr">
        <is>
          <t>admin-down</t>
        </is>
      </c>
    </row>
    <row r="141">
      <c r="A141" t="inlineStr">
        <is>
          <t>MH-DC-001-FW-02</t>
        </is>
      </c>
      <c r="B141" t="inlineStr">
        <is>
          <t>port4</t>
        </is>
      </c>
      <c r="C141" t="inlineStr">
        <is>
          <t>10G SFP+</t>
        </is>
      </c>
      <c r="D141" t="n">
        <v>10000</v>
      </c>
      <c r="E141" t="inlineStr">
        <is>
          <t>reserved</t>
        </is>
      </c>
    </row>
    <row r="142">
      <c r="A142" t="inlineStr">
        <is>
          <t>MH-DC-001-FW-02</t>
        </is>
      </c>
      <c r="B142" t="inlineStr">
        <is>
          <t>port5</t>
        </is>
      </c>
      <c r="C142" t="inlineStr">
        <is>
          <t>10G SFP+</t>
        </is>
      </c>
      <c r="D142" t="n">
        <v>10000</v>
      </c>
      <c r="E142" t="inlineStr">
        <is>
          <t>admin-down</t>
        </is>
      </c>
    </row>
    <row r="143">
      <c r="A143" t="inlineStr">
        <is>
          <t>MH-DC-001-FW-02</t>
        </is>
      </c>
      <c r="B143" t="inlineStr">
        <is>
          <t>port6</t>
        </is>
      </c>
      <c r="C143" t="inlineStr">
        <is>
          <t>10G SFP+</t>
        </is>
      </c>
      <c r="D143" t="n">
        <v>10000</v>
      </c>
      <c r="E143" t="inlineStr">
        <is>
          <t>admin-down</t>
        </is>
      </c>
    </row>
    <row r="144">
      <c r="A144" t="inlineStr">
        <is>
          <t>MH-DC-001-FW-02</t>
        </is>
      </c>
      <c r="B144" t="inlineStr">
        <is>
          <t>port7</t>
        </is>
      </c>
      <c r="C144" t="inlineStr">
        <is>
          <t>10G SFP+</t>
        </is>
      </c>
      <c r="D144" t="n">
        <v>10000</v>
      </c>
      <c r="E144" t="inlineStr">
        <is>
          <t>admin-down</t>
        </is>
      </c>
    </row>
    <row r="145">
      <c r="A145" t="inlineStr">
        <is>
          <t>MH-DC-001-FW-02</t>
        </is>
      </c>
      <c r="B145" t="inlineStr">
        <is>
          <t>port8</t>
        </is>
      </c>
      <c r="C145" t="inlineStr">
        <is>
          <t>10G SFP+</t>
        </is>
      </c>
      <c r="D145" t="n">
        <v>10000</v>
      </c>
      <c r="E145" t="inlineStr">
        <is>
          <t>admin-down</t>
        </is>
      </c>
    </row>
    <row r="146">
      <c r="A146" t="inlineStr">
        <is>
          <t>MH-DC-001-OLA-01</t>
        </is>
      </c>
      <c r="B146" t="inlineStr">
        <is>
          <t>1/2/c1</t>
        </is>
      </c>
      <c r="C146" t="inlineStr">
        <is>
          <t>100G QSFP28</t>
        </is>
      </c>
      <c r="D146" t="n">
        <v>100000</v>
      </c>
      <c r="E146" t="inlineStr">
        <is>
          <t>up</t>
        </is>
      </c>
      <c r="F146" t="inlineStr">
        <is>
          <t>Uplink to MH-DC-001-AGG-R01</t>
        </is>
      </c>
      <c r="G146" t="inlineStr">
        <is>
          <t>QSFP28-100G-LR4</t>
        </is>
      </c>
    </row>
    <row r="147">
      <c r="A147" t="inlineStr">
        <is>
          <t>MH-DC-001-OLA-01</t>
        </is>
      </c>
      <c r="B147" t="inlineStr">
        <is>
          <t>1/2/c2</t>
        </is>
      </c>
      <c r="C147" t="inlineStr">
        <is>
          <t>100G QSFP28</t>
        </is>
      </c>
      <c r="D147" t="n">
        <v>100000</v>
      </c>
      <c r="E147" t="inlineStr">
        <is>
          <t>admin-down</t>
        </is>
      </c>
    </row>
    <row r="148">
      <c r="A148" t="inlineStr">
        <is>
          <t>MH-DC-001-OLA-01</t>
        </is>
      </c>
      <c r="B148" t="inlineStr">
        <is>
          <t>1/2/c3</t>
        </is>
      </c>
      <c r="C148" t="inlineStr">
        <is>
          <t>100G QSFP28</t>
        </is>
      </c>
      <c r="D148" t="n">
        <v>100000</v>
      </c>
      <c r="E148" t="inlineStr">
        <is>
          <t>admin-down</t>
        </is>
      </c>
    </row>
    <row r="149">
      <c r="A149" t="inlineStr">
        <is>
          <t>MH-DC-001-OLA-01</t>
        </is>
      </c>
      <c r="B149" t="inlineStr">
        <is>
          <t>1/2/c4</t>
        </is>
      </c>
      <c r="C149" t="inlineStr">
        <is>
          <t>100G QSFP28</t>
        </is>
      </c>
      <c r="D149" t="n">
        <v>100000</v>
      </c>
      <c r="E149" t="inlineStr">
        <is>
          <t>admin-down</t>
        </is>
      </c>
    </row>
    <row r="150">
      <c r="A150" t="inlineStr">
        <is>
          <t>MH-DC-001-OLA-01</t>
        </is>
      </c>
      <c r="B150" t="inlineStr">
        <is>
          <t>1/2/c5</t>
        </is>
      </c>
      <c r="C150" t="inlineStr">
        <is>
          <t>100G QSFP28</t>
        </is>
      </c>
      <c r="D150" t="n">
        <v>100000</v>
      </c>
      <c r="E150" t="inlineStr">
        <is>
          <t>admin-down</t>
        </is>
      </c>
    </row>
    <row r="151">
      <c r="A151" t="inlineStr">
        <is>
          <t>MH-DC-001-OLA-01</t>
        </is>
      </c>
      <c r="B151" t="inlineStr">
        <is>
          <t>1/2/c6</t>
        </is>
      </c>
      <c r="C151" t="inlineStr">
        <is>
          <t>100G QSFP28</t>
        </is>
      </c>
      <c r="D151" t="n">
        <v>100000</v>
      </c>
      <c r="E151" t="inlineStr">
        <is>
          <t>admin-down</t>
        </is>
      </c>
    </row>
    <row r="152">
      <c r="A152" t="inlineStr">
        <is>
          <t>MH-DC-001-OLA-01</t>
        </is>
      </c>
      <c r="B152" t="inlineStr">
        <is>
          <t>1/2/c7</t>
        </is>
      </c>
      <c r="C152" t="inlineStr">
        <is>
          <t>100G QSFP28</t>
        </is>
      </c>
      <c r="D152" t="n">
        <v>100000</v>
      </c>
      <c r="E152" t="inlineStr">
        <is>
          <t>admin-down</t>
        </is>
      </c>
    </row>
    <row r="153">
      <c r="A153" t="inlineStr">
        <is>
          <t>MH-DC-001-OLA-01</t>
        </is>
      </c>
      <c r="B153" t="inlineStr">
        <is>
          <t>1/2/c8</t>
        </is>
      </c>
      <c r="C153" t="inlineStr">
        <is>
          <t>100G QSFP28</t>
        </is>
      </c>
      <c r="D153" t="n">
        <v>100000</v>
      </c>
      <c r="E153" t="inlineStr">
        <is>
          <t>admin-down</t>
        </is>
      </c>
    </row>
    <row r="154">
      <c r="A154" t="inlineStr">
        <is>
          <t>MH-DC-001-OLA-02</t>
        </is>
      </c>
      <c r="B154" t="inlineStr">
        <is>
          <t>1/2/c1</t>
        </is>
      </c>
      <c r="C154" t="inlineStr">
        <is>
          <t>100G QSFP28</t>
        </is>
      </c>
      <c r="D154" t="n">
        <v>100000</v>
      </c>
      <c r="E154" t="inlineStr">
        <is>
          <t>up</t>
        </is>
      </c>
      <c r="F154" t="inlineStr">
        <is>
          <t>Uplink to MH-DC-001-AGG-R02</t>
        </is>
      </c>
      <c r="G154" t="inlineStr">
        <is>
          <t>QSFP28-100G-LR4</t>
        </is>
      </c>
    </row>
    <row r="155">
      <c r="A155" t="inlineStr">
        <is>
          <t>MH-DC-001-OLA-02</t>
        </is>
      </c>
      <c r="B155" t="inlineStr">
        <is>
          <t>1/2/c2</t>
        </is>
      </c>
      <c r="C155" t="inlineStr">
        <is>
          <t>100G QSFP28</t>
        </is>
      </c>
      <c r="D155" t="n">
        <v>100000</v>
      </c>
      <c r="E155" t="inlineStr">
        <is>
          <t>admin-down</t>
        </is>
      </c>
    </row>
    <row r="156">
      <c r="A156" t="inlineStr">
        <is>
          <t>MH-DC-001-OLA-02</t>
        </is>
      </c>
      <c r="B156" t="inlineStr">
        <is>
          <t>1/2/c3</t>
        </is>
      </c>
      <c r="C156" t="inlineStr">
        <is>
          <t>100G QSFP28</t>
        </is>
      </c>
      <c r="D156" t="n">
        <v>100000</v>
      </c>
      <c r="E156" t="inlineStr">
        <is>
          <t>admin-down</t>
        </is>
      </c>
    </row>
    <row r="157">
      <c r="A157" t="inlineStr">
        <is>
          <t>MH-DC-001-OLA-02</t>
        </is>
      </c>
      <c r="B157" t="inlineStr">
        <is>
          <t>1/2/c4</t>
        </is>
      </c>
      <c r="C157" t="inlineStr">
        <is>
          <t>100G QSFP28</t>
        </is>
      </c>
      <c r="D157" t="n">
        <v>100000</v>
      </c>
      <c r="E157" t="inlineStr">
        <is>
          <t>admin-down</t>
        </is>
      </c>
    </row>
    <row r="158">
      <c r="A158" t="inlineStr">
        <is>
          <t>MH-DC-001-OLA-02</t>
        </is>
      </c>
      <c r="B158" t="inlineStr">
        <is>
          <t>1/2/c5</t>
        </is>
      </c>
      <c r="C158" t="inlineStr">
        <is>
          <t>100G QSFP28</t>
        </is>
      </c>
      <c r="D158" t="n">
        <v>100000</v>
      </c>
      <c r="E158" t="inlineStr">
        <is>
          <t>admin-down</t>
        </is>
      </c>
    </row>
    <row r="159">
      <c r="A159" t="inlineStr">
        <is>
          <t>MH-DC-001-OLA-02</t>
        </is>
      </c>
      <c r="B159" t="inlineStr">
        <is>
          <t>1/2/c6</t>
        </is>
      </c>
      <c r="C159" t="inlineStr">
        <is>
          <t>100G QSFP28</t>
        </is>
      </c>
      <c r="D159" t="n">
        <v>100000</v>
      </c>
      <c r="E159" t="inlineStr">
        <is>
          <t>admin-down</t>
        </is>
      </c>
    </row>
    <row r="160">
      <c r="A160" t="inlineStr">
        <is>
          <t>MH-DC-001-OLA-02</t>
        </is>
      </c>
      <c r="B160" t="inlineStr">
        <is>
          <t>1/2/c7</t>
        </is>
      </c>
      <c r="C160" t="inlineStr">
        <is>
          <t>100G QSFP28</t>
        </is>
      </c>
      <c r="D160" t="n">
        <v>100000</v>
      </c>
      <c r="E160" t="inlineStr">
        <is>
          <t>admin-down</t>
        </is>
      </c>
    </row>
    <row r="161">
      <c r="A161" t="inlineStr">
        <is>
          <t>MH-DC-001-OLA-02</t>
        </is>
      </c>
      <c r="B161" t="inlineStr">
        <is>
          <t>1/2/c8</t>
        </is>
      </c>
      <c r="C161" t="inlineStr">
        <is>
          <t>100G QSFP28</t>
        </is>
      </c>
      <c r="D161" t="n">
        <v>100000</v>
      </c>
      <c r="E161" t="inlineStr">
        <is>
          <t>admin-down</t>
        </is>
      </c>
    </row>
    <row r="162">
      <c r="A162" t="inlineStr">
        <is>
          <t>MH-DC-001-AGG-R01</t>
        </is>
      </c>
      <c r="B162" t="inlineStr">
        <is>
          <t>xe-0/0/0</t>
        </is>
      </c>
      <c r="C162" t="inlineStr">
        <is>
          <t>10G SFP+</t>
        </is>
      </c>
      <c r="D162" t="n">
        <v>10000</v>
      </c>
      <c r="E162" t="inlineStr">
        <is>
          <t>up</t>
        </is>
      </c>
      <c r="F162" t="inlineStr">
        <is>
          <t>Uplink to MH-DC-001-FW-01</t>
        </is>
      </c>
      <c r="G162" t="inlineStr">
        <is>
          <t>SFP-10G-LR</t>
        </is>
      </c>
    </row>
    <row r="163">
      <c r="A163" t="inlineStr">
        <is>
          <t>MH-DC-001-AGG-R01</t>
        </is>
      </c>
      <c r="B163" t="inlineStr">
        <is>
          <t>xe-0/0/1</t>
        </is>
      </c>
      <c r="C163" t="inlineStr">
        <is>
          <t>10G SFP+</t>
        </is>
      </c>
      <c r="D163" t="n">
        <v>10000</v>
      </c>
      <c r="E163" t="inlineStr">
        <is>
          <t>up</t>
        </is>
      </c>
      <c r="F163" t="inlineStr">
        <is>
          <t>Uplink to MH-DC-001-MMR-SW-01</t>
        </is>
      </c>
      <c r="G163" t="inlineStr">
        <is>
          <t>SFP-10G-LR</t>
        </is>
      </c>
    </row>
    <row r="164">
      <c r="A164" t="inlineStr">
        <is>
          <t>MH-DC-001-AGG-R01</t>
        </is>
      </c>
      <c r="B164" t="inlineStr">
        <is>
          <t>xe-0/0/2</t>
        </is>
      </c>
      <c r="C164" t="inlineStr">
        <is>
          <t>10G SFP+</t>
        </is>
      </c>
      <c r="D164" t="n">
        <v>10000</v>
      </c>
      <c r="E164" t="inlineStr">
        <is>
          <t>up</t>
        </is>
      </c>
      <c r="F164" t="inlineStr">
        <is>
          <t>Uplink to MH-DC-001-MMR-SW-01</t>
        </is>
      </c>
      <c r="G164" t="inlineStr">
        <is>
          <t>SFP-10G-LR</t>
        </is>
      </c>
    </row>
    <row r="165">
      <c r="A165" t="inlineStr">
        <is>
          <t>MH-DC-001-AGG-R01</t>
        </is>
      </c>
      <c r="B165" t="inlineStr">
        <is>
          <t>xe-0/0/3</t>
        </is>
      </c>
      <c r="C165" t="inlineStr">
        <is>
          <t>10G SFP+</t>
        </is>
      </c>
      <c r="D165" t="n">
        <v>10000</v>
      </c>
      <c r="E165" t="inlineStr">
        <is>
          <t>up</t>
        </is>
      </c>
      <c r="F165" t="inlineStr">
        <is>
          <t>Uplink to MH-DC-001-MMR-SW-04</t>
        </is>
      </c>
      <c r="G165" t="inlineStr">
        <is>
          <t>SFP-10G-LR</t>
        </is>
      </c>
    </row>
    <row r="166">
      <c r="A166" t="inlineStr">
        <is>
          <t>MH-DC-001-AGG-R01</t>
        </is>
      </c>
      <c r="B166" t="inlineStr">
        <is>
          <t>xe-0/0/4</t>
        </is>
      </c>
      <c r="C166" t="inlineStr">
        <is>
          <t>10G SFP+</t>
        </is>
      </c>
      <c r="D166" t="n">
        <v>10000</v>
      </c>
      <c r="E166" t="inlineStr">
        <is>
          <t>up</t>
        </is>
      </c>
      <c r="F166" t="inlineStr">
        <is>
          <t>Uplink to MH-DC-001-MMR-SW-04</t>
        </is>
      </c>
      <c r="G166" t="inlineStr">
        <is>
          <t>SFP-10G-LR</t>
        </is>
      </c>
    </row>
    <row r="167">
      <c r="A167" t="inlineStr">
        <is>
          <t>MH-DC-001-AGG-R01</t>
        </is>
      </c>
      <c r="B167" t="inlineStr">
        <is>
          <t>xe-0/0/5</t>
        </is>
      </c>
      <c r="C167" t="inlineStr">
        <is>
          <t>10G SFP+</t>
        </is>
      </c>
      <c r="D167" t="n">
        <v>10000</v>
      </c>
      <c r="E167" t="inlineStr">
        <is>
          <t>up</t>
        </is>
      </c>
      <c r="F167" t="inlineStr">
        <is>
          <t>Uplink to MH-DC-001-MMR-SW-07</t>
        </is>
      </c>
      <c r="G167" t="inlineStr">
        <is>
          <t>SFP-10G-LR</t>
        </is>
      </c>
    </row>
    <row r="168">
      <c r="A168" t="inlineStr">
        <is>
          <t>MH-DC-001-AGG-R01</t>
        </is>
      </c>
      <c r="B168" t="inlineStr">
        <is>
          <t>xe-0/0/6</t>
        </is>
      </c>
      <c r="C168" t="inlineStr">
        <is>
          <t>10G SFP+</t>
        </is>
      </c>
      <c r="D168" t="n">
        <v>10000</v>
      </c>
      <c r="E168" t="inlineStr">
        <is>
          <t>up</t>
        </is>
      </c>
      <c r="F168" t="inlineStr">
        <is>
          <t>Uplink to MH-DC-001-MMR-SW-07</t>
        </is>
      </c>
      <c r="G168" t="inlineStr">
        <is>
          <t>SFP-10G-LR</t>
        </is>
      </c>
    </row>
    <row r="169">
      <c r="A169" t="inlineStr">
        <is>
          <t>MH-DC-001-AGG-R01</t>
        </is>
      </c>
      <c r="B169" t="inlineStr">
        <is>
          <t>xe-0/0/7</t>
        </is>
      </c>
      <c r="C169" t="inlineStr">
        <is>
          <t>10G SFP+</t>
        </is>
      </c>
      <c r="D169" t="n">
        <v>10000</v>
      </c>
      <c r="E169" t="inlineStr">
        <is>
          <t>admin-down</t>
        </is>
      </c>
    </row>
    <row r="170">
      <c r="A170" t="inlineStr">
        <is>
          <t>MH-DC-001-AGG-R01</t>
        </is>
      </c>
      <c r="B170" t="inlineStr">
        <is>
          <t>xe-0/0/8</t>
        </is>
      </c>
      <c r="C170" t="inlineStr">
        <is>
          <t>10G SFP+</t>
        </is>
      </c>
      <c r="D170" t="n">
        <v>10000</v>
      </c>
      <c r="E170" t="inlineStr">
        <is>
          <t>admin-down</t>
        </is>
      </c>
    </row>
    <row r="171">
      <c r="A171" t="inlineStr">
        <is>
          <t>MH-DC-001-AGG-R01</t>
        </is>
      </c>
      <c r="B171" t="inlineStr">
        <is>
          <t>xe-0/0/9</t>
        </is>
      </c>
      <c r="C171" t="inlineStr">
        <is>
          <t>10G SFP+</t>
        </is>
      </c>
      <c r="D171" t="n">
        <v>10000</v>
      </c>
      <c r="E171" t="inlineStr">
        <is>
          <t>admin-down</t>
        </is>
      </c>
    </row>
    <row r="172">
      <c r="A172" t="inlineStr">
        <is>
          <t>MH-DC-001-AGG-R01</t>
        </is>
      </c>
      <c r="B172" t="inlineStr">
        <is>
          <t>xe-0/0/10</t>
        </is>
      </c>
      <c r="C172" t="inlineStr">
        <is>
          <t>10G SFP+</t>
        </is>
      </c>
      <c r="D172" t="n">
        <v>10000</v>
      </c>
      <c r="E172" t="inlineStr">
        <is>
          <t>admin-down</t>
        </is>
      </c>
    </row>
    <row r="173">
      <c r="A173" t="inlineStr">
        <is>
          <t>MH-DC-001-AGG-R01</t>
        </is>
      </c>
      <c r="B173" t="inlineStr">
        <is>
          <t>xe-0/0/11</t>
        </is>
      </c>
      <c r="C173" t="inlineStr">
        <is>
          <t>10G SFP+</t>
        </is>
      </c>
      <c r="D173" t="n">
        <v>10000</v>
      </c>
      <c r="E173" t="inlineStr">
        <is>
          <t>admin-down</t>
        </is>
      </c>
    </row>
    <row r="174">
      <c r="A174" t="inlineStr">
        <is>
          <t>MH-DC-001-AGG-R01</t>
        </is>
      </c>
      <c r="B174" t="inlineStr">
        <is>
          <t>xe-0/0/12</t>
        </is>
      </c>
      <c r="C174" t="inlineStr">
        <is>
          <t>10G SFP+</t>
        </is>
      </c>
      <c r="D174" t="n">
        <v>10000</v>
      </c>
      <c r="E174" t="inlineStr">
        <is>
          <t>admin-down</t>
        </is>
      </c>
    </row>
    <row r="175">
      <c r="A175" t="inlineStr">
        <is>
          <t>MH-DC-001-AGG-R01</t>
        </is>
      </c>
      <c r="B175" t="inlineStr">
        <is>
          <t>xe-0/0/13</t>
        </is>
      </c>
      <c r="C175" t="inlineStr">
        <is>
          <t>10G SFP+</t>
        </is>
      </c>
      <c r="D175" t="n">
        <v>10000</v>
      </c>
      <c r="E175" t="inlineStr">
        <is>
          <t>admin-down</t>
        </is>
      </c>
    </row>
    <row r="176">
      <c r="A176" t="inlineStr">
        <is>
          <t>MH-DC-001-AGG-R01</t>
        </is>
      </c>
      <c r="B176" t="inlineStr">
        <is>
          <t>xe-0/0/14</t>
        </is>
      </c>
      <c r="C176" t="inlineStr">
        <is>
          <t>10G SFP+</t>
        </is>
      </c>
      <c r="D176" t="n">
        <v>10000</v>
      </c>
      <c r="E176" t="inlineStr">
        <is>
          <t>admin-down</t>
        </is>
      </c>
    </row>
    <row r="177">
      <c r="A177" t="inlineStr">
        <is>
          <t>MH-DC-001-AGG-R01</t>
        </is>
      </c>
      <c r="B177" t="inlineStr">
        <is>
          <t>xe-0/0/15</t>
        </is>
      </c>
      <c r="C177" t="inlineStr">
        <is>
          <t>10G SFP+</t>
        </is>
      </c>
      <c r="D177" t="n">
        <v>10000</v>
      </c>
      <c r="E177" t="inlineStr">
        <is>
          <t>admin-down</t>
        </is>
      </c>
    </row>
    <row r="178">
      <c r="A178" t="inlineStr">
        <is>
          <t>MH-DC-001-AGG-R01</t>
        </is>
      </c>
      <c r="B178" t="inlineStr">
        <is>
          <t>et-0/1/0</t>
        </is>
      </c>
      <c r="C178" t="inlineStr">
        <is>
          <t>100G QSFP28</t>
        </is>
      </c>
      <c r="D178" t="n">
        <v>100000</v>
      </c>
      <c r="E178" t="inlineStr">
        <is>
          <t>up</t>
        </is>
      </c>
      <c r="F178" t="inlineStr">
        <is>
          <t>Uplink to MH-DC-001-PE-T4-01</t>
        </is>
      </c>
      <c r="G178" t="inlineStr">
        <is>
          <t>QSFP28-100G-LR4</t>
        </is>
      </c>
    </row>
    <row r="179">
      <c r="A179" t="inlineStr">
        <is>
          <t>MH-DC-001-AGG-R01</t>
        </is>
      </c>
      <c r="B179" t="inlineStr">
        <is>
          <t>et-0/1/1</t>
        </is>
      </c>
      <c r="C179" t="inlineStr">
        <is>
          <t>100G QSFP28</t>
        </is>
      </c>
      <c r="D179" t="n">
        <v>100000</v>
      </c>
      <c r="E179" t="inlineStr">
        <is>
          <t>up</t>
        </is>
      </c>
      <c r="F179" t="inlineStr">
        <is>
          <t>Uplink to MH-DC-001-PE-T4-02</t>
        </is>
      </c>
      <c r="G179" t="inlineStr">
        <is>
          <t>QSFP28-100G-LR4</t>
        </is>
      </c>
    </row>
    <row r="180">
      <c r="A180" t="inlineStr">
        <is>
          <t>MH-DC-001-AGG-R01</t>
        </is>
      </c>
      <c r="B180" t="inlineStr">
        <is>
          <t>et-0/1/2</t>
        </is>
      </c>
      <c r="C180" t="inlineStr">
        <is>
          <t>100G QSFP28</t>
        </is>
      </c>
      <c r="D180" t="n">
        <v>100000</v>
      </c>
      <c r="E180" t="inlineStr">
        <is>
          <t>up</t>
        </is>
      </c>
      <c r="F180" t="inlineStr">
        <is>
          <t>Uplink to MH-DC-001-OLA-01</t>
        </is>
      </c>
      <c r="G180" t="inlineStr">
        <is>
          <t>QSFP28-100G-LR4</t>
        </is>
      </c>
    </row>
    <row r="181">
      <c r="A181" t="inlineStr">
        <is>
          <t>MH-DC-001-AGG-R01</t>
        </is>
      </c>
      <c r="B181" t="inlineStr">
        <is>
          <t>et-0/1/3</t>
        </is>
      </c>
      <c r="C181" t="inlineStr">
        <is>
          <t>100G QSFP28</t>
        </is>
      </c>
      <c r="D181" t="n">
        <v>100000</v>
      </c>
      <c r="E181" t="inlineStr">
        <is>
          <t>admin-down</t>
        </is>
      </c>
    </row>
    <row r="182">
      <c r="A182" t="inlineStr">
        <is>
          <t>MH-DC-001-AGG-R01</t>
        </is>
      </c>
      <c r="B182" t="inlineStr">
        <is>
          <t>et-0/1/4</t>
        </is>
      </c>
      <c r="C182" t="inlineStr">
        <is>
          <t>100G QSFP28</t>
        </is>
      </c>
      <c r="D182" t="n">
        <v>100000</v>
      </c>
      <c r="E182" t="inlineStr">
        <is>
          <t>admin-down</t>
        </is>
      </c>
    </row>
    <row r="183">
      <c r="A183" t="inlineStr">
        <is>
          <t>MH-DC-001-AGG-R01</t>
        </is>
      </c>
      <c r="B183" t="inlineStr">
        <is>
          <t>et-0/1/5</t>
        </is>
      </c>
      <c r="C183" t="inlineStr">
        <is>
          <t>100G QSFP28</t>
        </is>
      </c>
      <c r="D183" t="n">
        <v>100000</v>
      </c>
      <c r="E183" t="inlineStr">
        <is>
          <t>admin-down</t>
        </is>
      </c>
    </row>
    <row r="184">
      <c r="A184" t="inlineStr">
        <is>
          <t>MH-DC-001-AGG-R01</t>
        </is>
      </c>
      <c r="B184" t="inlineStr">
        <is>
          <t>et-0/1/6</t>
        </is>
      </c>
      <c r="C184" t="inlineStr">
        <is>
          <t>100G QSFP28</t>
        </is>
      </c>
      <c r="D184" t="n">
        <v>100000</v>
      </c>
      <c r="E184" t="inlineStr">
        <is>
          <t>admin-down</t>
        </is>
      </c>
    </row>
    <row r="185">
      <c r="A185" t="inlineStr">
        <is>
          <t>MH-DC-001-AGG-R01</t>
        </is>
      </c>
      <c r="B185" t="inlineStr">
        <is>
          <t>et-0/1/7</t>
        </is>
      </c>
      <c r="C185" t="inlineStr">
        <is>
          <t>100G QSFP28</t>
        </is>
      </c>
      <c r="D185" t="n">
        <v>100000</v>
      </c>
      <c r="E185" t="inlineStr">
        <is>
          <t>admin-down</t>
        </is>
      </c>
    </row>
    <row r="186">
      <c r="A186" t="inlineStr">
        <is>
          <t>MH-DC-001-AGG-R02</t>
        </is>
      </c>
      <c r="B186" t="inlineStr">
        <is>
          <t>xe-0/0/0</t>
        </is>
      </c>
      <c r="C186" t="inlineStr">
        <is>
          <t>10G SFP+</t>
        </is>
      </c>
      <c r="D186" t="n">
        <v>10000</v>
      </c>
      <c r="E186" t="inlineStr">
        <is>
          <t>up</t>
        </is>
      </c>
      <c r="F186" t="inlineStr">
        <is>
          <t>Uplink to MH-DC-001-FW-01</t>
        </is>
      </c>
      <c r="G186" t="inlineStr">
        <is>
          <t>SFP-10G-LR</t>
        </is>
      </c>
    </row>
    <row r="187">
      <c r="A187" t="inlineStr">
        <is>
          <t>MH-DC-001-AGG-R02</t>
        </is>
      </c>
      <c r="B187" t="inlineStr">
        <is>
          <t>xe-0/0/1</t>
        </is>
      </c>
      <c r="C187" t="inlineStr">
        <is>
          <t>10G SFP+</t>
        </is>
      </c>
      <c r="D187" t="n">
        <v>10000</v>
      </c>
      <c r="E187" t="inlineStr">
        <is>
          <t>up</t>
        </is>
      </c>
      <c r="F187" t="inlineStr">
        <is>
          <t>Uplink to MH-DC-001-FW-02</t>
        </is>
      </c>
      <c r="G187" t="inlineStr">
        <is>
          <t>SFP-10G-LR</t>
        </is>
      </c>
    </row>
    <row r="188">
      <c r="A188" t="inlineStr">
        <is>
          <t>MH-DC-001-AGG-R02</t>
        </is>
      </c>
      <c r="B188" t="inlineStr">
        <is>
          <t>xe-0/0/2</t>
        </is>
      </c>
      <c r="C188" t="inlineStr">
        <is>
          <t>10G SFP+</t>
        </is>
      </c>
      <c r="D188" t="n">
        <v>10000</v>
      </c>
      <c r="E188" t="inlineStr">
        <is>
          <t>up</t>
        </is>
      </c>
      <c r="F188" t="inlineStr">
        <is>
          <t>Uplink to MH-DC-001-MMR-SW-02</t>
        </is>
      </c>
      <c r="G188" t="inlineStr">
        <is>
          <t>SFP-10G-LR</t>
        </is>
      </c>
    </row>
    <row r="189">
      <c r="A189" t="inlineStr">
        <is>
          <t>MH-DC-001-AGG-R02</t>
        </is>
      </c>
      <c r="B189" t="inlineStr">
        <is>
          <t>xe-0/0/3</t>
        </is>
      </c>
      <c r="C189" t="inlineStr">
        <is>
          <t>10G SFP+</t>
        </is>
      </c>
      <c r="D189" t="n">
        <v>10000</v>
      </c>
      <c r="E189" t="inlineStr">
        <is>
          <t>up</t>
        </is>
      </c>
      <c r="F189" t="inlineStr">
        <is>
          <t>Uplink to MH-DC-001-MMR-SW-02</t>
        </is>
      </c>
      <c r="G189" t="inlineStr">
        <is>
          <t>SFP-10G-LR</t>
        </is>
      </c>
    </row>
    <row r="190">
      <c r="A190" t="inlineStr">
        <is>
          <t>MH-DC-001-AGG-R02</t>
        </is>
      </c>
      <c r="B190" t="inlineStr">
        <is>
          <t>xe-0/0/4</t>
        </is>
      </c>
      <c r="C190" t="inlineStr">
        <is>
          <t>10G SFP+</t>
        </is>
      </c>
      <c r="D190" t="n">
        <v>10000</v>
      </c>
      <c r="E190" t="inlineStr">
        <is>
          <t>up</t>
        </is>
      </c>
      <c r="F190" t="inlineStr">
        <is>
          <t>Uplink to MH-DC-001-MMR-SW-05</t>
        </is>
      </c>
      <c r="G190" t="inlineStr">
        <is>
          <t>SFP-10G-LR</t>
        </is>
      </c>
    </row>
    <row r="191">
      <c r="A191" t="inlineStr">
        <is>
          <t>MH-DC-001-AGG-R02</t>
        </is>
      </c>
      <c r="B191" t="inlineStr">
        <is>
          <t>xe-0/0/5</t>
        </is>
      </c>
      <c r="C191" t="inlineStr">
        <is>
          <t>10G SFP+</t>
        </is>
      </c>
      <c r="D191" t="n">
        <v>10000</v>
      </c>
      <c r="E191" t="inlineStr">
        <is>
          <t>up</t>
        </is>
      </c>
      <c r="F191" t="inlineStr">
        <is>
          <t>Uplink to MH-DC-001-MMR-SW-05</t>
        </is>
      </c>
      <c r="G191" t="inlineStr">
        <is>
          <t>SFP-10G-LR</t>
        </is>
      </c>
    </row>
    <row r="192">
      <c r="A192" t="inlineStr">
        <is>
          <t>MH-DC-001-AGG-R02</t>
        </is>
      </c>
      <c r="B192" t="inlineStr">
        <is>
          <t>xe-0/0/6</t>
        </is>
      </c>
      <c r="C192" t="inlineStr">
        <is>
          <t>10G SFP+</t>
        </is>
      </c>
      <c r="D192" t="n">
        <v>10000</v>
      </c>
      <c r="E192" t="inlineStr">
        <is>
          <t>up</t>
        </is>
      </c>
      <c r="F192" t="inlineStr">
        <is>
          <t>Uplink to MH-DC-001-MMR-SW-08</t>
        </is>
      </c>
      <c r="G192" t="inlineStr">
        <is>
          <t>SFP-10G-LR</t>
        </is>
      </c>
    </row>
    <row r="193">
      <c r="A193" t="inlineStr">
        <is>
          <t>MH-DC-001-AGG-R02</t>
        </is>
      </c>
      <c r="B193" t="inlineStr">
        <is>
          <t>xe-0/0/7</t>
        </is>
      </c>
      <c r="C193" t="inlineStr">
        <is>
          <t>10G SFP+</t>
        </is>
      </c>
      <c r="D193" t="n">
        <v>10000</v>
      </c>
      <c r="E193" t="inlineStr">
        <is>
          <t>up</t>
        </is>
      </c>
      <c r="F193" t="inlineStr">
        <is>
          <t>Uplink to MH-DC-001-MMR-SW-08</t>
        </is>
      </c>
      <c r="G193" t="inlineStr">
        <is>
          <t>SFP-10G-LR</t>
        </is>
      </c>
    </row>
    <row r="194">
      <c r="A194" t="inlineStr">
        <is>
          <t>MH-DC-001-AGG-R02</t>
        </is>
      </c>
      <c r="B194" t="inlineStr">
        <is>
          <t>xe-0/0/8</t>
        </is>
      </c>
      <c r="C194" t="inlineStr">
        <is>
          <t>10G SFP+</t>
        </is>
      </c>
      <c r="D194" t="n">
        <v>10000</v>
      </c>
      <c r="E194" t="inlineStr">
        <is>
          <t>admin-down</t>
        </is>
      </c>
    </row>
    <row r="195">
      <c r="A195" t="inlineStr">
        <is>
          <t>MH-DC-001-AGG-R02</t>
        </is>
      </c>
      <c r="B195" t="inlineStr">
        <is>
          <t>xe-0/0/9</t>
        </is>
      </c>
      <c r="C195" t="inlineStr">
        <is>
          <t>10G SFP+</t>
        </is>
      </c>
      <c r="D195" t="n">
        <v>10000</v>
      </c>
      <c r="E195" t="inlineStr">
        <is>
          <t>admin-down</t>
        </is>
      </c>
    </row>
    <row r="196">
      <c r="A196" t="inlineStr">
        <is>
          <t>MH-DC-001-AGG-R02</t>
        </is>
      </c>
      <c r="B196" t="inlineStr">
        <is>
          <t>xe-0/0/10</t>
        </is>
      </c>
      <c r="C196" t="inlineStr">
        <is>
          <t>10G SFP+</t>
        </is>
      </c>
      <c r="D196" t="n">
        <v>10000</v>
      </c>
      <c r="E196" t="inlineStr">
        <is>
          <t>admin-down</t>
        </is>
      </c>
    </row>
    <row r="197">
      <c r="A197" t="inlineStr">
        <is>
          <t>MH-DC-001-AGG-R02</t>
        </is>
      </c>
      <c r="B197" t="inlineStr">
        <is>
          <t>xe-0/0/11</t>
        </is>
      </c>
      <c r="C197" t="inlineStr">
        <is>
          <t>10G SFP+</t>
        </is>
      </c>
      <c r="D197" t="n">
        <v>10000</v>
      </c>
      <c r="E197" t="inlineStr">
        <is>
          <t>admin-down</t>
        </is>
      </c>
    </row>
    <row r="198">
      <c r="A198" t="inlineStr">
        <is>
          <t>MH-DC-001-AGG-R02</t>
        </is>
      </c>
      <c r="B198" t="inlineStr">
        <is>
          <t>xe-0/0/12</t>
        </is>
      </c>
      <c r="C198" t="inlineStr">
        <is>
          <t>10G SFP+</t>
        </is>
      </c>
      <c r="D198" t="n">
        <v>10000</v>
      </c>
      <c r="E198" t="inlineStr">
        <is>
          <t>admin-down</t>
        </is>
      </c>
    </row>
    <row r="199">
      <c r="A199" t="inlineStr">
        <is>
          <t>MH-DC-001-AGG-R02</t>
        </is>
      </c>
      <c r="B199" t="inlineStr">
        <is>
          <t>xe-0/0/13</t>
        </is>
      </c>
      <c r="C199" t="inlineStr">
        <is>
          <t>10G SFP+</t>
        </is>
      </c>
      <c r="D199" t="n">
        <v>10000</v>
      </c>
      <c r="E199" t="inlineStr">
        <is>
          <t>reserved</t>
        </is>
      </c>
    </row>
    <row r="200">
      <c r="A200" t="inlineStr">
        <is>
          <t>MH-DC-001-AGG-R02</t>
        </is>
      </c>
      <c r="B200" t="inlineStr">
        <is>
          <t>xe-0/0/14</t>
        </is>
      </c>
      <c r="C200" t="inlineStr">
        <is>
          <t>10G SFP+</t>
        </is>
      </c>
      <c r="D200" t="n">
        <v>10000</v>
      </c>
      <c r="E200" t="inlineStr">
        <is>
          <t>reserved</t>
        </is>
      </c>
    </row>
    <row r="201">
      <c r="A201" t="inlineStr">
        <is>
          <t>MH-DC-001-AGG-R02</t>
        </is>
      </c>
      <c r="B201" t="inlineStr">
        <is>
          <t>xe-0/0/15</t>
        </is>
      </c>
      <c r="C201" t="inlineStr">
        <is>
          <t>10G SFP+</t>
        </is>
      </c>
      <c r="D201" t="n">
        <v>10000</v>
      </c>
      <c r="E201" t="inlineStr">
        <is>
          <t>admin-down</t>
        </is>
      </c>
    </row>
    <row r="202">
      <c r="A202" t="inlineStr">
        <is>
          <t>MH-DC-001-AGG-R02</t>
        </is>
      </c>
      <c r="B202" t="inlineStr">
        <is>
          <t>et-0/1/0</t>
        </is>
      </c>
      <c r="C202" t="inlineStr">
        <is>
          <t>100G QSFP28</t>
        </is>
      </c>
      <c r="D202" t="n">
        <v>100000</v>
      </c>
      <c r="E202" t="inlineStr">
        <is>
          <t>up</t>
        </is>
      </c>
      <c r="F202" t="inlineStr">
        <is>
          <t>Uplink to MH-DC-001-PE-T4-02</t>
        </is>
      </c>
      <c r="G202" t="inlineStr">
        <is>
          <t>QSFP28-100G-LR4</t>
        </is>
      </c>
    </row>
    <row r="203">
      <c r="A203" t="inlineStr">
        <is>
          <t>MH-DC-001-AGG-R02</t>
        </is>
      </c>
      <c r="B203" t="inlineStr">
        <is>
          <t>et-0/1/1</t>
        </is>
      </c>
      <c r="C203" t="inlineStr">
        <is>
          <t>100G QSFP28</t>
        </is>
      </c>
      <c r="D203" t="n">
        <v>100000</v>
      </c>
      <c r="E203" t="inlineStr">
        <is>
          <t>up</t>
        </is>
      </c>
      <c r="F203" t="inlineStr">
        <is>
          <t>Uplink to MH-DC-001-PE-T4-03</t>
        </is>
      </c>
      <c r="G203" t="inlineStr">
        <is>
          <t>QSFP28-100G-LR4</t>
        </is>
      </c>
    </row>
    <row r="204">
      <c r="A204" t="inlineStr">
        <is>
          <t>MH-DC-001-AGG-R02</t>
        </is>
      </c>
      <c r="B204" t="inlineStr">
        <is>
          <t>et-0/1/2</t>
        </is>
      </c>
      <c r="C204" t="inlineStr">
        <is>
          <t>100G QSFP28</t>
        </is>
      </c>
      <c r="D204" t="n">
        <v>100000</v>
      </c>
      <c r="E204" t="inlineStr">
        <is>
          <t>up</t>
        </is>
      </c>
      <c r="F204" t="inlineStr">
        <is>
          <t>Uplink to MH-DC-001-OLA-02</t>
        </is>
      </c>
      <c r="G204" t="inlineStr">
        <is>
          <t>QSFP28-100G-LR4</t>
        </is>
      </c>
    </row>
    <row r="205">
      <c r="A205" t="inlineStr">
        <is>
          <t>MH-DC-001-AGG-R02</t>
        </is>
      </c>
      <c r="B205" t="inlineStr">
        <is>
          <t>et-0/1/3</t>
        </is>
      </c>
      <c r="C205" t="inlineStr">
        <is>
          <t>100G QSFP28</t>
        </is>
      </c>
      <c r="D205" t="n">
        <v>100000</v>
      </c>
      <c r="E205" t="inlineStr">
        <is>
          <t>admin-down</t>
        </is>
      </c>
    </row>
    <row r="206">
      <c r="A206" t="inlineStr">
        <is>
          <t>MH-DC-001-AGG-R02</t>
        </is>
      </c>
      <c r="B206" t="inlineStr">
        <is>
          <t>et-0/1/4</t>
        </is>
      </c>
      <c r="C206" t="inlineStr">
        <is>
          <t>100G QSFP28</t>
        </is>
      </c>
      <c r="D206" t="n">
        <v>100000</v>
      </c>
      <c r="E206" t="inlineStr">
        <is>
          <t>admin-down</t>
        </is>
      </c>
    </row>
    <row r="207">
      <c r="A207" t="inlineStr">
        <is>
          <t>MH-DC-001-AGG-R02</t>
        </is>
      </c>
      <c r="B207" t="inlineStr">
        <is>
          <t>et-0/1/5</t>
        </is>
      </c>
      <c r="C207" t="inlineStr">
        <is>
          <t>100G QSFP28</t>
        </is>
      </c>
      <c r="D207" t="n">
        <v>100000</v>
      </c>
      <c r="E207" t="inlineStr">
        <is>
          <t>admin-down</t>
        </is>
      </c>
    </row>
    <row r="208">
      <c r="A208" t="inlineStr">
        <is>
          <t>MH-DC-001-AGG-R02</t>
        </is>
      </c>
      <c r="B208" t="inlineStr">
        <is>
          <t>et-0/1/6</t>
        </is>
      </c>
      <c r="C208" t="inlineStr">
        <is>
          <t>100G QSFP28</t>
        </is>
      </c>
      <c r="D208" t="n">
        <v>100000</v>
      </c>
      <c r="E208" t="inlineStr">
        <is>
          <t>admin-down</t>
        </is>
      </c>
    </row>
    <row r="209">
      <c r="A209" t="inlineStr">
        <is>
          <t>MH-DC-001-AGG-R02</t>
        </is>
      </c>
      <c r="B209" t="inlineStr">
        <is>
          <t>et-0/1/7</t>
        </is>
      </c>
      <c r="C209" t="inlineStr">
        <is>
          <t>100G QSFP28</t>
        </is>
      </c>
      <c r="D209" t="n">
        <v>100000</v>
      </c>
      <c r="E209" t="inlineStr">
        <is>
          <t>admin-down</t>
        </is>
      </c>
    </row>
    <row r="210">
      <c r="A210" t="inlineStr">
        <is>
          <t>MH-DC-001-AGG-R03</t>
        </is>
      </c>
      <c r="B210" t="inlineStr">
        <is>
          <t>xe-0/0/0</t>
        </is>
      </c>
      <c r="C210" t="inlineStr">
        <is>
          <t>10G SFP+</t>
        </is>
      </c>
      <c r="D210" t="n">
        <v>10000</v>
      </c>
      <c r="E210" t="inlineStr">
        <is>
          <t>up</t>
        </is>
      </c>
      <c r="F210" t="inlineStr">
        <is>
          <t>Uplink to MH-DC-001-FW-02</t>
        </is>
      </c>
      <c r="G210" t="inlineStr">
        <is>
          <t>SFP-10G-LR</t>
        </is>
      </c>
    </row>
    <row r="211">
      <c r="A211" t="inlineStr">
        <is>
          <t>MH-DC-001-AGG-R03</t>
        </is>
      </c>
      <c r="B211" t="inlineStr">
        <is>
          <t>xe-0/0/1</t>
        </is>
      </c>
      <c r="C211" t="inlineStr">
        <is>
          <t>10G SFP+</t>
        </is>
      </c>
      <c r="D211" t="n">
        <v>10000</v>
      </c>
      <c r="E211" t="inlineStr">
        <is>
          <t>up</t>
        </is>
      </c>
      <c r="F211" t="inlineStr">
        <is>
          <t>Uplink to MH-DC-001-MMR-SW-03</t>
        </is>
      </c>
      <c r="G211" t="inlineStr">
        <is>
          <t>SFP-10G-LR</t>
        </is>
      </c>
    </row>
    <row r="212">
      <c r="A212" t="inlineStr">
        <is>
          <t>MH-DC-001-AGG-R03</t>
        </is>
      </c>
      <c r="B212" t="inlineStr">
        <is>
          <t>xe-0/0/2</t>
        </is>
      </c>
      <c r="C212" t="inlineStr">
        <is>
          <t>10G SFP+</t>
        </is>
      </c>
      <c r="D212" t="n">
        <v>10000</v>
      </c>
      <c r="E212" t="inlineStr">
        <is>
          <t>up</t>
        </is>
      </c>
      <c r="F212" t="inlineStr">
        <is>
          <t>Uplink to MH-DC-001-MMR-SW-03</t>
        </is>
      </c>
      <c r="G212" t="inlineStr">
        <is>
          <t>SFP-10G-LR</t>
        </is>
      </c>
    </row>
    <row r="213">
      <c r="A213" t="inlineStr">
        <is>
          <t>MH-DC-001-AGG-R03</t>
        </is>
      </c>
      <c r="B213" t="inlineStr">
        <is>
          <t>xe-0/0/3</t>
        </is>
      </c>
      <c r="C213" t="inlineStr">
        <is>
          <t>10G SFP+</t>
        </is>
      </c>
      <c r="D213" t="n">
        <v>10000</v>
      </c>
      <c r="E213" t="inlineStr">
        <is>
          <t>up</t>
        </is>
      </c>
      <c r="F213" t="inlineStr">
        <is>
          <t>Uplink to MH-DC-001-MMR-SW-06</t>
        </is>
      </c>
      <c r="G213" t="inlineStr">
        <is>
          <t>SFP-10G-LR</t>
        </is>
      </c>
    </row>
    <row r="214">
      <c r="A214" t="inlineStr">
        <is>
          <t>MH-DC-001-AGG-R03</t>
        </is>
      </c>
      <c r="B214" t="inlineStr">
        <is>
          <t>xe-0/0/4</t>
        </is>
      </c>
      <c r="C214" t="inlineStr">
        <is>
          <t>10G SFP+</t>
        </is>
      </c>
      <c r="D214" t="n">
        <v>10000</v>
      </c>
      <c r="E214" t="inlineStr">
        <is>
          <t>up</t>
        </is>
      </c>
      <c r="F214" t="inlineStr">
        <is>
          <t>Uplink to MH-DC-001-MMR-SW-06</t>
        </is>
      </c>
      <c r="G214" t="inlineStr">
        <is>
          <t>SFP-10G-LR</t>
        </is>
      </c>
    </row>
    <row r="215">
      <c r="A215" t="inlineStr">
        <is>
          <t>MH-DC-001-AGG-R03</t>
        </is>
      </c>
      <c r="B215" t="inlineStr">
        <is>
          <t>xe-0/0/5</t>
        </is>
      </c>
      <c r="C215" t="inlineStr">
        <is>
          <t>10G SFP+</t>
        </is>
      </c>
      <c r="D215" t="n">
        <v>10000</v>
      </c>
      <c r="E215" t="inlineStr">
        <is>
          <t>up</t>
        </is>
      </c>
      <c r="F215" t="inlineStr">
        <is>
          <t>Uplink to MH-DC-001-MMR-SW-09</t>
        </is>
      </c>
      <c r="G215" t="inlineStr">
        <is>
          <t>SFP-10G-LR</t>
        </is>
      </c>
    </row>
    <row r="216">
      <c r="A216" t="inlineStr">
        <is>
          <t>MH-DC-001-AGG-R03</t>
        </is>
      </c>
      <c r="B216" t="inlineStr">
        <is>
          <t>xe-0/0/6</t>
        </is>
      </c>
      <c r="C216" t="inlineStr">
        <is>
          <t>10G SFP+</t>
        </is>
      </c>
      <c r="D216" t="n">
        <v>10000</v>
      </c>
      <c r="E216" t="inlineStr">
        <is>
          <t>up</t>
        </is>
      </c>
      <c r="F216" t="inlineStr">
        <is>
          <t>Uplink to MH-DC-001-MMR-SW-09</t>
        </is>
      </c>
      <c r="G216" t="inlineStr">
        <is>
          <t>SFP-10G-LR</t>
        </is>
      </c>
    </row>
    <row r="217">
      <c r="A217" t="inlineStr">
        <is>
          <t>MH-DC-001-AGG-R03</t>
        </is>
      </c>
      <c r="B217" t="inlineStr">
        <is>
          <t>xe-0/0/7</t>
        </is>
      </c>
      <c r="C217" t="inlineStr">
        <is>
          <t>10G SFP+</t>
        </is>
      </c>
      <c r="D217" t="n">
        <v>10000</v>
      </c>
      <c r="E217" t="inlineStr">
        <is>
          <t>admin-down</t>
        </is>
      </c>
    </row>
    <row r="218">
      <c r="A218" t="inlineStr">
        <is>
          <t>MH-DC-001-AGG-R03</t>
        </is>
      </c>
      <c r="B218" t="inlineStr">
        <is>
          <t>xe-0/0/8</t>
        </is>
      </c>
      <c r="C218" t="inlineStr">
        <is>
          <t>10G SFP+</t>
        </is>
      </c>
      <c r="D218" t="n">
        <v>10000</v>
      </c>
      <c r="E218" t="inlineStr">
        <is>
          <t>admin-down</t>
        </is>
      </c>
    </row>
    <row r="219">
      <c r="A219" t="inlineStr">
        <is>
          <t>MH-DC-001-AGG-R03</t>
        </is>
      </c>
      <c r="B219" t="inlineStr">
        <is>
          <t>xe-0/0/9</t>
        </is>
      </c>
      <c r="C219" t="inlineStr">
        <is>
          <t>10G SFP+</t>
        </is>
      </c>
      <c r="D219" t="n">
        <v>10000</v>
      </c>
      <c r="E219" t="inlineStr">
        <is>
          <t>admin-down</t>
        </is>
      </c>
    </row>
    <row r="220">
      <c r="A220" t="inlineStr">
        <is>
          <t>MH-DC-001-AGG-R03</t>
        </is>
      </c>
      <c r="B220" t="inlineStr">
        <is>
          <t>xe-0/0/10</t>
        </is>
      </c>
      <c r="C220" t="inlineStr">
        <is>
          <t>10G SFP+</t>
        </is>
      </c>
      <c r="D220" t="n">
        <v>10000</v>
      </c>
      <c r="E220" t="inlineStr">
        <is>
          <t>reserved</t>
        </is>
      </c>
    </row>
    <row r="221">
      <c r="A221" t="inlineStr">
        <is>
          <t>MH-DC-001-AGG-R03</t>
        </is>
      </c>
      <c r="B221" t="inlineStr">
        <is>
          <t>xe-0/0/11</t>
        </is>
      </c>
      <c r="C221" t="inlineStr">
        <is>
          <t>10G SFP+</t>
        </is>
      </c>
      <c r="D221" t="n">
        <v>10000</v>
      </c>
      <c r="E221" t="inlineStr">
        <is>
          <t>reserved</t>
        </is>
      </c>
    </row>
    <row r="222">
      <c r="A222" t="inlineStr">
        <is>
          <t>MH-DC-001-AGG-R03</t>
        </is>
      </c>
      <c r="B222" t="inlineStr">
        <is>
          <t>xe-0/0/12</t>
        </is>
      </c>
      <c r="C222" t="inlineStr">
        <is>
          <t>10G SFP+</t>
        </is>
      </c>
      <c r="D222" t="n">
        <v>10000</v>
      </c>
      <c r="E222" t="inlineStr">
        <is>
          <t>admin-down</t>
        </is>
      </c>
    </row>
    <row r="223">
      <c r="A223" t="inlineStr">
        <is>
          <t>MH-DC-001-AGG-R03</t>
        </is>
      </c>
      <c r="B223" t="inlineStr">
        <is>
          <t>xe-0/0/13</t>
        </is>
      </c>
      <c r="C223" t="inlineStr">
        <is>
          <t>10G SFP+</t>
        </is>
      </c>
      <c r="D223" t="n">
        <v>10000</v>
      </c>
      <c r="E223" t="inlineStr">
        <is>
          <t>admin-down</t>
        </is>
      </c>
    </row>
    <row r="224">
      <c r="A224" t="inlineStr">
        <is>
          <t>MH-DC-001-AGG-R03</t>
        </is>
      </c>
      <c r="B224" t="inlineStr">
        <is>
          <t>xe-0/0/14</t>
        </is>
      </c>
      <c r="C224" t="inlineStr">
        <is>
          <t>10G SFP+</t>
        </is>
      </c>
      <c r="D224" t="n">
        <v>10000</v>
      </c>
      <c r="E224" t="inlineStr">
        <is>
          <t>admin-down</t>
        </is>
      </c>
    </row>
    <row r="225">
      <c r="A225" t="inlineStr">
        <is>
          <t>MH-DC-001-AGG-R03</t>
        </is>
      </c>
      <c r="B225" t="inlineStr">
        <is>
          <t>xe-0/0/15</t>
        </is>
      </c>
      <c r="C225" t="inlineStr">
        <is>
          <t>10G SFP+</t>
        </is>
      </c>
      <c r="D225" t="n">
        <v>10000</v>
      </c>
      <c r="E225" t="inlineStr">
        <is>
          <t>admin-down</t>
        </is>
      </c>
    </row>
    <row r="226">
      <c r="A226" t="inlineStr">
        <is>
          <t>MH-DC-001-AGG-R03</t>
        </is>
      </c>
      <c r="B226" t="inlineStr">
        <is>
          <t>et-0/1/0</t>
        </is>
      </c>
      <c r="C226" t="inlineStr">
        <is>
          <t>100G QSFP28</t>
        </is>
      </c>
      <c r="D226" t="n">
        <v>100000</v>
      </c>
      <c r="E226" t="inlineStr">
        <is>
          <t>up</t>
        </is>
      </c>
      <c r="F226" t="inlineStr">
        <is>
          <t>Uplink to MH-DC-001-PE-T4-03</t>
        </is>
      </c>
      <c r="G226" t="inlineStr">
        <is>
          <t>QSFP28-100G-LR4</t>
        </is>
      </c>
    </row>
    <row r="227">
      <c r="A227" t="inlineStr">
        <is>
          <t>MH-DC-001-AGG-R03</t>
        </is>
      </c>
      <c r="B227" t="inlineStr">
        <is>
          <t>et-0/1/1</t>
        </is>
      </c>
      <c r="C227" t="inlineStr">
        <is>
          <t>100G QSFP28</t>
        </is>
      </c>
      <c r="D227" t="n">
        <v>100000</v>
      </c>
      <c r="E227" t="inlineStr">
        <is>
          <t>up</t>
        </is>
      </c>
      <c r="F227" t="inlineStr">
        <is>
          <t>Uplink to MH-DC-001-PE-T4-04</t>
        </is>
      </c>
      <c r="G227" t="inlineStr">
        <is>
          <t>QSFP28-100G-LR4</t>
        </is>
      </c>
    </row>
    <row r="228">
      <c r="A228" t="inlineStr">
        <is>
          <t>MH-DC-001-AGG-R03</t>
        </is>
      </c>
      <c r="B228" t="inlineStr">
        <is>
          <t>et-0/1/2</t>
        </is>
      </c>
      <c r="C228" t="inlineStr">
        <is>
          <t>100G QSFP28</t>
        </is>
      </c>
      <c r="D228" t="n">
        <v>100000</v>
      </c>
      <c r="E228" t="inlineStr">
        <is>
          <t>admin-down</t>
        </is>
      </c>
    </row>
    <row r="229">
      <c r="A229" t="inlineStr">
        <is>
          <t>MH-DC-001-AGG-R03</t>
        </is>
      </c>
      <c r="B229" t="inlineStr">
        <is>
          <t>et-0/1/3</t>
        </is>
      </c>
      <c r="C229" t="inlineStr">
        <is>
          <t>100G QSFP28</t>
        </is>
      </c>
      <c r="D229" t="n">
        <v>100000</v>
      </c>
      <c r="E229" t="inlineStr">
        <is>
          <t>admin-down</t>
        </is>
      </c>
    </row>
    <row r="230">
      <c r="A230" t="inlineStr">
        <is>
          <t>MH-DC-001-AGG-R03</t>
        </is>
      </c>
      <c r="B230" t="inlineStr">
        <is>
          <t>et-0/1/4</t>
        </is>
      </c>
      <c r="C230" t="inlineStr">
        <is>
          <t>100G QSFP28</t>
        </is>
      </c>
      <c r="D230" t="n">
        <v>100000</v>
      </c>
      <c r="E230" t="inlineStr">
        <is>
          <t>admin-down</t>
        </is>
      </c>
    </row>
    <row r="231">
      <c r="A231" t="inlineStr">
        <is>
          <t>MH-DC-001-AGG-R03</t>
        </is>
      </c>
      <c r="B231" t="inlineStr">
        <is>
          <t>et-0/1/5</t>
        </is>
      </c>
      <c r="C231" t="inlineStr">
        <is>
          <t>100G QSFP28</t>
        </is>
      </c>
      <c r="D231" t="n">
        <v>100000</v>
      </c>
      <c r="E231" t="inlineStr">
        <is>
          <t>admin-down</t>
        </is>
      </c>
    </row>
    <row r="232">
      <c r="A232" t="inlineStr">
        <is>
          <t>MH-DC-001-AGG-R03</t>
        </is>
      </c>
      <c r="B232" t="inlineStr">
        <is>
          <t>et-0/1/6</t>
        </is>
      </c>
      <c r="C232" t="inlineStr">
        <is>
          <t>100G QSFP28</t>
        </is>
      </c>
      <c r="D232" t="n">
        <v>100000</v>
      </c>
      <c r="E232" t="inlineStr">
        <is>
          <t>admin-down</t>
        </is>
      </c>
    </row>
    <row r="233">
      <c r="A233" t="inlineStr">
        <is>
          <t>MH-DC-001-AGG-R03</t>
        </is>
      </c>
      <c r="B233" t="inlineStr">
        <is>
          <t>et-0/1/7</t>
        </is>
      </c>
      <c r="C233" t="inlineStr">
        <is>
          <t>100G QSFP28</t>
        </is>
      </c>
      <c r="D233" t="n">
        <v>100000</v>
      </c>
      <c r="E233" t="inlineStr">
        <is>
          <t>admin-down</t>
        </is>
      </c>
    </row>
    <row r="234">
      <c r="A234" t="inlineStr">
        <is>
          <t>MH-DC-001-MMR-SW-01</t>
        </is>
      </c>
      <c r="B234" t="inlineStr">
        <is>
          <t>xe-0/0/0</t>
        </is>
      </c>
      <c r="C234" t="inlineStr">
        <is>
          <t>10G SFP+</t>
        </is>
      </c>
      <c r="D234" t="n">
        <v>10000</v>
      </c>
      <c r="E234" t="inlineStr">
        <is>
          <t>up</t>
        </is>
      </c>
      <c r="F234" t="inlineStr">
        <is>
          <t>Access to MH-DC-001-TOR-001</t>
        </is>
      </c>
      <c r="G234" t="inlineStr">
        <is>
          <t>SFP-10G-LR</t>
        </is>
      </c>
    </row>
    <row r="235">
      <c r="A235" t="inlineStr">
        <is>
          <t>MH-DC-001-MMR-SW-01</t>
        </is>
      </c>
      <c r="B235" t="inlineStr">
        <is>
          <t>xe-0/0/1</t>
        </is>
      </c>
      <c r="C235" t="inlineStr">
        <is>
          <t>10G SFP+</t>
        </is>
      </c>
      <c r="D235" t="n">
        <v>10000</v>
      </c>
      <c r="E235" t="inlineStr">
        <is>
          <t>up</t>
        </is>
      </c>
      <c r="F235" t="inlineStr">
        <is>
          <t>Server NIC</t>
        </is>
      </c>
    </row>
    <row r="236">
      <c r="A236" t="inlineStr">
        <is>
          <t>MH-DC-001-MMR-SW-01</t>
        </is>
      </c>
      <c r="B236" t="inlineStr">
        <is>
          <t>xe-0/0/2</t>
        </is>
      </c>
      <c r="C236" t="inlineStr">
        <is>
          <t>10G SFP+</t>
        </is>
      </c>
      <c r="D236" t="n">
        <v>10000</v>
      </c>
      <c r="E236" t="inlineStr">
        <is>
          <t>up</t>
        </is>
      </c>
      <c r="F236" t="inlineStr">
        <is>
          <t>Server NIC</t>
        </is>
      </c>
    </row>
    <row r="237">
      <c r="A237" t="inlineStr">
        <is>
          <t>MH-DC-001-MMR-SW-01</t>
        </is>
      </c>
      <c r="B237" t="inlineStr">
        <is>
          <t>xe-0/0/3</t>
        </is>
      </c>
      <c r="C237" t="inlineStr">
        <is>
          <t>10G SFP+</t>
        </is>
      </c>
      <c r="D237" t="n">
        <v>10000</v>
      </c>
      <c r="E237" t="inlineStr">
        <is>
          <t>admin-down</t>
        </is>
      </c>
    </row>
    <row r="238">
      <c r="A238" t="inlineStr">
        <is>
          <t>MH-DC-001-MMR-SW-01</t>
        </is>
      </c>
      <c r="B238" t="inlineStr">
        <is>
          <t>xe-0/0/4</t>
        </is>
      </c>
      <c r="C238" t="inlineStr">
        <is>
          <t>10G SFP+</t>
        </is>
      </c>
      <c r="D238" t="n">
        <v>10000</v>
      </c>
      <c r="E238" t="inlineStr">
        <is>
          <t>up</t>
        </is>
      </c>
      <c r="F238" t="inlineStr">
        <is>
          <t>Server NIC</t>
        </is>
      </c>
    </row>
    <row r="239">
      <c r="A239" t="inlineStr">
        <is>
          <t>MH-DC-001-MMR-SW-01</t>
        </is>
      </c>
      <c r="B239" t="inlineStr">
        <is>
          <t>xe-0/0/5</t>
        </is>
      </c>
      <c r="C239" t="inlineStr">
        <is>
          <t>10G SFP+</t>
        </is>
      </c>
      <c r="D239" t="n">
        <v>10000</v>
      </c>
      <c r="E239" t="inlineStr">
        <is>
          <t>up</t>
        </is>
      </c>
      <c r="F239" t="inlineStr">
        <is>
          <t>Server NIC</t>
        </is>
      </c>
    </row>
    <row r="240">
      <c r="A240" t="inlineStr">
        <is>
          <t>MH-DC-001-MMR-SW-01</t>
        </is>
      </c>
      <c r="B240" t="inlineStr">
        <is>
          <t>xe-0/0/6</t>
        </is>
      </c>
      <c r="C240" t="inlineStr">
        <is>
          <t>10G SFP+</t>
        </is>
      </c>
      <c r="D240" t="n">
        <v>10000</v>
      </c>
      <c r="E240" t="inlineStr">
        <is>
          <t>up</t>
        </is>
      </c>
      <c r="F240" t="inlineStr">
        <is>
          <t>Server NIC</t>
        </is>
      </c>
    </row>
    <row r="241">
      <c r="A241" t="inlineStr">
        <is>
          <t>MH-DC-001-MMR-SW-01</t>
        </is>
      </c>
      <c r="B241" t="inlineStr">
        <is>
          <t>xe-0/0/7</t>
        </is>
      </c>
      <c r="C241" t="inlineStr">
        <is>
          <t>10G SFP+</t>
        </is>
      </c>
      <c r="D241" t="n">
        <v>10000</v>
      </c>
      <c r="E241" t="inlineStr">
        <is>
          <t>up</t>
        </is>
      </c>
      <c r="F241" t="inlineStr">
        <is>
          <t>Server NIC</t>
        </is>
      </c>
    </row>
    <row r="242">
      <c r="A242" t="inlineStr">
        <is>
          <t>MH-DC-001-MMR-SW-01</t>
        </is>
      </c>
      <c r="B242" t="inlineStr">
        <is>
          <t>xe-0/0/8</t>
        </is>
      </c>
      <c r="C242" t="inlineStr">
        <is>
          <t>10G SFP+</t>
        </is>
      </c>
      <c r="D242" t="n">
        <v>10000</v>
      </c>
      <c r="E242" t="inlineStr">
        <is>
          <t>admin-down</t>
        </is>
      </c>
    </row>
    <row r="243">
      <c r="A243" t="inlineStr">
        <is>
          <t>MH-DC-001-MMR-SW-01</t>
        </is>
      </c>
      <c r="B243" t="inlineStr">
        <is>
          <t>xe-0/0/9</t>
        </is>
      </c>
      <c r="C243" t="inlineStr">
        <is>
          <t>10G SFP+</t>
        </is>
      </c>
      <c r="D243" t="n">
        <v>10000</v>
      </c>
      <c r="E243" t="inlineStr">
        <is>
          <t>admin-down</t>
        </is>
      </c>
    </row>
    <row r="244">
      <c r="A244" t="inlineStr">
        <is>
          <t>MH-DC-001-MMR-SW-01</t>
        </is>
      </c>
      <c r="B244" t="inlineStr">
        <is>
          <t>xe-0/0/10</t>
        </is>
      </c>
      <c r="C244" t="inlineStr">
        <is>
          <t>10G SFP+</t>
        </is>
      </c>
      <c r="D244" t="n">
        <v>10000</v>
      </c>
      <c r="E244" t="inlineStr">
        <is>
          <t>up</t>
        </is>
      </c>
      <c r="F244" t="inlineStr">
        <is>
          <t>Server NIC</t>
        </is>
      </c>
    </row>
    <row r="245">
      <c r="A245" t="inlineStr">
        <is>
          <t>MH-DC-001-MMR-SW-01</t>
        </is>
      </c>
      <c r="B245" t="inlineStr">
        <is>
          <t>xe-0/0/11</t>
        </is>
      </c>
      <c r="C245" t="inlineStr">
        <is>
          <t>10G SFP+</t>
        </is>
      </c>
      <c r="D245" t="n">
        <v>10000</v>
      </c>
      <c r="E245" t="inlineStr">
        <is>
          <t>up</t>
        </is>
      </c>
      <c r="F245" t="inlineStr">
        <is>
          <t>Server NIC</t>
        </is>
      </c>
    </row>
    <row r="246">
      <c r="A246" t="inlineStr">
        <is>
          <t>MH-DC-001-MMR-SW-01</t>
        </is>
      </c>
      <c r="B246" t="inlineStr">
        <is>
          <t>xe-0/0/12</t>
        </is>
      </c>
      <c r="C246" t="inlineStr">
        <is>
          <t>10G SFP+</t>
        </is>
      </c>
      <c r="D246" t="n">
        <v>10000</v>
      </c>
      <c r="E246" t="inlineStr">
        <is>
          <t>admin-down</t>
        </is>
      </c>
    </row>
    <row r="247">
      <c r="A247" t="inlineStr">
        <is>
          <t>MH-DC-001-MMR-SW-01</t>
        </is>
      </c>
      <c r="B247" t="inlineStr">
        <is>
          <t>xe-0/0/13</t>
        </is>
      </c>
      <c r="C247" t="inlineStr">
        <is>
          <t>10G SFP+</t>
        </is>
      </c>
      <c r="D247" t="n">
        <v>10000</v>
      </c>
      <c r="E247" t="inlineStr">
        <is>
          <t>admin-down</t>
        </is>
      </c>
    </row>
    <row r="248">
      <c r="A248" t="inlineStr">
        <is>
          <t>MH-DC-001-MMR-SW-01</t>
        </is>
      </c>
      <c r="B248" t="inlineStr">
        <is>
          <t>xe-0/0/14</t>
        </is>
      </c>
      <c r="C248" t="inlineStr">
        <is>
          <t>10G SFP+</t>
        </is>
      </c>
      <c r="D248" t="n">
        <v>10000</v>
      </c>
      <c r="E248" t="inlineStr">
        <is>
          <t>admin-down</t>
        </is>
      </c>
    </row>
    <row r="249">
      <c r="A249" t="inlineStr">
        <is>
          <t>MH-DC-001-MMR-SW-01</t>
        </is>
      </c>
      <c r="B249" t="inlineStr">
        <is>
          <t>xe-0/0/15</t>
        </is>
      </c>
      <c r="C249" t="inlineStr">
        <is>
          <t>10G SFP+</t>
        </is>
      </c>
      <c r="D249" t="n">
        <v>10000</v>
      </c>
      <c r="E249" t="inlineStr">
        <is>
          <t>up</t>
        </is>
      </c>
      <c r="F249" t="inlineStr">
        <is>
          <t>Server NIC</t>
        </is>
      </c>
    </row>
    <row r="250">
      <c r="A250" t="inlineStr">
        <is>
          <t>MH-DC-001-MMR-SW-01</t>
        </is>
      </c>
      <c r="B250" t="inlineStr">
        <is>
          <t>xe-0/0/16</t>
        </is>
      </c>
      <c r="C250" t="inlineStr">
        <is>
          <t>10G SFP+</t>
        </is>
      </c>
      <c r="D250" t="n">
        <v>10000</v>
      </c>
      <c r="E250" t="inlineStr">
        <is>
          <t>admin-down</t>
        </is>
      </c>
    </row>
    <row r="251">
      <c r="A251" t="inlineStr">
        <is>
          <t>MH-DC-001-MMR-SW-01</t>
        </is>
      </c>
      <c r="B251" t="inlineStr">
        <is>
          <t>xe-0/0/17</t>
        </is>
      </c>
      <c r="C251" t="inlineStr">
        <is>
          <t>10G SFP+</t>
        </is>
      </c>
      <c r="D251" t="n">
        <v>10000</v>
      </c>
      <c r="E251" t="inlineStr">
        <is>
          <t>admin-down</t>
        </is>
      </c>
    </row>
    <row r="252">
      <c r="A252" t="inlineStr">
        <is>
          <t>MH-DC-001-MMR-SW-01</t>
        </is>
      </c>
      <c r="B252" t="inlineStr">
        <is>
          <t>xe-0/0/18</t>
        </is>
      </c>
      <c r="C252" t="inlineStr">
        <is>
          <t>10G SFP+</t>
        </is>
      </c>
      <c r="D252" t="n">
        <v>10000</v>
      </c>
      <c r="E252" t="inlineStr">
        <is>
          <t>up</t>
        </is>
      </c>
      <c r="F252" t="inlineStr">
        <is>
          <t>Server NIC</t>
        </is>
      </c>
    </row>
    <row r="253">
      <c r="A253" t="inlineStr">
        <is>
          <t>MH-DC-001-MMR-SW-01</t>
        </is>
      </c>
      <c r="B253" t="inlineStr">
        <is>
          <t>xe-0/0/19</t>
        </is>
      </c>
      <c r="C253" t="inlineStr">
        <is>
          <t>10G SFP+</t>
        </is>
      </c>
      <c r="D253" t="n">
        <v>10000</v>
      </c>
      <c r="E253" t="inlineStr">
        <is>
          <t>up</t>
        </is>
      </c>
      <c r="F253" t="inlineStr">
        <is>
          <t>Server NIC</t>
        </is>
      </c>
    </row>
    <row r="254">
      <c r="A254" t="inlineStr">
        <is>
          <t>MH-DC-001-MMR-SW-01</t>
        </is>
      </c>
      <c r="B254" t="inlineStr">
        <is>
          <t>xe-0/0/20</t>
        </is>
      </c>
      <c r="C254" t="inlineStr">
        <is>
          <t>10G SFP+</t>
        </is>
      </c>
      <c r="D254" t="n">
        <v>10000</v>
      </c>
      <c r="E254" t="inlineStr">
        <is>
          <t>up</t>
        </is>
      </c>
      <c r="F254" t="inlineStr">
        <is>
          <t>Server NIC</t>
        </is>
      </c>
    </row>
    <row r="255">
      <c r="A255" t="inlineStr">
        <is>
          <t>MH-DC-001-MMR-SW-01</t>
        </is>
      </c>
      <c r="B255" t="inlineStr">
        <is>
          <t>xe-0/0/21</t>
        </is>
      </c>
      <c r="C255" t="inlineStr">
        <is>
          <t>10G SFP+</t>
        </is>
      </c>
      <c r="D255" t="n">
        <v>10000</v>
      </c>
      <c r="E255" t="inlineStr">
        <is>
          <t>admin-down</t>
        </is>
      </c>
    </row>
    <row r="256">
      <c r="A256" t="inlineStr">
        <is>
          <t>MH-DC-001-MMR-SW-01</t>
        </is>
      </c>
      <c r="B256" t="inlineStr">
        <is>
          <t>xe-0/0/22</t>
        </is>
      </c>
      <c r="C256" t="inlineStr">
        <is>
          <t>10G SFP+</t>
        </is>
      </c>
      <c r="D256" t="n">
        <v>10000</v>
      </c>
      <c r="E256" t="inlineStr">
        <is>
          <t>up</t>
        </is>
      </c>
      <c r="F256" t="inlineStr">
        <is>
          <t>Server NIC</t>
        </is>
      </c>
    </row>
    <row r="257">
      <c r="A257" t="inlineStr">
        <is>
          <t>MH-DC-001-MMR-SW-01</t>
        </is>
      </c>
      <c r="B257" t="inlineStr">
        <is>
          <t>xe-0/0/23</t>
        </is>
      </c>
      <c r="C257" t="inlineStr">
        <is>
          <t>10G SFP+</t>
        </is>
      </c>
      <c r="D257" t="n">
        <v>10000</v>
      </c>
      <c r="E257" t="inlineStr">
        <is>
          <t>up</t>
        </is>
      </c>
      <c r="F257" t="inlineStr">
        <is>
          <t>Server NIC</t>
        </is>
      </c>
    </row>
    <row r="258">
      <c r="A258" t="inlineStr">
        <is>
          <t>MH-DC-001-MMR-SW-01</t>
        </is>
      </c>
      <c r="B258" t="inlineStr">
        <is>
          <t>xe-0/0/24</t>
        </is>
      </c>
      <c r="C258" t="inlineStr">
        <is>
          <t>10G SFP+</t>
        </is>
      </c>
      <c r="D258" t="n">
        <v>10000</v>
      </c>
      <c r="E258" t="inlineStr">
        <is>
          <t>up</t>
        </is>
      </c>
      <c r="F258" t="inlineStr">
        <is>
          <t>Server NIC</t>
        </is>
      </c>
    </row>
    <row r="259">
      <c r="A259" t="inlineStr">
        <is>
          <t>MH-DC-001-MMR-SW-01</t>
        </is>
      </c>
      <c r="B259" t="inlineStr">
        <is>
          <t>xe-0/0/25</t>
        </is>
      </c>
      <c r="C259" t="inlineStr">
        <is>
          <t>10G SFP+</t>
        </is>
      </c>
      <c r="D259" t="n">
        <v>10000</v>
      </c>
      <c r="E259" t="inlineStr">
        <is>
          <t>admin-down</t>
        </is>
      </c>
    </row>
    <row r="260">
      <c r="A260" t="inlineStr">
        <is>
          <t>MH-DC-001-MMR-SW-01</t>
        </is>
      </c>
      <c r="B260" t="inlineStr">
        <is>
          <t>xe-0/0/26</t>
        </is>
      </c>
      <c r="C260" t="inlineStr">
        <is>
          <t>10G SFP+</t>
        </is>
      </c>
      <c r="D260" t="n">
        <v>10000</v>
      </c>
      <c r="E260" t="inlineStr">
        <is>
          <t>up</t>
        </is>
      </c>
      <c r="F260" t="inlineStr">
        <is>
          <t>Server NIC</t>
        </is>
      </c>
    </row>
    <row r="261">
      <c r="A261" t="inlineStr">
        <is>
          <t>MH-DC-001-MMR-SW-01</t>
        </is>
      </c>
      <c r="B261" t="inlineStr">
        <is>
          <t>xe-0/0/27</t>
        </is>
      </c>
      <c r="C261" t="inlineStr">
        <is>
          <t>10G SFP+</t>
        </is>
      </c>
      <c r="D261" t="n">
        <v>10000</v>
      </c>
      <c r="E261" t="inlineStr">
        <is>
          <t>admin-down</t>
        </is>
      </c>
    </row>
    <row r="262">
      <c r="A262" t="inlineStr">
        <is>
          <t>MH-DC-001-MMR-SW-01</t>
        </is>
      </c>
      <c r="B262" t="inlineStr">
        <is>
          <t>xe-0/0/28</t>
        </is>
      </c>
      <c r="C262" t="inlineStr">
        <is>
          <t>10G SFP+</t>
        </is>
      </c>
      <c r="D262" t="n">
        <v>10000</v>
      </c>
      <c r="E262" t="inlineStr">
        <is>
          <t>up</t>
        </is>
      </c>
      <c r="F262" t="inlineStr">
        <is>
          <t>Server NIC</t>
        </is>
      </c>
    </row>
    <row r="263">
      <c r="A263" t="inlineStr">
        <is>
          <t>MH-DC-001-MMR-SW-01</t>
        </is>
      </c>
      <c r="B263" t="inlineStr">
        <is>
          <t>xe-0/0/29</t>
        </is>
      </c>
      <c r="C263" t="inlineStr">
        <is>
          <t>10G SFP+</t>
        </is>
      </c>
      <c r="D263" t="n">
        <v>10000</v>
      </c>
      <c r="E263" t="inlineStr">
        <is>
          <t>up</t>
        </is>
      </c>
      <c r="F263" t="inlineStr">
        <is>
          <t>Server NIC</t>
        </is>
      </c>
    </row>
    <row r="264">
      <c r="A264" t="inlineStr">
        <is>
          <t>MH-DC-001-MMR-SW-01</t>
        </is>
      </c>
      <c r="B264" t="inlineStr">
        <is>
          <t>xe-0/0/30</t>
        </is>
      </c>
      <c r="C264" t="inlineStr">
        <is>
          <t>10G SFP+</t>
        </is>
      </c>
      <c r="D264" t="n">
        <v>10000</v>
      </c>
      <c r="E264" t="inlineStr">
        <is>
          <t>up</t>
        </is>
      </c>
      <c r="F264" t="inlineStr">
        <is>
          <t>Server NIC</t>
        </is>
      </c>
    </row>
    <row r="265">
      <c r="A265" t="inlineStr">
        <is>
          <t>MH-DC-001-MMR-SW-01</t>
        </is>
      </c>
      <c r="B265" t="inlineStr">
        <is>
          <t>xe-0/0/31</t>
        </is>
      </c>
      <c r="C265" t="inlineStr">
        <is>
          <t>10G SFP+</t>
        </is>
      </c>
      <c r="D265" t="n">
        <v>10000</v>
      </c>
      <c r="E265" t="inlineStr">
        <is>
          <t>admin-down</t>
        </is>
      </c>
    </row>
    <row r="266">
      <c r="A266" t="inlineStr">
        <is>
          <t>MH-DC-001-MMR-SW-01</t>
        </is>
      </c>
      <c r="B266" t="inlineStr">
        <is>
          <t>xe-0/0/32</t>
        </is>
      </c>
      <c r="C266" t="inlineStr">
        <is>
          <t>10G SFP+</t>
        </is>
      </c>
      <c r="D266" t="n">
        <v>10000</v>
      </c>
      <c r="E266" t="inlineStr">
        <is>
          <t>up</t>
        </is>
      </c>
      <c r="F266" t="inlineStr">
        <is>
          <t>Server NIC</t>
        </is>
      </c>
    </row>
    <row r="267">
      <c r="A267" t="inlineStr">
        <is>
          <t>MH-DC-001-MMR-SW-01</t>
        </is>
      </c>
      <c r="B267" t="inlineStr">
        <is>
          <t>xe-0/0/33</t>
        </is>
      </c>
      <c r="C267" t="inlineStr">
        <is>
          <t>10G SFP+</t>
        </is>
      </c>
      <c r="D267" t="n">
        <v>10000</v>
      </c>
      <c r="E267" t="inlineStr">
        <is>
          <t>up</t>
        </is>
      </c>
      <c r="F267" t="inlineStr">
        <is>
          <t>Server NIC</t>
        </is>
      </c>
    </row>
    <row r="268">
      <c r="A268" t="inlineStr">
        <is>
          <t>MH-DC-001-MMR-SW-01</t>
        </is>
      </c>
      <c r="B268" t="inlineStr">
        <is>
          <t>xe-0/0/34</t>
        </is>
      </c>
      <c r="C268" t="inlineStr">
        <is>
          <t>10G SFP+</t>
        </is>
      </c>
      <c r="D268" t="n">
        <v>10000</v>
      </c>
      <c r="E268" t="inlineStr">
        <is>
          <t>admin-down</t>
        </is>
      </c>
    </row>
    <row r="269">
      <c r="A269" t="inlineStr">
        <is>
          <t>MH-DC-001-MMR-SW-01</t>
        </is>
      </c>
      <c r="B269" t="inlineStr">
        <is>
          <t>xe-0/0/35</t>
        </is>
      </c>
      <c r="C269" t="inlineStr">
        <is>
          <t>10G SFP+</t>
        </is>
      </c>
      <c r="D269" t="n">
        <v>10000</v>
      </c>
      <c r="E269" t="inlineStr">
        <is>
          <t>up</t>
        </is>
      </c>
      <c r="F269" t="inlineStr">
        <is>
          <t>Server NIC</t>
        </is>
      </c>
    </row>
    <row r="270">
      <c r="A270" t="inlineStr">
        <is>
          <t>MH-DC-001-MMR-SW-01</t>
        </is>
      </c>
      <c r="B270" t="inlineStr">
        <is>
          <t>xe-0/0/36</t>
        </is>
      </c>
      <c r="C270" t="inlineStr">
        <is>
          <t>10G SFP+</t>
        </is>
      </c>
      <c r="D270" t="n">
        <v>10000</v>
      </c>
      <c r="E270" t="inlineStr">
        <is>
          <t>up</t>
        </is>
      </c>
      <c r="F270" t="inlineStr">
        <is>
          <t>Server NIC</t>
        </is>
      </c>
    </row>
    <row r="271">
      <c r="A271" t="inlineStr">
        <is>
          <t>MH-DC-001-MMR-SW-01</t>
        </is>
      </c>
      <c r="B271" t="inlineStr">
        <is>
          <t>xe-0/0/37</t>
        </is>
      </c>
      <c r="C271" t="inlineStr">
        <is>
          <t>10G SFP+</t>
        </is>
      </c>
      <c r="D271" t="n">
        <v>10000</v>
      </c>
      <c r="E271" t="inlineStr">
        <is>
          <t>up</t>
        </is>
      </c>
      <c r="F271" t="inlineStr">
        <is>
          <t>Server NIC</t>
        </is>
      </c>
    </row>
    <row r="272">
      <c r="A272" t="inlineStr">
        <is>
          <t>MH-DC-001-MMR-SW-01</t>
        </is>
      </c>
      <c r="B272" t="inlineStr">
        <is>
          <t>xe-0/0/38</t>
        </is>
      </c>
      <c r="C272" t="inlineStr">
        <is>
          <t>10G SFP+</t>
        </is>
      </c>
      <c r="D272" t="n">
        <v>10000</v>
      </c>
      <c r="E272" t="inlineStr">
        <is>
          <t>admin-down</t>
        </is>
      </c>
    </row>
    <row r="273">
      <c r="A273" t="inlineStr">
        <is>
          <t>MH-DC-001-MMR-SW-01</t>
        </is>
      </c>
      <c r="B273" t="inlineStr">
        <is>
          <t>xe-0/0/39</t>
        </is>
      </c>
      <c r="C273" t="inlineStr">
        <is>
          <t>10G SFP+</t>
        </is>
      </c>
      <c r="D273" t="n">
        <v>10000</v>
      </c>
      <c r="E273" t="inlineStr">
        <is>
          <t>up</t>
        </is>
      </c>
      <c r="F273" t="inlineStr">
        <is>
          <t>Server NIC</t>
        </is>
      </c>
    </row>
    <row r="274">
      <c r="A274" t="inlineStr">
        <is>
          <t>MH-DC-001-MMR-SW-01</t>
        </is>
      </c>
      <c r="B274" t="inlineStr">
        <is>
          <t>xe-0/0/40</t>
        </is>
      </c>
      <c r="C274" t="inlineStr">
        <is>
          <t>10G SFP+</t>
        </is>
      </c>
      <c r="D274" t="n">
        <v>10000</v>
      </c>
      <c r="E274" t="inlineStr">
        <is>
          <t>admin-down</t>
        </is>
      </c>
    </row>
    <row r="275">
      <c r="A275" t="inlineStr">
        <is>
          <t>MH-DC-001-MMR-SW-01</t>
        </is>
      </c>
      <c r="B275" t="inlineStr">
        <is>
          <t>xe-0/0/41</t>
        </is>
      </c>
      <c r="C275" t="inlineStr">
        <is>
          <t>10G SFP+</t>
        </is>
      </c>
      <c r="D275" t="n">
        <v>10000</v>
      </c>
      <c r="E275" t="inlineStr">
        <is>
          <t>admin-down</t>
        </is>
      </c>
    </row>
    <row r="276">
      <c r="A276" t="inlineStr">
        <is>
          <t>MH-DC-001-MMR-SW-01</t>
        </is>
      </c>
      <c r="B276" t="inlineStr">
        <is>
          <t>xe-0/0/42</t>
        </is>
      </c>
      <c r="C276" t="inlineStr">
        <is>
          <t>10G SFP+</t>
        </is>
      </c>
      <c r="D276" t="n">
        <v>10000</v>
      </c>
      <c r="E276" t="inlineStr">
        <is>
          <t>up</t>
        </is>
      </c>
      <c r="F276" t="inlineStr">
        <is>
          <t>Server NIC</t>
        </is>
      </c>
    </row>
    <row r="277">
      <c r="A277" t="inlineStr">
        <is>
          <t>MH-DC-001-MMR-SW-01</t>
        </is>
      </c>
      <c r="B277" t="inlineStr">
        <is>
          <t>xe-0/0/43</t>
        </is>
      </c>
      <c r="C277" t="inlineStr">
        <is>
          <t>10G SFP+</t>
        </is>
      </c>
      <c r="D277" t="n">
        <v>10000</v>
      </c>
      <c r="E277" t="inlineStr">
        <is>
          <t>admin-down</t>
        </is>
      </c>
    </row>
    <row r="278">
      <c r="A278" t="inlineStr">
        <is>
          <t>MH-DC-001-MMR-SW-01</t>
        </is>
      </c>
      <c r="B278" t="inlineStr">
        <is>
          <t>xe-0/0/44</t>
        </is>
      </c>
      <c r="C278" t="inlineStr">
        <is>
          <t>10G SFP+</t>
        </is>
      </c>
      <c r="D278" t="n">
        <v>10000</v>
      </c>
      <c r="E278" t="inlineStr">
        <is>
          <t>admin-down</t>
        </is>
      </c>
    </row>
    <row r="279">
      <c r="A279" t="inlineStr">
        <is>
          <t>MH-DC-001-MMR-SW-01</t>
        </is>
      </c>
      <c r="B279" t="inlineStr">
        <is>
          <t>xe-0/0/45</t>
        </is>
      </c>
      <c r="C279" t="inlineStr">
        <is>
          <t>10G SFP+</t>
        </is>
      </c>
      <c r="D279" t="n">
        <v>10000</v>
      </c>
      <c r="E279" t="inlineStr">
        <is>
          <t>up</t>
        </is>
      </c>
      <c r="F279" t="inlineStr">
        <is>
          <t>Server NIC</t>
        </is>
      </c>
    </row>
    <row r="280">
      <c r="A280" t="inlineStr">
        <is>
          <t>MH-DC-001-MMR-SW-01</t>
        </is>
      </c>
      <c r="B280" t="inlineStr">
        <is>
          <t>xe-0/0/46</t>
        </is>
      </c>
      <c r="C280" t="inlineStr">
        <is>
          <t>10G SFP+</t>
        </is>
      </c>
      <c r="D280" t="n">
        <v>10000</v>
      </c>
      <c r="E280" t="inlineStr">
        <is>
          <t>up</t>
        </is>
      </c>
      <c r="F280" t="inlineStr">
        <is>
          <t>Server NIC</t>
        </is>
      </c>
    </row>
    <row r="281">
      <c r="A281" t="inlineStr">
        <is>
          <t>MH-DC-001-MMR-SW-01</t>
        </is>
      </c>
      <c r="B281" t="inlineStr">
        <is>
          <t>xe-0/0/47</t>
        </is>
      </c>
      <c r="C281" t="inlineStr">
        <is>
          <t>10G SFP+</t>
        </is>
      </c>
      <c r="D281" t="n">
        <v>10000</v>
      </c>
      <c r="E281" t="inlineStr">
        <is>
          <t>up</t>
        </is>
      </c>
      <c r="F281" t="inlineStr">
        <is>
          <t>Server NIC</t>
        </is>
      </c>
    </row>
    <row r="282">
      <c r="A282" t="inlineStr">
        <is>
          <t>MH-DC-001-MMR-SW-01</t>
        </is>
      </c>
      <c r="B282" t="inlineStr">
        <is>
          <t>et-0/1/0</t>
        </is>
      </c>
      <c r="C282" t="inlineStr">
        <is>
          <t>100G QSFP28</t>
        </is>
      </c>
      <c r="D282" t="n">
        <v>100000</v>
      </c>
      <c r="E282" t="inlineStr">
        <is>
          <t>up</t>
        </is>
      </c>
      <c r="F282" t="inlineStr">
        <is>
          <t>Uplink to MH-DC-001-AGG-R01</t>
        </is>
      </c>
      <c r="G282" t="inlineStr">
        <is>
          <t>QSFP28-100G-LR4</t>
        </is>
      </c>
    </row>
    <row r="283">
      <c r="A283" t="inlineStr">
        <is>
          <t>MH-DC-001-MMR-SW-01</t>
        </is>
      </c>
      <c r="B283" t="inlineStr">
        <is>
          <t>et-0/1/1</t>
        </is>
      </c>
      <c r="C283" t="inlineStr">
        <is>
          <t>100G QSFP28</t>
        </is>
      </c>
      <c r="D283" t="n">
        <v>100000</v>
      </c>
      <c r="E283" t="inlineStr">
        <is>
          <t>up</t>
        </is>
      </c>
      <c r="F283" t="inlineStr">
        <is>
          <t>Uplink to MH-DC-001-AGG-R01</t>
        </is>
      </c>
      <c r="G283" t="inlineStr">
        <is>
          <t>QSFP28-100G-LR4</t>
        </is>
      </c>
    </row>
    <row r="284">
      <c r="A284" t="inlineStr">
        <is>
          <t>MH-DC-001-MMR-SW-01</t>
        </is>
      </c>
      <c r="B284" t="inlineStr">
        <is>
          <t>et-0/1/2</t>
        </is>
      </c>
      <c r="C284" t="inlineStr">
        <is>
          <t>100G QSFP28</t>
        </is>
      </c>
      <c r="D284" t="n">
        <v>100000</v>
      </c>
      <c r="E284" t="inlineStr">
        <is>
          <t>admin-down</t>
        </is>
      </c>
    </row>
    <row r="285">
      <c r="A285" t="inlineStr">
        <is>
          <t>MH-DC-001-MMR-SW-01</t>
        </is>
      </c>
      <c r="B285" t="inlineStr">
        <is>
          <t>et-0/1/3</t>
        </is>
      </c>
      <c r="C285" t="inlineStr">
        <is>
          <t>100G QSFP28</t>
        </is>
      </c>
      <c r="D285" t="n">
        <v>100000</v>
      </c>
      <c r="E285" t="inlineStr">
        <is>
          <t>admin-down</t>
        </is>
      </c>
    </row>
    <row r="286">
      <c r="A286" t="inlineStr">
        <is>
          <t>MH-DC-001-MMR-SW-02</t>
        </is>
      </c>
      <c r="B286" t="inlineStr">
        <is>
          <t>Te0/0/0/0</t>
        </is>
      </c>
      <c r="C286" t="inlineStr">
        <is>
          <t>10G SFP+</t>
        </is>
      </c>
      <c r="D286" t="n">
        <v>10000</v>
      </c>
      <c r="E286" t="inlineStr">
        <is>
          <t>up</t>
        </is>
      </c>
      <c r="F286" t="inlineStr">
        <is>
          <t>Access to MH-DC-001-TOR-001</t>
        </is>
      </c>
      <c r="G286" t="inlineStr">
        <is>
          <t>SFP-10G-LR</t>
        </is>
      </c>
    </row>
    <row r="287">
      <c r="A287" t="inlineStr">
        <is>
          <t>MH-DC-001-MMR-SW-02</t>
        </is>
      </c>
      <c r="B287" t="inlineStr">
        <is>
          <t>Te0/0/0/1</t>
        </is>
      </c>
      <c r="C287" t="inlineStr">
        <is>
          <t>10G SFP+</t>
        </is>
      </c>
      <c r="D287" t="n">
        <v>10000</v>
      </c>
      <c r="E287" t="inlineStr">
        <is>
          <t>up</t>
        </is>
      </c>
      <c r="F287" t="inlineStr">
        <is>
          <t>Access to MH-DC-001-TOR-002</t>
        </is>
      </c>
      <c r="G287" t="inlineStr">
        <is>
          <t>SFP-10G-LR</t>
        </is>
      </c>
    </row>
    <row r="288">
      <c r="A288" t="inlineStr">
        <is>
          <t>MH-DC-001-MMR-SW-02</t>
        </is>
      </c>
      <c r="B288" t="inlineStr">
        <is>
          <t>Te0/0/0/2</t>
        </is>
      </c>
      <c r="C288" t="inlineStr">
        <is>
          <t>10G SFP+</t>
        </is>
      </c>
      <c r="D288" t="n">
        <v>10000</v>
      </c>
      <c r="E288" t="inlineStr">
        <is>
          <t>up</t>
        </is>
      </c>
      <c r="F288" t="inlineStr">
        <is>
          <t>Server NIC</t>
        </is>
      </c>
    </row>
    <row r="289">
      <c r="A289" t="inlineStr">
        <is>
          <t>MH-DC-001-MMR-SW-02</t>
        </is>
      </c>
      <c r="B289" t="inlineStr">
        <is>
          <t>Te0/0/0/3</t>
        </is>
      </c>
      <c r="C289" t="inlineStr">
        <is>
          <t>10G SFP+</t>
        </is>
      </c>
      <c r="D289" t="n">
        <v>10000</v>
      </c>
      <c r="E289" t="inlineStr">
        <is>
          <t>up</t>
        </is>
      </c>
      <c r="F289" t="inlineStr">
        <is>
          <t>Server NIC</t>
        </is>
      </c>
    </row>
    <row r="290">
      <c r="A290" t="inlineStr">
        <is>
          <t>MH-DC-001-MMR-SW-02</t>
        </is>
      </c>
      <c r="B290" t="inlineStr">
        <is>
          <t>Te0/0/0/4</t>
        </is>
      </c>
      <c r="C290" t="inlineStr">
        <is>
          <t>10G SFP+</t>
        </is>
      </c>
      <c r="D290" t="n">
        <v>10000</v>
      </c>
      <c r="E290" t="inlineStr">
        <is>
          <t>up</t>
        </is>
      </c>
      <c r="F290" t="inlineStr">
        <is>
          <t>Server NIC</t>
        </is>
      </c>
    </row>
    <row r="291">
      <c r="A291" t="inlineStr">
        <is>
          <t>MH-DC-001-MMR-SW-02</t>
        </is>
      </c>
      <c r="B291" t="inlineStr">
        <is>
          <t>Te0/0/0/5</t>
        </is>
      </c>
      <c r="C291" t="inlineStr">
        <is>
          <t>10G SFP+</t>
        </is>
      </c>
      <c r="D291" t="n">
        <v>10000</v>
      </c>
      <c r="E291" t="inlineStr">
        <is>
          <t>admin-down</t>
        </is>
      </c>
    </row>
    <row r="292">
      <c r="A292" t="inlineStr">
        <is>
          <t>MH-DC-001-MMR-SW-02</t>
        </is>
      </c>
      <c r="B292" t="inlineStr">
        <is>
          <t>Te0/0/0/6</t>
        </is>
      </c>
      <c r="C292" t="inlineStr">
        <is>
          <t>10G SFP+</t>
        </is>
      </c>
      <c r="D292" t="n">
        <v>10000</v>
      </c>
      <c r="E292" t="inlineStr">
        <is>
          <t>admin-down</t>
        </is>
      </c>
    </row>
    <row r="293">
      <c r="A293" t="inlineStr">
        <is>
          <t>MH-DC-001-MMR-SW-02</t>
        </is>
      </c>
      <c r="B293" t="inlineStr">
        <is>
          <t>Te0/0/0/7</t>
        </is>
      </c>
      <c r="C293" t="inlineStr">
        <is>
          <t>10G SFP+</t>
        </is>
      </c>
      <c r="D293" t="n">
        <v>10000</v>
      </c>
      <c r="E293" t="inlineStr">
        <is>
          <t>up</t>
        </is>
      </c>
      <c r="F293" t="inlineStr">
        <is>
          <t>Server NIC</t>
        </is>
      </c>
    </row>
    <row r="294">
      <c r="A294" t="inlineStr">
        <is>
          <t>MH-DC-001-MMR-SW-02</t>
        </is>
      </c>
      <c r="B294" t="inlineStr">
        <is>
          <t>Te0/0/0/8</t>
        </is>
      </c>
      <c r="C294" t="inlineStr">
        <is>
          <t>10G SFP+</t>
        </is>
      </c>
      <c r="D294" t="n">
        <v>10000</v>
      </c>
      <c r="E294" t="inlineStr">
        <is>
          <t>up</t>
        </is>
      </c>
      <c r="F294" t="inlineStr">
        <is>
          <t>Server NIC</t>
        </is>
      </c>
    </row>
    <row r="295">
      <c r="A295" t="inlineStr">
        <is>
          <t>MH-DC-001-MMR-SW-02</t>
        </is>
      </c>
      <c r="B295" t="inlineStr">
        <is>
          <t>Te0/0/0/9</t>
        </is>
      </c>
      <c r="C295" t="inlineStr">
        <is>
          <t>10G SFP+</t>
        </is>
      </c>
      <c r="D295" t="n">
        <v>10000</v>
      </c>
      <c r="E295" t="inlineStr">
        <is>
          <t>admin-down</t>
        </is>
      </c>
    </row>
    <row r="296">
      <c r="A296" t="inlineStr">
        <is>
          <t>MH-DC-001-MMR-SW-02</t>
        </is>
      </c>
      <c r="B296" t="inlineStr">
        <is>
          <t>Te0/0/0/10</t>
        </is>
      </c>
      <c r="C296" t="inlineStr">
        <is>
          <t>10G SFP+</t>
        </is>
      </c>
      <c r="D296" t="n">
        <v>10000</v>
      </c>
      <c r="E296" t="inlineStr">
        <is>
          <t>admin-down</t>
        </is>
      </c>
    </row>
    <row r="297">
      <c r="A297" t="inlineStr">
        <is>
          <t>MH-DC-001-MMR-SW-02</t>
        </is>
      </c>
      <c r="B297" t="inlineStr">
        <is>
          <t>Te0/0/0/11</t>
        </is>
      </c>
      <c r="C297" t="inlineStr">
        <is>
          <t>10G SFP+</t>
        </is>
      </c>
      <c r="D297" t="n">
        <v>10000</v>
      </c>
      <c r="E297" t="inlineStr">
        <is>
          <t>admin-down</t>
        </is>
      </c>
    </row>
    <row r="298">
      <c r="A298" t="inlineStr">
        <is>
          <t>MH-DC-001-MMR-SW-02</t>
        </is>
      </c>
      <c r="B298" t="inlineStr">
        <is>
          <t>Te0/0/0/12</t>
        </is>
      </c>
      <c r="C298" t="inlineStr">
        <is>
          <t>10G SFP+</t>
        </is>
      </c>
      <c r="D298" t="n">
        <v>10000</v>
      </c>
      <c r="E298" t="inlineStr">
        <is>
          <t>up</t>
        </is>
      </c>
      <c r="F298" t="inlineStr">
        <is>
          <t>Server NIC</t>
        </is>
      </c>
    </row>
    <row r="299">
      <c r="A299" t="inlineStr">
        <is>
          <t>MH-DC-001-MMR-SW-02</t>
        </is>
      </c>
      <c r="B299" t="inlineStr">
        <is>
          <t>Te0/0/0/13</t>
        </is>
      </c>
      <c r="C299" t="inlineStr">
        <is>
          <t>10G SFP+</t>
        </is>
      </c>
      <c r="D299" t="n">
        <v>10000</v>
      </c>
      <c r="E299" t="inlineStr">
        <is>
          <t>up</t>
        </is>
      </c>
      <c r="F299" t="inlineStr">
        <is>
          <t>Server NIC</t>
        </is>
      </c>
    </row>
    <row r="300">
      <c r="A300" t="inlineStr">
        <is>
          <t>MH-DC-001-MMR-SW-02</t>
        </is>
      </c>
      <c r="B300" t="inlineStr">
        <is>
          <t>Te0/0/0/14</t>
        </is>
      </c>
      <c r="C300" t="inlineStr">
        <is>
          <t>10G SFP+</t>
        </is>
      </c>
      <c r="D300" t="n">
        <v>10000</v>
      </c>
      <c r="E300" t="inlineStr">
        <is>
          <t>admin-down</t>
        </is>
      </c>
    </row>
    <row r="301">
      <c r="A301" t="inlineStr">
        <is>
          <t>MH-DC-001-MMR-SW-02</t>
        </is>
      </c>
      <c r="B301" t="inlineStr">
        <is>
          <t>Te0/0/0/15</t>
        </is>
      </c>
      <c r="C301" t="inlineStr">
        <is>
          <t>10G SFP+</t>
        </is>
      </c>
      <c r="D301" t="n">
        <v>10000</v>
      </c>
      <c r="E301" t="inlineStr">
        <is>
          <t>up</t>
        </is>
      </c>
      <c r="F301" t="inlineStr">
        <is>
          <t>Server NIC</t>
        </is>
      </c>
    </row>
    <row r="302">
      <c r="A302" t="inlineStr">
        <is>
          <t>MH-DC-001-MMR-SW-02</t>
        </is>
      </c>
      <c r="B302" t="inlineStr">
        <is>
          <t>Te0/0/0/16</t>
        </is>
      </c>
      <c r="C302" t="inlineStr">
        <is>
          <t>10G SFP+</t>
        </is>
      </c>
      <c r="D302" t="n">
        <v>10000</v>
      </c>
      <c r="E302" t="inlineStr">
        <is>
          <t>up</t>
        </is>
      </c>
      <c r="F302" t="inlineStr">
        <is>
          <t>Server NIC</t>
        </is>
      </c>
    </row>
    <row r="303">
      <c r="A303" t="inlineStr">
        <is>
          <t>MH-DC-001-MMR-SW-02</t>
        </is>
      </c>
      <c r="B303" t="inlineStr">
        <is>
          <t>Te0/0/0/17</t>
        </is>
      </c>
      <c r="C303" t="inlineStr">
        <is>
          <t>10G SFP+</t>
        </is>
      </c>
      <c r="D303" t="n">
        <v>10000</v>
      </c>
      <c r="E303" t="inlineStr">
        <is>
          <t>admin-down</t>
        </is>
      </c>
    </row>
    <row r="304">
      <c r="A304" t="inlineStr">
        <is>
          <t>MH-DC-001-MMR-SW-02</t>
        </is>
      </c>
      <c r="B304" t="inlineStr">
        <is>
          <t>Te0/0/0/18</t>
        </is>
      </c>
      <c r="C304" t="inlineStr">
        <is>
          <t>10G SFP+</t>
        </is>
      </c>
      <c r="D304" t="n">
        <v>10000</v>
      </c>
      <c r="E304" t="inlineStr">
        <is>
          <t>up</t>
        </is>
      </c>
      <c r="F304" t="inlineStr">
        <is>
          <t>Server NIC</t>
        </is>
      </c>
    </row>
    <row r="305">
      <c r="A305" t="inlineStr">
        <is>
          <t>MH-DC-001-MMR-SW-02</t>
        </is>
      </c>
      <c r="B305" t="inlineStr">
        <is>
          <t>Te0/0/0/19</t>
        </is>
      </c>
      <c r="C305" t="inlineStr">
        <is>
          <t>10G SFP+</t>
        </is>
      </c>
      <c r="D305" t="n">
        <v>10000</v>
      </c>
      <c r="E305" t="inlineStr">
        <is>
          <t>up</t>
        </is>
      </c>
      <c r="F305" t="inlineStr">
        <is>
          <t>Server NIC</t>
        </is>
      </c>
    </row>
    <row r="306">
      <c r="A306" t="inlineStr">
        <is>
          <t>MH-DC-001-MMR-SW-02</t>
        </is>
      </c>
      <c r="B306" t="inlineStr">
        <is>
          <t>Te0/0/0/20</t>
        </is>
      </c>
      <c r="C306" t="inlineStr">
        <is>
          <t>10G SFP+</t>
        </is>
      </c>
      <c r="D306" t="n">
        <v>10000</v>
      </c>
      <c r="E306" t="inlineStr">
        <is>
          <t>admin-down</t>
        </is>
      </c>
    </row>
    <row r="307">
      <c r="A307" t="inlineStr">
        <is>
          <t>MH-DC-001-MMR-SW-02</t>
        </is>
      </c>
      <c r="B307" t="inlineStr">
        <is>
          <t>Te0/0/0/21</t>
        </is>
      </c>
      <c r="C307" t="inlineStr">
        <is>
          <t>10G SFP+</t>
        </is>
      </c>
      <c r="D307" t="n">
        <v>10000</v>
      </c>
      <c r="E307" t="inlineStr">
        <is>
          <t>admin-down</t>
        </is>
      </c>
    </row>
    <row r="308">
      <c r="A308" t="inlineStr">
        <is>
          <t>MH-DC-001-MMR-SW-02</t>
        </is>
      </c>
      <c r="B308" t="inlineStr">
        <is>
          <t>Te0/0/0/22</t>
        </is>
      </c>
      <c r="C308" t="inlineStr">
        <is>
          <t>10G SFP+</t>
        </is>
      </c>
      <c r="D308" t="n">
        <v>10000</v>
      </c>
      <c r="E308" t="inlineStr">
        <is>
          <t>admin-down</t>
        </is>
      </c>
    </row>
    <row r="309">
      <c r="A309" t="inlineStr">
        <is>
          <t>MH-DC-001-MMR-SW-02</t>
        </is>
      </c>
      <c r="B309" t="inlineStr">
        <is>
          <t>Te0/0/0/23</t>
        </is>
      </c>
      <c r="C309" t="inlineStr">
        <is>
          <t>10G SFP+</t>
        </is>
      </c>
      <c r="D309" t="n">
        <v>10000</v>
      </c>
      <c r="E309" t="inlineStr">
        <is>
          <t>up</t>
        </is>
      </c>
      <c r="F309" t="inlineStr">
        <is>
          <t>Server NIC</t>
        </is>
      </c>
    </row>
    <row r="310">
      <c r="A310" t="inlineStr">
        <is>
          <t>MH-DC-001-MMR-SW-02</t>
        </is>
      </c>
      <c r="B310" t="inlineStr">
        <is>
          <t>Te0/0/0/24</t>
        </is>
      </c>
      <c r="C310" t="inlineStr">
        <is>
          <t>10G SFP+</t>
        </is>
      </c>
      <c r="D310" t="n">
        <v>10000</v>
      </c>
      <c r="E310" t="inlineStr">
        <is>
          <t>up</t>
        </is>
      </c>
      <c r="F310" t="inlineStr">
        <is>
          <t>Server NIC</t>
        </is>
      </c>
    </row>
    <row r="311">
      <c r="A311" t="inlineStr">
        <is>
          <t>MH-DC-001-MMR-SW-02</t>
        </is>
      </c>
      <c r="B311" t="inlineStr">
        <is>
          <t>Te0/0/0/25</t>
        </is>
      </c>
      <c r="C311" t="inlineStr">
        <is>
          <t>10G SFP+</t>
        </is>
      </c>
      <c r="D311" t="n">
        <v>10000</v>
      </c>
      <c r="E311" t="inlineStr">
        <is>
          <t>admin-down</t>
        </is>
      </c>
    </row>
    <row r="312">
      <c r="A312" t="inlineStr">
        <is>
          <t>MH-DC-001-MMR-SW-02</t>
        </is>
      </c>
      <c r="B312" t="inlineStr">
        <is>
          <t>Te0/0/0/26</t>
        </is>
      </c>
      <c r="C312" t="inlineStr">
        <is>
          <t>10G SFP+</t>
        </is>
      </c>
      <c r="D312" t="n">
        <v>10000</v>
      </c>
      <c r="E312" t="inlineStr">
        <is>
          <t>up</t>
        </is>
      </c>
      <c r="F312" t="inlineStr">
        <is>
          <t>Server NIC</t>
        </is>
      </c>
    </row>
    <row r="313">
      <c r="A313" t="inlineStr">
        <is>
          <t>MH-DC-001-MMR-SW-02</t>
        </is>
      </c>
      <c r="B313" t="inlineStr">
        <is>
          <t>Te0/0/0/27</t>
        </is>
      </c>
      <c r="C313" t="inlineStr">
        <is>
          <t>10G SFP+</t>
        </is>
      </c>
      <c r="D313" t="n">
        <v>10000</v>
      </c>
      <c r="E313" t="inlineStr">
        <is>
          <t>up</t>
        </is>
      </c>
      <c r="F313" t="inlineStr">
        <is>
          <t>Server NIC</t>
        </is>
      </c>
    </row>
    <row r="314">
      <c r="A314" t="inlineStr">
        <is>
          <t>MH-DC-001-MMR-SW-02</t>
        </is>
      </c>
      <c r="B314" t="inlineStr">
        <is>
          <t>Te0/0/0/28</t>
        </is>
      </c>
      <c r="C314" t="inlineStr">
        <is>
          <t>10G SFP+</t>
        </is>
      </c>
      <c r="D314" t="n">
        <v>10000</v>
      </c>
      <c r="E314" t="inlineStr">
        <is>
          <t>up</t>
        </is>
      </c>
      <c r="F314" t="inlineStr">
        <is>
          <t>Server NIC</t>
        </is>
      </c>
    </row>
    <row r="315">
      <c r="A315" t="inlineStr">
        <is>
          <t>MH-DC-001-MMR-SW-02</t>
        </is>
      </c>
      <c r="B315" t="inlineStr">
        <is>
          <t>Te0/0/0/29</t>
        </is>
      </c>
      <c r="C315" t="inlineStr">
        <is>
          <t>10G SFP+</t>
        </is>
      </c>
      <c r="D315" t="n">
        <v>10000</v>
      </c>
      <c r="E315" t="inlineStr">
        <is>
          <t>up</t>
        </is>
      </c>
      <c r="F315" t="inlineStr">
        <is>
          <t>Server NIC</t>
        </is>
      </c>
    </row>
    <row r="316">
      <c r="A316" t="inlineStr">
        <is>
          <t>MH-DC-001-MMR-SW-02</t>
        </is>
      </c>
      <c r="B316" t="inlineStr">
        <is>
          <t>Te0/0/0/30</t>
        </is>
      </c>
      <c r="C316" t="inlineStr">
        <is>
          <t>10G SFP+</t>
        </is>
      </c>
      <c r="D316" t="n">
        <v>10000</v>
      </c>
      <c r="E316" t="inlineStr">
        <is>
          <t>up</t>
        </is>
      </c>
      <c r="F316" t="inlineStr">
        <is>
          <t>Server NIC</t>
        </is>
      </c>
    </row>
    <row r="317">
      <c r="A317" t="inlineStr">
        <is>
          <t>MH-DC-001-MMR-SW-02</t>
        </is>
      </c>
      <c r="B317" t="inlineStr">
        <is>
          <t>Te0/0/0/31</t>
        </is>
      </c>
      <c r="C317" t="inlineStr">
        <is>
          <t>10G SFP+</t>
        </is>
      </c>
      <c r="D317" t="n">
        <v>10000</v>
      </c>
      <c r="E317" t="inlineStr">
        <is>
          <t>up</t>
        </is>
      </c>
      <c r="F317" t="inlineStr">
        <is>
          <t>Server NIC</t>
        </is>
      </c>
    </row>
    <row r="318">
      <c r="A318" t="inlineStr">
        <is>
          <t>MH-DC-001-MMR-SW-02</t>
        </is>
      </c>
      <c r="B318" t="inlineStr">
        <is>
          <t>Te0/0/0/32</t>
        </is>
      </c>
      <c r="C318" t="inlineStr">
        <is>
          <t>10G SFP+</t>
        </is>
      </c>
      <c r="D318" t="n">
        <v>10000</v>
      </c>
      <c r="E318" t="inlineStr">
        <is>
          <t>admin-down</t>
        </is>
      </c>
    </row>
    <row r="319">
      <c r="A319" t="inlineStr">
        <is>
          <t>MH-DC-001-MMR-SW-02</t>
        </is>
      </c>
      <c r="B319" t="inlineStr">
        <is>
          <t>Te0/0/0/33</t>
        </is>
      </c>
      <c r="C319" t="inlineStr">
        <is>
          <t>10G SFP+</t>
        </is>
      </c>
      <c r="D319" t="n">
        <v>10000</v>
      </c>
      <c r="E319" t="inlineStr">
        <is>
          <t>up</t>
        </is>
      </c>
      <c r="F319" t="inlineStr">
        <is>
          <t>Server NIC</t>
        </is>
      </c>
    </row>
    <row r="320">
      <c r="A320" t="inlineStr">
        <is>
          <t>MH-DC-001-MMR-SW-02</t>
        </is>
      </c>
      <c r="B320" t="inlineStr">
        <is>
          <t>Te0/0/0/34</t>
        </is>
      </c>
      <c r="C320" t="inlineStr">
        <is>
          <t>10G SFP+</t>
        </is>
      </c>
      <c r="D320" t="n">
        <v>10000</v>
      </c>
      <c r="E320" t="inlineStr">
        <is>
          <t>admin-down</t>
        </is>
      </c>
    </row>
    <row r="321">
      <c r="A321" t="inlineStr">
        <is>
          <t>MH-DC-001-MMR-SW-02</t>
        </is>
      </c>
      <c r="B321" t="inlineStr">
        <is>
          <t>Te0/0/0/35</t>
        </is>
      </c>
      <c r="C321" t="inlineStr">
        <is>
          <t>10G SFP+</t>
        </is>
      </c>
      <c r="D321" t="n">
        <v>10000</v>
      </c>
      <c r="E321" t="inlineStr">
        <is>
          <t>up</t>
        </is>
      </c>
      <c r="F321" t="inlineStr">
        <is>
          <t>Server NIC</t>
        </is>
      </c>
    </row>
    <row r="322">
      <c r="A322" t="inlineStr">
        <is>
          <t>MH-DC-001-MMR-SW-02</t>
        </is>
      </c>
      <c r="B322" t="inlineStr">
        <is>
          <t>Te0/0/0/36</t>
        </is>
      </c>
      <c r="C322" t="inlineStr">
        <is>
          <t>10G SFP+</t>
        </is>
      </c>
      <c r="D322" t="n">
        <v>10000</v>
      </c>
      <c r="E322" t="inlineStr">
        <is>
          <t>up</t>
        </is>
      </c>
      <c r="F322" t="inlineStr">
        <is>
          <t>Server NIC</t>
        </is>
      </c>
    </row>
    <row r="323">
      <c r="A323" t="inlineStr">
        <is>
          <t>MH-DC-001-MMR-SW-02</t>
        </is>
      </c>
      <c r="B323" t="inlineStr">
        <is>
          <t>Te0/0/0/37</t>
        </is>
      </c>
      <c r="C323" t="inlineStr">
        <is>
          <t>10G SFP+</t>
        </is>
      </c>
      <c r="D323" t="n">
        <v>10000</v>
      </c>
      <c r="E323" t="inlineStr">
        <is>
          <t>up</t>
        </is>
      </c>
      <c r="F323" t="inlineStr">
        <is>
          <t>Server NIC</t>
        </is>
      </c>
    </row>
    <row r="324">
      <c r="A324" t="inlineStr">
        <is>
          <t>MH-DC-001-MMR-SW-02</t>
        </is>
      </c>
      <c r="B324" t="inlineStr">
        <is>
          <t>Te0/0/0/38</t>
        </is>
      </c>
      <c r="C324" t="inlineStr">
        <is>
          <t>10G SFP+</t>
        </is>
      </c>
      <c r="D324" t="n">
        <v>10000</v>
      </c>
      <c r="E324" t="inlineStr">
        <is>
          <t>up</t>
        </is>
      </c>
      <c r="F324" t="inlineStr">
        <is>
          <t>Server NIC</t>
        </is>
      </c>
    </row>
    <row r="325">
      <c r="A325" t="inlineStr">
        <is>
          <t>MH-DC-001-MMR-SW-02</t>
        </is>
      </c>
      <c r="B325" t="inlineStr">
        <is>
          <t>Te0/0/0/39</t>
        </is>
      </c>
      <c r="C325" t="inlineStr">
        <is>
          <t>10G SFP+</t>
        </is>
      </c>
      <c r="D325" t="n">
        <v>10000</v>
      </c>
      <c r="E325" t="inlineStr">
        <is>
          <t>up</t>
        </is>
      </c>
      <c r="F325" t="inlineStr">
        <is>
          <t>Server NIC</t>
        </is>
      </c>
    </row>
    <row r="326">
      <c r="A326" t="inlineStr">
        <is>
          <t>MH-DC-001-MMR-SW-02</t>
        </is>
      </c>
      <c r="B326" t="inlineStr">
        <is>
          <t>Te0/0/0/40</t>
        </is>
      </c>
      <c r="C326" t="inlineStr">
        <is>
          <t>10G SFP+</t>
        </is>
      </c>
      <c r="D326" t="n">
        <v>10000</v>
      </c>
      <c r="E326" t="inlineStr">
        <is>
          <t>up</t>
        </is>
      </c>
      <c r="F326" t="inlineStr">
        <is>
          <t>Server NIC</t>
        </is>
      </c>
    </row>
    <row r="327">
      <c r="A327" t="inlineStr">
        <is>
          <t>MH-DC-001-MMR-SW-02</t>
        </is>
      </c>
      <c r="B327" t="inlineStr">
        <is>
          <t>Te0/0/0/41</t>
        </is>
      </c>
      <c r="C327" t="inlineStr">
        <is>
          <t>10G SFP+</t>
        </is>
      </c>
      <c r="D327" t="n">
        <v>10000</v>
      </c>
      <c r="E327" t="inlineStr">
        <is>
          <t>reserved</t>
        </is>
      </c>
    </row>
    <row r="328">
      <c r="A328" t="inlineStr">
        <is>
          <t>MH-DC-001-MMR-SW-02</t>
        </is>
      </c>
      <c r="B328" t="inlineStr">
        <is>
          <t>Te0/0/0/42</t>
        </is>
      </c>
      <c r="C328" t="inlineStr">
        <is>
          <t>10G SFP+</t>
        </is>
      </c>
      <c r="D328" t="n">
        <v>10000</v>
      </c>
      <c r="E328" t="inlineStr">
        <is>
          <t>up</t>
        </is>
      </c>
      <c r="F328" t="inlineStr">
        <is>
          <t>Server NIC</t>
        </is>
      </c>
    </row>
    <row r="329">
      <c r="A329" t="inlineStr">
        <is>
          <t>MH-DC-001-MMR-SW-02</t>
        </is>
      </c>
      <c r="B329" t="inlineStr">
        <is>
          <t>Te0/0/0/43</t>
        </is>
      </c>
      <c r="C329" t="inlineStr">
        <is>
          <t>10G SFP+</t>
        </is>
      </c>
      <c r="D329" t="n">
        <v>10000</v>
      </c>
      <c r="E329" t="inlineStr">
        <is>
          <t>up</t>
        </is>
      </c>
      <c r="F329" t="inlineStr">
        <is>
          <t>Server NIC</t>
        </is>
      </c>
    </row>
    <row r="330">
      <c r="A330" t="inlineStr">
        <is>
          <t>MH-DC-001-MMR-SW-02</t>
        </is>
      </c>
      <c r="B330" t="inlineStr">
        <is>
          <t>Te0/0/0/44</t>
        </is>
      </c>
      <c r="C330" t="inlineStr">
        <is>
          <t>10G SFP+</t>
        </is>
      </c>
      <c r="D330" t="n">
        <v>10000</v>
      </c>
      <c r="E330" t="inlineStr">
        <is>
          <t>up</t>
        </is>
      </c>
      <c r="F330" t="inlineStr">
        <is>
          <t>Server NIC</t>
        </is>
      </c>
    </row>
    <row r="331">
      <c r="A331" t="inlineStr">
        <is>
          <t>MH-DC-001-MMR-SW-02</t>
        </is>
      </c>
      <c r="B331" t="inlineStr">
        <is>
          <t>Te0/0/0/45</t>
        </is>
      </c>
      <c r="C331" t="inlineStr">
        <is>
          <t>10G SFP+</t>
        </is>
      </c>
      <c r="D331" t="n">
        <v>10000</v>
      </c>
      <c r="E331" t="inlineStr">
        <is>
          <t>up</t>
        </is>
      </c>
      <c r="F331" t="inlineStr">
        <is>
          <t>Server NIC</t>
        </is>
      </c>
    </row>
    <row r="332">
      <c r="A332" t="inlineStr">
        <is>
          <t>MH-DC-001-MMR-SW-02</t>
        </is>
      </c>
      <c r="B332" t="inlineStr">
        <is>
          <t>Te0/0/0/46</t>
        </is>
      </c>
      <c r="C332" t="inlineStr">
        <is>
          <t>10G SFP+</t>
        </is>
      </c>
      <c r="D332" t="n">
        <v>10000</v>
      </c>
      <c r="E332" t="inlineStr">
        <is>
          <t>up</t>
        </is>
      </c>
      <c r="F332" t="inlineStr">
        <is>
          <t>Server NIC</t>
        </is>
      </c>
    </row>
    <row r="333">
      <c r="A333" t="inlineStr">
        <is>
          <t>MH-DC-001-MMR-SW-02</t>
        </is>
      </c>
      <c r="B333" t="inlineStr">
        <is>
          <t>Te0/0/0/47</t>
        </is>
      </c>
      <c r="C333" t="inlineStr">
        <is>
          <t>10G SFP+</t>
        </is>
      </c>
      <c r="D333" t="n">
        <v>10000</v>
      </c>
      <c r="E333" t="inlineStr">
        <is>
          <t>admin-down</t>
        </is>
      </c>
    </row>
    <row r="334">
      <c r="A334" t="inlineStr">
        <is>
          <t>MH-DC-001-MMR-SW-02</t>
        </is>
      </c>
      <c r="B334" t="inlineStr">
        <is>
          <t>Hu0/0/1/0</t>
        </is>
      </c>
      <c r="C334" t="inlineStr">
        <is>
          <t>100G QSFP28</t>
        </is>
      </c>
      <c r="D334" t="n">
        <v>100000</v>
      </c>
      <c r="E334" t="inlineStr">
        <is>
          <t>up</t>
        </is>
      </c>
      <c r="F334" t="inlineStr">
        <is>
          <t>Uplink to MH-DC-001-AGG-R02</t>
        </is>
      </c>
      <c r="G334" t="inlineStr">
        <is>
          <t>QSFP28-100G-LR4</t>
        </is>
      </c>
    </row>
    <row r="335">
      <c r="A335" t="inlineStr">
        <is>
          <t>MH-DC-001-MMR-SW-02</t>
        </is>
      </c>
      <c r="B335" t="inlineStr">
        <is>
          <t>Hu0/0/1/1</t>
        </is>
      </c>
      <c r="C335" t="inlineStr">
        <is>
          <t>100G QSFP28</t>
        </is>
      </c>
      <c r="D335" t="n">
        <v>100000</v>
      </c>
      <c r="E335" t="inlineStr">
        <is>
          <t>up</t>
        </is>
      </c>
      <c r="F335" t="inlineStr">
        <is>
          <t>Uplink to MH-DC-001-AGG-R02</t>
        </is>
      </c>
      <c r="G335" t="inlineStr">
        <is>
          <t>QSFP28-100G-LR4</t>
        </is>
      </c>
    </row>
    <row r="336">
      <c r="A336" t="inlineStr">
        <is>
          <t>MH-DC-001-MMR-SW-02</t>
        </is>
      </c>
      <c r="B336" t="inlineStr">
        <is>
          <t>Hu0/0/1/2</t>
        </is>
      </c>
      <c r="C336" t="inlineStr">
        <is>
          <t>100G QSFP28</t>
        </is>
      </c>
      <c r="D336" t="n">
        <v>100000</v>
      </c>
      <c r="E336" t="inlineStr">
        <is>
          <t>admin-down</t>
        </is>
      </c>
    </row>
    <row r="337">
      <c r="A337" t="inlineStr">
        <is>
          <t>MH-DC-001-MMR-SW-02</t>
        </is>
      </c>
      <c r="B337" t="inlineStr">
        <is>
          <t>Hu0/0/1/3</t>
        </is>
      </c>
      <c r="C337" t="inlineStr">
        <is>
          <t>100G QSFP28</t>
        </is>
      </c>
      <c r="D337" t="n">
        <v>100000</v>
      </c>
      <c r="E337" t="inlineStr">
        <is>
          <t>reserved</t>
        </is>
      </c>
    </row>
    <row r="338">
      <c r="A338" t="inlineStr">
        <is>
          <t>MH-DC-001-MMR-SW-03</t>
        </is>
      </c>
      <c r="B338" t="inlineStr">
        <is>
          <t>Te0/0/0/0</t>
        </is>
      </c>
      <c r="C338" t="inlineStr">
        <is>
          <t>10G SFP+</t>
        </is>
      </c>
      <c r="D338" t="n">
        <v>10000</v>
      </c>
      <c r="E338" t="inlineStr">
        <is>
          <t>up</t>
        </is>
      </c>
      <c r="F338" t="inlineStr">
        <is>
          <t>Access to MH-DC-001-TOR-002</t>
        </is>
      </c>
      <c r="G338" t="inlineStr">
        <is>
          <t>SFP-10G-LR</t>
        </is>
      </c>
    </row>
    <row r="339">
      <c r="A339" t="inlineStr">
        <is>
          <t>MH-DC-001-MMR-SW-03</t>
        </is>
      </c>
      <c r="B339" t="inlineStr">
        <is>
          <t>Te0/0/0/1</t>
        </is>
      </c>
      <c r="C339" t="inlineStr">
        <is>
          <t>10G SFP+</t>
        </is>
      </c>
      <c r="D339" t="n">
        <v>10000</v>
      </c>
      <c r="E339" t="inlineStr">
        <is>
          <t>up</t>
        </is>
      </c>
      <c r="F339" t="inlineStr">
        <is>
          <t>Access to MH-DC-001-TOR-003</t>
        </is>
      </c>
      <c r="G339" t="inlineStr">
        <is>
          <t>SFP-10G-LR</t>
        </is>
      </c>
    </row>
    <row r="340">
      <c r="A340" t="inlineStr">
        <is>
          <t>MH-DC-001-MMR-SW-03</t>
        </is>
      </c>
      <c r="B340" t="inlineStr">
        <is>
          <t>Te0/0/0/2</t>
        </is>
      </c>
      <c r="C340" t="inlineStr">
        <is>
          <t>10G SFP+</t>
        </is>
      </c>
      <c r="D340" t="n">
        <v>10000</v>
      </c>
      <c r="E340" t="inlineStr">
        <is>
          <t>admin-down</t>
        </is>
      </c>
    </row>
    <row r="341">
      <c r="A341" t="inlineStr">
        <is>
          <t>MH-DC-001-MMR-SW-03</t>
        </is>
      </c>
      <c r="B341" t="inlineStr">
        <is>
          <t>Te0/0/0/3</t>
        </is>
      </c>
      <c r="C341" t="inlineStr">
        <is>
          <t>10G SFP+</t>
        </is>
      </c>
      <c r="D341" t="n">
        <v>10000</v>
      </c>
      <c r="E341" t="inlineStr">
        <is>
          <t>up</t>
        </is>
      </c>
      <c r="F341" t="inlineStr">
        <is>
          <t>Server NIC</t>
        </is>
      </c>
    </row>
    <row r="342">
      <c r="A342" t="inlineStr">
        <is>
          <t>MH-DC-001-MMR-SW-03</t>
        </is>
      </c>
      <c r="B342" t="inlineStr">
        <is>
          <t>Te0/0/0/4</t>
        </is>
      </c>
      <c r="C342" t="inlineStr">
        <is>
          <t>10G SFP+</t>
        </is>
      </c>
      <c r="D342" t="n">
        <v>10000</v>
      </c>
      <c r="E342" t="inlineStr">
        <is>
          <t>up</t>
        </is>
      </c>
      <c r="F342" t="inlineStr">
        <is>
          <t>Server NIC</t>
        </is>
      </c>
    </row>
    <row r="343">
      <c r="A343" t="inlineStr">
        <is>
          <t>MH-DC-001-MMR-SW-03</t>
        </is>
      </c>
      <c r="B343" t="inlineStr">
        <is>
          <t>Te0/0/0/5</t>
        </is>
      </c>
      <c r="C343" t="inlineStr">
        <is>
          <t>10G SFP+</t>
        </is>
      </c>
      <c r="D343" t="n">
        <v>10000</v>
      </c>
      <c r="E343" t="inlineStr">
        <is>
          <t>up</t>
        </is>
      </c>
      <c r="F343" t="inlineStr">
        <is>
          <t>Server NIC</t>
        </is>
      </c>
    </row>
    <row r="344">
      <c r="A344" t="inlineStr">
        <is>
          <t>MH-DC-001-MMR-SW-03</t>
        </is>
      </c>
      <c r="B344" t="inlineStr">
        <is>
          <t>Te0/0/0/6</t>
        </is>
      </c>
      <c r="C344" t="inlineStr">
        <is>
          <t>10G SFP+</t>
        </is>
      </c>
      <c r="D344" t="n">
        <v>10000</v>
      </c>
      <c r="E344" t="inlineStr">
        <is>
          <t>up</t>
        </is>
      </c>
      <c r="F344" t="inlineStr">
        <is>
          <t>Server NIC</t>
        </is>
      </c>
    </row>
    <row r="345">
      <c r="A345" t="inlineStr">
        <is>
          <t>MH-DC-001-MMR-SW-03</t>
        </is>
      </c>
      <c r="B345" t="inlineStr">
        <is>
          <t>Te0/0/0/7</t>
        </is>
      </c>
      <c r="C345" t="inlineStr">
        <is>
          <t>10G SFP+</t>
        </is>
      </c>
      <c r="D345" t="n">
        <v>10000</v>
      </c>
      <c r="E345" t="inlineStr">
        <is>
          <t>up</t>
        </is>
      </c>
      <c r="F345" t="inlineStr">
        <is>
          <t>Server NIC</t>
        </is>
      </c>
    </row>
    <row r="346">
      <c r="A346" t="inlineStr">
        <is>
          <t>MH-DC-001-MMR-SW-03</t>
        </is>
      </c>
      <c r="B346" t="inlineStr">
        <is>
          <t>Te0/0/0/8</t>
        </is>
      </c>
      <c r="C346" t="inlineStr">
        <is>
          <t>10G SFP+</t>
        </is>
      </c>
      <c r="D346" t="n">
        <v>10000</v>
      </c>
      <c r="E346" t="inlineStr">
        <is>
          <t>admin-down</t>
        </is>
      </c>
    </row>
    <row r="347">
      <c r="A347" t="inlineStr">
        <is>
          <t>MH-DC-001-MMR-SW-03</t>
        </is>
      </c>
      <c r="B347" t="inlineStr">
        <is>
          <t>Te0/0/0/9</t>
        </is>
      </c>
      <c r="C347" t="inlineStr">
        <is>
          <t>10G SFP+</t>
        </is>
      </c>
      <c r="D347" t="n">
        <v>10000</v>
      </c>
      <c r="E347" t="inlineStr">
        <is>
          <t>up</t>
        </is>
      </c>
      <c r="F347" t="inlineStr">
        <is>
          <t>Server NIC</t>
        </is>
      </c>
    </row>
    <row r="348">
      <c r="A348" t="inlineStr">
        <is>
          <t>MH-DC-001-MMR-SW-03</t>
        </is>
      </c>
      <c r="B348" t="inlineStr">
        <is>
          <t>Te0/0/0/10</t>
        </is>
      </c>
      <c r="C348" t="inlineStr">
        <is>
          <t>10G SFP+</t>
        </is>
      </c>
      <c r="D348" t="n">
        <v>10000</v>
      </c>
      <c r="E348" t="inlineStr">
        <is>
          <t>up</t>
        </is>
      </c>
      <c r="F348" t="inlineStr">
        <is>
          <t>Server NIC</t>
        </is>
      </c>
    </row>
    <row r="349">
      <c r="A349" t="inlineStr">
        <is>
          <t>MH-DC-001-MMR-SW-03</t>
        </is>
      </c>
      <c r="B349" t="inlineStr">
        <is>
          <t>Te0/0/0/11</t>
        </is>
      </c>
      <c r="C349" t="inlineStr">
        <is>
          <t>10G SFP+</t>
        </is>
      </c>
      <c r="D349" t="n">
        <v>10000</v>
      </c>
      <c r="E349" t="inlineStr">
        <is>
          <t>admin-down</t>
        </is>
      </c>
    </row>
    <row r="350">
      <c r="A350" t="inlineStr">
        <is>
          <t>MH-DC-001-MMR-SW-03</t>
        </is>
      </c>
      <c r="B350" t="inlineStr">
        <is>
          <t>Te0/0/0/12</t>
        </is>
      </c>
      <c r="C350" t="inlineStr">
        <is>
          <t>10G SFP+</t>
        </is>
      </c>
      <c r="D350" t="n">
        <v>10000</v>
      </c>
      <c r="E350" t="inlineStr">
        <is>
          <t>up</t>
        </is>
      </c>
      <c r="F350" t="inlineStr">
        <is>
          <t>Server NIC</t>
        </is>
      </c>
    </row>
    <row r="351">
      <c r="A351" t="inlineStr">
        <is>
          <t>MH-DC-001-MMR-SW-03</t>
        </is>
      </c>
      <c r="B351" t="inlineStr">
        <is>
          <t>Te0/0/0/13</t>
        </is>
      </c>
      <c r="C351" t="inlineStr">
        <is>
          <t>10G SFP+</t>
        </is>
      </c>
      <c r="D351" t="n">
        <v>10000</v>
      </c>
      <c r="E351" t="inlineStr">
        <is>
          <t>up</t>
        </is>
      </c>
      <c r="F351" t="inlineStr">
        <is>
          <t>Server NIC</t>
        </is>
      </c>
    </row>
    <row r="352">
      <c r="A352" t="inlineStr">
        <is>
          <t>MH-DC-001-MMR-SW-03</t>
        </is>
      </c>
      <c r="B352" t="inlineStr">
        <is>
          <t>Te0/0/0/14</t>
        </is>
      </c>
      <c r="C352" t="inlineStr">
        <is>
          <t>10G SFP+</t>
        </is>
      </c>
      <c r="D352" t="n">
        <v>10000</v>
      </c>
      <c r="E352" t="inlineStr">
        <is>
          <t>up</t>
        </is>
      </c>
      <c r="F352" t="inlineStr">
        <is>
          <t>Server NIC</t>
        </is>
      </c>
    </row>
    <row r="353">
      <c r="A353" t="inlineStr">
        <is>
          <t>MH-DC-001-MMR-SW-03</t>
        </is>
      </c>
      <c r="B353" t="inlineStr">
        <is>
          <t>Te0/0/0/15</t>
        </is>
      </c>
      <c r="C353" t="inlineStr">
        <is>
          <t>10G SFP+</t>
        </is>
      </c>
      <c r="D353" t="n">
        <v>10000</v>
      </c>
      <c r="E353" t="inlineStr">
        <is>
          <t>up</t>
        </is>
      </c>
      <c r="F353" t="inlineStr">
        <is>
          <t>Server NIC</t>
        </is>
      </c>
    </row>
    <row r="354">
      <c r="A354" t="inlineStr">
        <is>
          <t>MH-DC-001-MMR-SW-03</t>
        </is>
      </c>
      <c r="B354" t="inlineStr">
        <is>
          <t>Te0/0/0/16</t>
        </is>
      </c>
      <c r="C354" t="inlineStr">
        <is>
          <t>10G SFP+</t>
        </is>
      </c>
      <c r="D354" t="n">
        <v>10000</v>
      </c>
      <c r="E354" t="inlineStr">
        <is>
          <t>admin-down</t>
        </is>
      </c>
    </row>
    <row r="355">
      <c r="A355" t="inlineStr">
        <is>
          <t>MH-DC-001-MMR-SW-03</t>
        </is>
      </c>
      <c r="B355" t="inlineStr">
        <is>
          <t>Te0/0/0/17</t>
        </is>
      </c>
      <c r="C355" t="inlineStr">
        <is>
          <t>10G SFP+</t>
        </is>
      </c>
      <c r="D355" t="n">
        <v>10000</v>
      </c>
      <c r="E355" t="inlineStr">
        <is>
          <t>admin-down</t>
        </is>
      </c>
    </row>
    <row r="356">
      <c r="A356" t="inlineStr">
        <is>
          <t>MH-DC-001-MMR-SW-03</t>
        </is>
      </c>
      <c r="B356" t="inlineStr">
        <is>
          <t>Te0/0/0/18</t>
        </is>
      </c>
      <c r="C356" t="inlineStr">
        <is>
          <t>10G SFP+</t>
        </is>
      </c>
      <c r="D356" t="n">
        <v>10000</v>
      </c>
      <c r="E356" t="inlineStr">
        <is>
          <t>up</t>
        </is>
      </c>
      <c r="F356" t="inlineStr">
        <is>
          <t>Server NIC</t>
        </is>
      </c>
    </row>
    <row r="357">
      <c r="A357" t="inlineStr">
        <is>
          <t>MH-DC-001-MMR-SW-03</t>
        </is>
      </c>
      <c r="B357" t="inlineStr">
        <is>
          <t>Te0/0/0/19</t>
        </is>
      </c>
      <c r="C357" t="inlineStr">
        <is>
          <t>10G SFP+</t>
        </is>
      </c>
      <c r="D357" t="n">
        <v>10000</v>
      </c>
      <c r="E357" t="inlineStr">
        <is>
          <t>up</t>
        </is>
      </c>
      <c r="F357" t="inlineStr">
        <is>
          <t>Server NIC</t>
        </is>
      </c>
    </row>
    <row r="358">
      <c r="A358" t="inlineStr">
        <is>
          <t>MH-DC-001-MMR-SW-03</t>
        </is>
      </c>
      <c r="B358" t="inlineStr">
        <is>
          <t>Te0/0/0/20</t>
        </is>
      </c>
      <c r="C358" t="inlineStr">
        <is>
          <t>10G SFP+</t>
        </is>
      </c>
      <c r="D358" t="n">
        <v>10000</v>
      </c>
      <c r="E358" t="inlineStr">
        <is>
          <t>admin-down</t>
        </is>
      </c>
    </row>
    <row r="359">
      <c r="A359" t="inlineStr">
        <is>
          <t>MH-DC-001-MMR-SW-03</t>
        </is>
      </c>
      <c r="B359" t="inlineStr">
        <is>
          <t>Te0/0/0/21</t>
        </is>
      </c>
      <c r="C359" t="inlineStr">
        <is>
          <t>10G SFP+</t>
        </is>
      </c>
      <c r="D359" t="n">
        <v>10000</v>
      </c>
      <c r="E359" t="inlineStr">
        <is>
          <t>up</t>
        </is>
      </c>
      <c r="F359" t="inlineStr">
        <is>
          <t>Server NIC</t>
        </is>
      </c>
    </row>
    <row r="360">
      <c r="A360" t="inlineStr">
        <is>
          <t>MH-DC-001-MMR-SW-03</t>
        </is>
      </c>
      <c r="B360" t="inlineStr">
        <is>
          <t>Te0/0/0/22</t>
        </is>
      </c>
      <c r="C360" t="inlineStr">
        <is>
          <t>10G SFP+</t>
        </is>
      </c>
      <c r="D360" t="n">
        <v>10000</v>
      </c>
      <c r="E360" t="inlineStr">
        <is>
          <t>up</t>
        </is>
      </c>
      <c r="F360" t="inlineStr">
        <is>
          <t>Server NIC</t>
        </is>
      </c>
    </row>
    <row r="361">
      <c r="A361" t="inlineStr">
        <is>
          <t>MH-DC-001-MMR-SW-03</t>
        </is>
      </c>
      <c r="B361" t="inlineStr">
        <is>
          <t>Te0/0/0/23</t>
        </is>
      </c>
      <c r="C361" t="inlineStr">
        <is>
          <t>10G SFP+</t>
        </is>
      </c>
      <c r="D361" t="n">
        <v>10000</v>
      </c>
      <c r="E361" t="inlineStr">
        <is>
          <t>up</t>
        </is>
      </c>
      <c r="F361" t="inlineStr">
        <is>
          <t>Server NIC</t>
        </is>
      </c>
    </row>
    <row r="362">
      <c r="A362" t="inlineStr">
        <is>
          <t>MH-DC-001-MMR-SW-03</t>
        </is>
      </c>
      <c r="B362" t="inlineStr">
        <is>
          <t>Te0/0/0/24</t>
        </is>
      </c>
      <c r="C362" t="inlineStr">
        <is>
          <t>10G SFP+</t>
        </is>
      </c>
      <c r="D362" t="n">
        <v>10000</v>
      </c>
      <c r="E362" t="inlineStr">
        <is>
          <t>up</t>
        </is>
      </c>
      <c r="F362" t="inlineStr">
        <is>
          <t>Server NIC</t>
        </is>
      </c>
    </row>
    <row r="363">
      <c r="A363" t="inlineStr">
        <is>
          <t>MH-DC-001-MMR-SW-03</t>
        </is>
      </c>
      <c r="B363" t="inlineStr">
        <is>
          <t>Te0/0/0/25</t>
        </is>
      </c>
      <c r="C363" t="inlineStr">
        <is>
          <t>10G SFP+</t>
        </is>
      </c>
      <c r="D363" t="n">
        <v>10000</v>
      </c>
      <c r="E363" t="inlineStr">
        <is>
          <t>up</t>
        </is>
      </c>
      <c r="F363" t="inlineStr">
        <is>
          <t>Server NIC</t>
        </is>
      </c>
    </row>
    <row r="364">
      <c r="A364" t="inlineStr">
        <is>
          <t>MH-DC-001-MMR-SW-03</t>
        </is>
      </c>
      <c r="B364" t="inlineStr">
        <is>
          <t>Te0/0/0/26</t>
        </is>
      </c>
      <c r="C364" t="inlineStr">
        <is>
          <t>10G SFP+</t>
        </is>
      </c>
      <c r="D364" t="n">
        <v>10000</v>
      </c>
      <c r="E364" t="inlineStr">
        <is>
          <t>up</t>
        </is>
      </c>
      <c r="F364" t="inlineStr">
        <is>
          <t>Server NIC</t>
        </is>
      </c>
    </row>
    <row r="365">
      <c r="A365" t="inlineStr">
        <is>
          <t>MH-DC-001-MMR-SW-03</t>
        </is>
      </c>
      <c r="B365" t="inlineStr">
        <is>
          <t>Te0/0/0/27</t>
        </is>
      </c>
      <c r="C365" t="inlineStr">
        <is>
          <t>10G SFP+</t>
        </is>
      </c>
      <c r="D365" t="n">
        <v>10000</v>
      </c>
      <c r="E365" t="inlineStr">
        <is>
          <t>admin-down</t>
        </is>
      </c>
    </row>
    <row r="366">
      <c r="A366" t="inlineStr">
        <is>
          <t>MH-DC-001-MMR-SW-03</t>
        </is>
      </c>
      <c r="B366" t="inlineStr">
        <is>
          <t>Te0/0/0/28</t>
        </is>
      </c>
      <c r="C366" t="inlineStr">
        <is>
          <t>10G SFP+</t>
        </is>
      </c>
      <c r="D366" t="n">
        <v>10000</v>
      </c>
      <c r="E366" t="inlineStr">
        <is>
          <t>admin-down</t>
        </is>
      </c>
    </row>
    <row r="367">
      <c r="A367" t="inlineStr">
        <is>
          <t>MH-DC-001-MMR-SW-03</t>
        </is>
      </c>
      <c r="B367" t="inlineStr">
        <is>
          <t>Te0/0/0/29</t>
        </is>
      </c>
      <c r="C367" t="inlineStr">
        <is>
          <t>10G SFP+</t>
        </is>
      </c>
      <c r="D367" t="n">
        <v>10000</v>
      </c>
      <c r="E367" t="inlineStr">
        <is>
          <t>up</t>
        </is>
      </c>
      <c r="F367" t="inlineStr">
        <is>
          <t>Server NIC</t>
        </is>
      </c>
    </row>
    <row r="368">
      <c r="A368" t="inlineStr">
        <is>
          <t>MH-DC-001-MMR-SW-03</t>
        </is>
      </c>
      <c r="B368" t="inlineStr">
        <is>
          <t>Te0/0/0/30</t>
        </is>
      </c>
      <c r="C368" t="inlineStr">
        <is>
          <t>10G SFP+</t>
        </is>
      </c>
      <c r="D368" t="n">
        <v>10000</v>
      </c>
      <c r="E368" t="inlineStr">
        <is>
          <t>admin-down</t>
        </is>
      </c>
    </row>
    <row r="369">
      <c r="A369" t="inlineStr">
        <is>
          <t>MH-DC-001-MMR-SW-03</t>
        </is>
      </c>
      <c r="B369" t="inlineStr">
        <is>
          <t>Te0/0/0/31</t>
        </is>
      </c>
      <c r="C369" t="inlineStr">
        <is>
          <t>10G SFP+</t>
        </is>
      </c>
      <c r="D369" t="n">
        <v>10000</v>
      </c>
      <c r="E369" t="inlineStr">
        <is>
          <t>up</t>
        </is>
      </c>
      <c r="F369" t="inlineStr">
        <is>
          <t>Server NIC</t>
        </is>
      </c>
    </row>
    <row r="370">
      <c r="A370" t="inlineStr">
        <is>
          <t>MH-DC-001-MMR-SW-03</t>
        </is>
      </c>
      <c r="B370" t="inlineStr">
        <is>
          <t>Te0/0/0/32</t>
        </is>
      </c>
      <c r="C370" t="inlineStr">
        <is>
          <t>10G SFP+</t>
        </is>
      </c>
      <c r="D370" t="n">
        <v>10000</v>
      </c>
      <c r="E370" t="inlineStr">
        <is>
          <t>up</t>
        </is>
      </c>
      <c r="F370" t="inlineStr">
        <is>
          <t>Server NIC</t>
        </is>
      </c>
    </row>
    <row r="371">
      <c r="A371" t="inlineStr">
        <is>
          <t>MH-DC-001-MMR-SW-03</t>
        </is>
      </c>
      <c r="B371" t="inlineStr">
        <is>
          <t>Te0/0/0/33</t>
        </is>
      </c>
      <c r="C371" t="inlineStr">
        <is>
          <t>10G SFP+</t>
        </is>
      </c>
      <c r="D371" t="n">
        <v>10000</v>
      </c>
      <c r="E371" t="inlineStr">
        <is>
          <t>up</t>
        </is>
      </c>
      <c r="F371" t="inlineStr">
        <is>
          <t>Server NIC</t>
        </is>
      </c>
    </row>
    <row r="372">
      <c r="A372" t="inlineStr">
        <is>
          <t>MH-DC-001-MMR-SW-03</t>
        </is>
      </c>
      <c r="B372" t="inlineStr">
        <is>
          <t>Te0/0/0/34</t>
        </is>
      </c>
      <c r="C372" t="inlineStr">
        <is>
          <t>10G SFP+</t>
        </is>
      </c>
      <c r="D372" t="n">
        <v>10000</v>
      </c>
      <c r="E372" t="inlineStr">
        <is>
          <t>admin-down</t>
        </is>
      </c>
    </row>
    <row r="373">
      <c r="A373" t="inlineStr">
        <is>
          <t>MH-DC-001-MMR-SW-03</t>
        </is>
      </c>
      <c r="B373" t="inlineStr">
        <is>
          <t>Te0/0/0/35</t>
        </is>
      </c>
      <c r="C373" t="inlineStr">
        <is>
          <t>10G SFP+</t>
        </is>
      </c>
      <c r="D373" t="n">
        <v>10000</v>
      </c>
      <c r="E373" t="inlineStr">
        <is>
          <t>admin-down</t>
        </is>
      </c>
    </row>
    <row r="374">
      <c r="A374" t="inlineStr">
        <is>
          <t>MH-DC-001-MMR-SW-03</t>
        </is>
      </c>
      <c r="B374" t="inlineStr">
        <is>
          <t>Te0/0/0/36</t>
        </is>
      </c>
      <c r="C374" t="inlineStr">
        <is>
          <t>10G SFP+</t>
        </is>
      </c>
      <c r="D374" t="n">
        <v>10000</v>
      </c>
      <c r="E374" t="inlineStr">
        <is>
          <t>up</t>
        </is>
      </c>
      <c r="F374" t="inlineStr">
        <is>
          <t>Server NIC</t>
        </is>
      </c>
    </row>
    <row r="375">
      <c r="A375" t="inlineStr">
        <is>
          <t>MH-DC-001-MMR-SW-03</t>
        </is>
      </c>
      <c r="B375" t="inlineStr">
        <is>
          <t>Te0/0/0/37</t>
        </is>
      </c>
      <c r="C375" t="inlineStr">
        <is>
          <t>10G SFP+</t>
        </is>
      </c>
      <c r="D375" t="n">
        <v>10000</v>
      </c>
      <c r="E375" t="inlineStr">
        <is>
          <t>up</t>
        </is>
      </c>
      <c r="F375" t="inlineStr">
        <is>
          <t>Server NIC</t>
        </is>
      </c>
    </row>
    <row r="376">
      <c r="A376" t="inlineStr">
        <is>
          <t>MH-DC-001-MMR-SW-03</t>
        </is>
      </c>
      <c r="B376" t="inlineStr">
        <is>
          <t>Te0/0/0/38</t>
        </is>
      </c>
      <c r="C376" t="inlineStr">
        <is>
          <t>10G SFP+</t>
        </is>
      </c>
      <c r="D376" t="n">
        <v>10000</v>
      </c>
      <c r="E376" t="inlineStr">
        <is>
          <t>up</t>
        </is>
      </c>
      <c r="F376" t="inlineStr">
        <is>
          <t>Server NIC</t>
        </is>
      </c>
    </row>
    <row r="377">
      <c r="A377" t="inlineStr">
        <is>
          <t>MH-DC-001-MMR-SW-03</t>
        </is>
      </c>
      <c r="B377" t="inlineStr">
        <is>
          <t>Te0/0/0/39</t>
        </is>
      </c>
      <c r="C377" t="inlineStr">
        <is>
          <t>10G SFP+</t>
        </is>
      </c>
      <c r="D377" t="n">
        <v>10000</v>
      </c>
      <c r="E377" t="inlineStr">
        <is>
          <t>admin-down</t>
        </is>
      </c>
    </row>
    <row r="378">
      <c r="A378" t="inlineStr">
        <is>
          <t>MH-DC-001-MMR-SW-03</t>
        </is>
      </c>
      <c r="B378" t="inlineStr">
        <is>
          <t>Te0/0/0/40</t>
        </is>
      </c>
      <c r="C378" t="inlineStr">
        <is>
          <t>10G SFP+</t>
        </is>
      </c>
      <c r="D378" t="n">
        <v>10000</v>
      </c>
      <c r="E378" t="inlineStr">
        <is>
          <t>up</t>
        </is>
      </c>
      <c r="F378" t="inlineStr">
        <is>
          <t>Server NIC</t>
        </is>
      </c>
    </row>
    <row r="379">
      <c r="A379" t="inlineStr">
        <is>
          <t>MH-DC-001-MMR-SW-03</t>
        </is>
      </c>
      <c r="B379" t="inlineStr">
        <is>
          <t>Te0/0/0/41</t>
        </is>
      </c>
      <c r="C379" t="inlineStr">
        <is>
          <t>10G SFP+</t>
        </is>
      </c>
      <c r="D379" t="n">
        <v>10000</v>
      </c>
      <c r="E379" t="inlineStr">
        <is>
          <t>up</t>
        </is>
      </c>
      <c r="F379" t="inlineStr">
        <is>
          <t>Server NIC</t>
        </is>
      </c>
    </row>
    <row r="380">
      <c r="A380" t="inlineStr">
        <is>
          <t>MH-DC-001-MMR-SW-03</t>
        </is>
      </c>
      <c r="B380" t="inlineStr">
        <is>
          <t>Te0/0/0/42</t>
        </is>
      </c>
      <c r="C380" t="inlineStr">
        <is>
          <t>10G SFP+</t>
        </is>
      </c>
      <c r="D380" t="n">
        <v>10000</v>
      </c>
      <c r="E380" t="inlineStr">
        <is>
          <t>admin-down</t>
        </is>
      </c>
    </row>
    <row r="381">
      <c r="A381" t="inlineStr">
        <is>
          <t>MH-DC-001-MMR-SW-03</t>
        </is>
      </c>
      <c r="B381" t="inlineStr">
        <is>
          <t>Te0/0/0/43</t>
        </is>
      </c>
      <c r="C381" t="inlineStr">
        <is>
          <t>10G SFP+</t>
        </is>
      </c>
      <c r="D381" t="n">
        <v>10000</v>
      </c>
      <c r="E381" t="inlineStr">
        <is>
          <t>up</t>
        </is>
      </c>
      <c r="F381" t="inlineStr">
        <is>
          <t>Server NIC</t>
        </is>
      </c>
    </row>
    <row r="382">
      <c r="A382" t="inlineStr">
        <is>
          <t>MH-DC-001-MMR-SW-03</t>
        </is>
      </c>
      <c r="B382" t="inlineStr">
        <is>
          <t>Te0/0/0/44</t>
        </is>
      </c>
      <c r="C382" t="inlineStr">
        <is>
          <t>10G SFP+</t>
        </is>
      </c>
      <c r="D382" t="n">
        <v>10000</v>
      </c>
      <c r="E382" t="inlineStr">
        <is>
          <t>up</t>
        </is>
      </c>
      <c r="F382" t="inlineStr">
        <is>
          <t>Server NIC</t>
        </is>
      </c>
    </row>
    <row r="383">
      <c r="A383" t="inlineStr">
        <is>
          <t>MH-DC-001-MMR-SW-03</t>
        </is>
      </c>
      <c r="B383" t="inlineStr">
        <is>
          <t>Te0/0/0/45</t>
        </is>
      </c>
      <c r="C383" t="inlineStr">
        <is>
          <t>10G SFP+</t>
        </is>
      </c>
      <c r="D383" t="n">
        <v>10000</v>
      </c>
      <c r="E383" t="inlineStr">
        <is>
          <t>up</t>
        </is>
      </c>
      <c r="F383" t="inlineStr">
        <is>
          <t>Server NIC</t>
        </is>
      </c>
    </row>
    <row r="384">
      <c r="A384" t="inlineStr">
        <is>
          <t>MH-DC-001-MMR-SW-03</t>
        </is>
      </c>
      <c r="B384" t="inlineStr">
        <is>
          <t>Te0/0/0/46</t>
        </is>
      </c>
      <c r="C384" t="inlineStr">
        <is>
          <t>10G SFP+</t>
        </is>
      </c>
      <c r="D384" t="n">
        <v>10000</v>
      </c>
      <c r="E384" t="inlineStr">
        <is>
          <t>up</t>
        </is>
      </c>
      <c r="F384" t="inlineStr">
        <is>
          <t>Server NIC</t>
        </is>
      </c>
    </row>
    <row r="385">
      <c r="A385" t="inlineStr">
        <is>
          <t>MH-DC-001-MMR-SW-03</t>
        </is>
      </c>
      <c r="B385" t="inlineStr">
        <is>
          <t>Te0/0/0/47</t>
        </is>
      </c>
      <c r="C385" t="inlineStr">
        <is>
          <t>10G SFP+</t>
        </is>
      </c>
      <c r="D385" t="n">
        <v>10000</v>
      </c>
      <c r="E385" t="inlineStr">
        <is>
          <t>admin-down</t>
        </is>
      </c>
    </row>
    <row r="386">
      <c r="A386" t="inlineStr">
        <is>
          <t>MH-DC-001-MMR-SW-03</t>
        </is>
      </c>
      <c r="B386" t="inlineStr">
        <is>
          <t>Hu0/0/1/0</t>
        </is>
      </c>
      <c r="C386" t="inlineStr">
        <is>
          <t>100G QSFP28</t>
        </is>
      </c>
      <c r="D386" t="n">
        <v>100000</v>
      </c>
      <c r="E386" t="inlineStr">
        <is>
          <t>up</t>
        </is>
      </c>
      <c r="F386" t="inlineStr">
        <is>
          <t>Uplink to MH-DC-001-AGG-R03</t>
        </is>
      </c>
      <c r="G386" t="inlineStr">
        <is>
          <t>QSFP28-100G-LR4</t>
        </is>
      </c>
    </row>
    <row r="387">
      <c r="A387" t="inlineStr">
        <is>
          <t>MH-DC-001-MMR-SW-03</t>
        </is>
      </c>
      <c r="B387" t="inlineStr">
        <is>
          <t>Hu0/0/1/1</t>
        </is>
      </c>
      <c r="C387" t="inlineStr">
        <is>
          <t>100G QSFP28</t>
        </is>
      </c>
      <c r="D387" t="n">
        <v>100000</v>
      </c>
      <c r="E387" t="inlineStr">
        <is>
          <t>up</t>
        </is>
      </c>
      <c r="F387" t="inlineStr">
        <is>
          <t>Uplink to MH-DC-001-AGG-R03</t>
        </is>
      </c>
      <c r="G387" t="inlineStr">
        <is>
          <t>QSFP28-100G-LR4</t>
        </is>
      </c>
    </row>
    <row r="388">
      <c r="A388" t="inlineStr">
        <is>
          <t>MH-DC-001-MMR-SW-03</t>
        </is>
      </c>
      <c r="B388" t="inlineStr">
        <is>
          <t>Hu0/0/1/2</t>
        </is>
      </c>
      <c r="C388" t="inlineStr">
        <is>
          <t>100G QSFP28</t>
        </is>
      </c>
      <c r="D388" t="n">
        <v>100000</v>
      </c>
      <c r="E388" t="inlineStr">
        <is>
          <t>admin-down</t>
        </is>
      </c>
    </row>
    <row r="389">
      <c r="A389" t="inlineStr">
        <is>
          <t>MH-DC-001-MMR-SW-03</t>
        </is>
      </c>
      <c r="B389" t="inlineStr">
        <is>
          <t>Hu0/0/1/3</t>
        </is>
      </c>
      <c r="C389" t="inlineStr">
        <is>
          <t>100G QSFP28</t>
        </is>
      </c>
      <c r="D389" t="n">
        <v>100000</v>
      </c>
      <c r="E389" t="inlineStr">
        <is>
          <t>admin-down</t>
        </is>
      </c>
    </row>
    <row r="390">
      <c r="A390" t="inlineStr">
        <is>
          <t>MH-DC-001-MMR-SW-04</t>
        </is>
      </c>
      <c r="B390" t="inlineStr">
        <is>
          <t>Te0/0/0/0</t>
        </is>
      </c>
      <c r="C390" t="inlineStr">
        <is>
          <t>10G SFP+</t>
        </is>
      </c>
      <c r="D390" t="n">
        <v>10000</v>
      </c>
      <c r="E390" t="inlineStr">
        <is>
          <t>up</t>
        </is>
      </c>
      <c r="F390" t="inlineStr">
        <is>
          <t>Access to MH-DC-001-TOR-003</t>
        </is>
      </c>
      <c r="G390" t="inlineStr">
        <is>
          <t>SFP-10G-LR</t>
        </is>
      </c>
    </row>
    <row r="391">
      <c r="A391" t="inlineStr">
        <is>
          <t>MH-DC-001-MMR-SW-04</t>
        </is>
      </c>
      <c r="B391" t="inlineStr">
        <is>
          <t>Te0/0/0/1</t>
        </is>
      </c>
      <c r="C391" t="inlineStr">
        <is>
          <t>10G SFP+</t>
        </is>
      </c>
      <c r="D391" t="n">
        <v>10000</v>
      </c>
      <c r="E391" t="inlineStr">
        <is>
          <t>up</t>
        </is>
      </c>
      <c r="F391" t="inlineStr">
        <is>
          <t>Access to MH-DC-001-TOR-004</t>
        </is>
      </c>
      <c r="G391" t="inlineStr">
        <is>
          <t>SFP-10G-LR</t>
        </is>
      </c>
    </row>
    <row r="392">
      <c r="A392" t="inlineStr">
        <is>
          <t>MH-DC-001-MMR-SW-04</t>
        </is>
      </c>
      <c r="B392" t="inlineStr">
        <is>
          <t>Te0/0/0/2</t>
        </is>
      </c>
      <c r="C392" t="inlineStr">
        <is>
          <t>10G SFP+</t>
        </is>
      </c>
      <c r="D392" t="n">
        <v>10000</v>
      </c>
      <c r="E392" t="inlineStr">
        <is>
          <t>up</t>
        </is>
      </c>
      <c r="F392" t="inlineStr">
        <is>
          <t>Server NIC</t>
        </is>
      </c>
    </row>
    <row r="393">
      <c r="A393" t="inlineStr">
        <is>
          <t>MH-DC-001-MMR-SW-04</t>
        </is>
      </c>
      <c r="B393" t="inlineStr">
        <is>
          <t>Te0/0/0/3</t>
        </is>
      </c>
      <c r="C393" t="inlineStr">
        <is>
          <t>10G SFP+</t>
        </is>
      </c>
      <c r="D393" t="n">
        <v>10000</v>
      </c>
      <c r="E393" t="inlineStr">
        <is>
          <t>up</t>
        </is>
      </c>
      <c r="F393" t="inlineStr">
        <is>
          <t>Server NIC</t>
        </is>
      </c>
    </row>
    <row r="394">
      <c r="A394" t="inlineStr">
        <is>
          <t>MH-DC-001-MMR-SW-04</t>
        </is>
      </c>
      <c r="B394" t="inlineStr">
        <is>
          <t>Te0/0/0/4</t>
        </is>
      </c>
      <c r="C394" t="inlineStr">
        <is>
          <t>10G SFP+</t>
        </is>
      </c>
      <c r="D394" t="n">
        <v>10000</v>
      </c>
      <c r="E394" t="inlineStr">
        <is>
          <t>up</t>
        </is>
      </c>
      <c r="F394" t="inlineStr">
        <is>
          <t>Server NIC</t>
        </is>
      </c>
    </row>
    <row r="395">
      <c r="A395" t="inlineStr">
        <is>
          <t>MH-DC-001-MMR-SW-04</t>
        </is>
      </c>
      <c r="B395" t="inlineStr">
        <is>
          <t>Te0/0/0/5</t>
        </is>
      </c>
      <c r="C395" t="inlineStr">
        <is>
          <t>10G SFP+</t>
        </is>
      </c>
      <c r="D395" t="n">
        <v>10000</v>
      </c>
      <c r="E395" t="inlineStr">
        <is>
          <t>up</t>
        </is>
      </c>
      <c r="F395" t="inlineStr">
        <is>
          <t>Server NIC</t>
        </is>
      </c>
    </row>
    <row r="396">
      <c r="A396" t="inlineStr">
        <is>
          <t>MH-DC-001-MMR-SW-04</t>
        </is>
      </c>
      <c r="B396" t="inlineStr">
        <is>
          <t>Te0/0/0/6</t>
        </is>
      </c>
      <c r="C396" t="inlineStr">
        <is>
          <t>10G SFP+</t>
        </is>
      </c>
      <c r="D396" t="n">
        <v>10000</v>
      </c>
      <c r="E396" t="inlineStr">
        <is>
          <t>up</t>
        </is>
      </c>
      <c r="F396" t="inlineStr">
        <is>
          <t>Server NIC</t>
        </is>
      </c>
    </row>
    <row r="397">
      <c r="A397" t="inlineStr">
        <is>
          <t>MH-DC-001-MMR-SW-04</t>
        </is>
      </c>
      <c r="B397" t="inlineStr">
        <is>
          <t>Te0/0/0/7</t>
        </is>
      </c>
      <c r="C397" t="inlineStr">
        <is>
          <t>10G SFP+</t>
        </is>
      </c>
      <c r="D397" t="n">
        <v>10000</v>
      </c>
      <c r="E397" t="inlineStr">
        <is>
          <t>up</t>
        </is>
      </c>
      <c r="F397" t="inlineStr">
        <is>
          <t>Server NIC</t>
        </is>
      </c>
    </row>
    <row r="398">
      <c r="A398" t="inlineStr">
        <is>
          <t>MH-DC-001-MMR-SW-04</t>
        </is>
      </c>
      <c r="B398" t="inlineStr">
        <is>
          <t>Te0/0/0/8</t>
        </is>
      </c>
      <c r="C398" t="inlineStr">
        <is>
          <t>10G SFP+</t>
        </is>
      </c>
      <c r="D398" t="n">
        <v>10000</v>
      </c>
      <c r="E398" t="inlineStr">
        <is>
          <t>admin-down</t>
        </is>
      </c>
    </row>
    <row r="399">
      <c r="A399" t="inlineStr">
        <is>
          <t>MH-DC-001-MMR-SW-04</t>
        </is>
      </c>
      <c r="B399" t="inlineStr">
        <is>
          <t>Te0/0/0/9</t>
        </is>
      </c>
      <c r="C399" t="inlineStr">
        <is>
          <t>10G SFP+</t>
        </is>
      </c>
      <c r="D399" t="n">
        <v>10000</v>
      </c>
      <c r="E399" t="inlineStr">
        <is>
          <t>admin-down</t>
        </is>
      </c>
    </row>
    <row r="400">
      <c r="A400" t="inlineStr">
        <is>
          <t>MH-DC-001-MMR-SW-04</t>
        </is>
      </c>
      <c r="B400" t="inlineStr">
        <is>
          <t>Te0/0/0/10</t>
        </is>
      </c>
      <c r="C400" t="inlineStr">
        <is>
          <t>10G SFP+</t>
        </is>
      </c>
      <c r="D400" t="n">
        <v>10000</v>
      </c>
      <c r="E400" t="inlineStr">
        <is>
          <t>admin-down</t>
        </is>
      </c>
    </row>
    <row r="401">
      <c r="A401" t="inlineStr">
        <is>
          <t>MH-DC-001-MMR-SW-04</t>
        </is>
      </c>
      <c r="B401" t="inlineStr">
        <is>
          <t>Te0/0/0/11</t>
        </is>
      </c>
      <c r="C401" t="inlineStr">
        <is>
          <t>10G SFP+</t>
        </is>
      </c>
      <c r="D401" t="n">
        <v>10000</v>
      </c>
      <c r="E401" t="inlineStr">
        <is>
          <t>up</t>
        </is>
      </c>
      <c r="F401" t="inlineStr">
        <is>
          <t>Server NIC</t>
        </is>
      </c>
    </row>
    <row r="402">
      <c r="A402" t="inlineStr">
        <is>
          <t>MH-DC-001-MMR-SW-04</t>
        </is>
      </c>
      <c r="B402" t="inlineStr">
        <is>
          <t>Te0/0/0/12</t>
        </is>
      </c>
      <c r="C402" t="inlineStr">
        <is>
          <t>10G SFP+</t>
        </is>
      </c>
      <c r="D402" t="n">
        <v>10000</v>
      </c>
      <c r="E402" t="inlineStr">
        <is>
          <t>up</t>
        </is>
      </c>
      <c r="F402" t="inlineStr">
        <is>
          <t>Server NIC</t>
        </is>
      </c>
    </row>
    <row r="403">
      <c r="A403" t="inlineStr">
        <is>
          <t>MH-DC-001-MMR-SW-04</t>
        </is>
      </c>
      <c r="B403" t="inlineStr">
        <is>
          <t>Te0/0/0/13</t>
        </is>
      </c>
      <c r="C403" t="inlineStr">
        <is>
          <t>10G SFP+</t>
        </is>
      </c>
      <c r="D403" t="n">
        <v>10000</v>
      </c>
      <c r="E403" t="inlineStr">
        <is>
          <t>admin-down</t>
        </is>
      </c>
    </row>
    <row r="404">
      <c r="A404" t="inlineStr">
        <is>
          <t>MH-DC-001-MMR-SW-04</t>
        </is>
      </c>
      <c r="B404" t="inlineStr">
        <is>
          <t>Te0/0/0/14</t>
        </is>
      </c>
      <c r="C404" t="inlineStr">
        <is>
          <t>10G SFP+</t>
        </is>
      </c>
      <c r="D404" t="n">
        <v>10000</v>
      </c>
      <c r="E404" t="inlineStr">
        <is>
          <t>admin-down</t>
        </is>
      </c>
    </row>
    <row r="405">
      <c r="A405" t="inlineStr">
        <is>
          <t>MH-DC-001-MMR-SW-04</t>
        </is>
      </c>
      <c r="B405" t="inlineStr">
        <is>
          <t>Te0/0/0/15</t>
        </is>
      </c>
      <c r="C405" t="inlineStr">
        <is>
          <t>10G SFP+</t>
        </is>
      </c>
      <c r="D405" t="n">
        <v>10000</v>
      </c>
      <c r="E405" t="inlineStr">
        <is>
          <t>up</t>
        </is>
      </c>
      <c r="F405" t="inlineStr">
        <is>
          <t>Server NIC</t>
        </is>
      </c>
    </row>
    <row r="406">
      <c r="A406" t="inlineStr">
        <is>
          <t>MH-DC-001-MMR-SW-04</t>
        </is>
      </c>
      <c r="B406" t="inlineStr">
        <is>
          <t>Te0/0/0/16</t>
        </is>
      </c>
      <c r="C406" t="inlineStr">
        <is>
          <t>10G SFP+</t>
        </is>
      </c>
      <c r="D406" t="n">
        <v>10000</v>
      </c>
      <c r="E406" t="inlineStr">
        <is>
          <t>up</t>
        </is>
      </c>
      <c r="F406" t="inlineStr">
        <is>
          <t>Server NIC</t>
        </is>
      </c>
    </row>
    <row r="407">
      <c r="A407" t="inlineStr">
        <is>
          <t>MH-DC-001-MMR-SW-04</t>
        </is>
      </c>
      <c r="B407" t="inlineStr">
        <is>
          <t>Te0/0/0/17</t>
        </is>
      </c>
      <c r="C407" t="inlineStr">
        <is>
          <t>10G SFP+</t>
        </is>
      </c>
      <c r="D407" t="n">
        <v>10000</v>
      </c>
      <c r="E407" t="inlineStr">
        <is>
          <t>up</t>
        </is>
      </c>
      <c r="F407" t="inlineStr">
        <is>
          <t>Server NIC</t>
        </is>
      </c>
    </row>
    <row r="408">
      <c r="A408" t="inlineStr">
        <is>
          <t>MH-DC-001-MMR-SW-04</t>
        </is>
      </c>
      <c r="B408" t="inlineStr">
        <is>
          <t>Te0/0/0/18</t>
        </is>
      </c>
      <c r="C408" t="inlineStr">
        <is>
          <t>10G SFP+</t>
        </is>
      </c>
      <c r="D408" t="n">
        <v>10000</v>
      </c>
      <c r="E408" t="inlineStr">
        <is>
          <t>admin-down</t>
        </is>
      </c>
    </row>
    <row r="409">
      <c r="A409" t="inlineStr">
        <is>
          <t>MH-DC-001-MMR-SW-04</t>
        </is>
      </c>
      <c r="B409" t="inlineStr">
        <is>
          <t>Te0/0/0/19</t>
        </is>
      </c>
      <c r="C409" t="inlineStr">
        <is>
          <t>10G SFP+</t>
        </is>
      </c>
      <c r="D409" t="n">
        <v>10000</v>
      </c>
      <c r="E409" t="inlineStr">
        <is>
          <t>admin-down</t>
        </is>
      </c>
    </row>
    <row r="410">
      <c r="A410" t="inlineStr">
        <is>
          <t>MH-DC-001-MMR-SW-04</t>
        </is>
      </c>
      <c r="B410" t="inlineStr">
        <is>
          <t>Te0/0/0/20</t>
        </is>
      </c>
      <c r="C410" t="inlineStr">
        <is>
          <t>10G SFP+</t>
        </is>
      </c>
      <c r="D410" t="n">
        <v>10000</v>
      </c>
      <c r="E410" t="inlineStr">
        <is>
          <t>up</t>
        </is>
      </c>
      <c r="F410" t="inlineStr">
        <is>
          <t>Server NIC</t>
        </is>
      </c>
    </row>
    <row r="411">
      <c r="A411" t="inlineStr">
        <is>
          <t>MH-DC-001-MMR-SW-04</t>
        </is>
      </c>
      <c r="B411" t="inlineStr">
        <is>
          <t>Te0/0/0/21</t>
        </is>
      </c>
      <c r="C411" t="inlineStr">
        <is>
          <t>10G SFP+</t>
        </is>
      </c>
      <c r="D411" t="n">
        <v>10000</v>
      </c>
      <c r="E411" t="inlineStr">
        <is>
          <t>admin-down</t>
        </is>
      </c>
    </row>
    <row r="412">
      <c r="A412" t="inlineStr">
        <is>
          <t>MH-DC-001-MMR-SW-04</t>
        </is>
      </c>
      <c r="B412" t="inlineStr">
        <is>
          <t>Te0/0/0/22</t>
        </is>
      </c>
      <c r="C412" t="inlineStr">
        <is>
          <t>10G SFP+</t>
        </is>
      </c>
      <c r="D412" t="n">
        <v>10000</v>
      </c>
      <c r="E412" t="inlineStr">
        <is>
          <t>admin-down</t>
        </is>
      </c>
    </row>
    <row r="413">
      <c r="A413" t="inlineStr">
        <is>
          <t>MH-DC-001-MMR-SW-04</t>
        </is>
      </c>
      <c r="B413" t="inlineStr">
        <is>
          <t>Te0/0/0/23</t>
        </is>
      </c>
      <c r="C413" t="inlineStr">
        <is>
          <t>10G SFP+</t>
        </is>
      </c>
      <c r="D413" t="n">
        <v>10000</v>
      </c>
      <c r="E413" t="inlineStr">
        <is>
          <t>up</t>
        </is>
      </c>
      <c r="F413" t="inlineStr">
        <is>
          <t>Server NIC</t>
        </is>
      </c>
    </row>
    <row r="414">
      <c r="A414" t="inlineStr">
        <is>
          <t>MH-DC-001-MMR-SW-04</t>
        </is>
      </c>
      <c r="B414" t="inlineStr">
        <is>
          <t>Te0/0/0/24</t>
        </is>
      </c>
      <c r="C414" t="inlineStr">
        <is>
          <t>10G SFP+</t>
        </is>
      </c>
      <c r="D414" t="n">
        <v>10000</v>
      </c>
      <c r="E414" t="inlineStr">
        <is>
          <t>up</t>
        </is>
      </c>
      <c r="F414" t="inlineStr">
        <is>
          <t>Server NIC</t>
        </is>
      </c>
    </row>
    <row r="415">
      <c r="A415" t="inlineStr">
        <is>
          <t>MH-DC-001-MMR-SW-04</t>
        </is>
      </c>
      <c r="B415" t="inlineStr">
        <is>
          <t>Te0/0/0/25</t>
        </is>
      </c>
      <c r="C415" t="inlineStr">
        <is>
          <t>10G SFP+</t>
        </is>
      </c>
      <c r="D415" t="n">
        <v>10000</v>
      </c>
      <c r="E415" t="inlineStr">
        <is>
          <t>admin-down</t>
        </is>
      </c>
    </row>
    <row r="416">
      <c r="A416" t="inlineStr">
        <is>
          <t>MH-DC-001-MMR-SW-04</t>
        </is>
      </c>
      <c r="B416" t="inlineStr">
        <is>
          <t>Te0/0/0/26</t>
        </is>
      </c>
      <c r="C416" t="inlineStr">
        <is>
          <t>10G SFP+</t>
        </is>
      </c>
      <c r="D416" t="n">
        <v>10000</v>
      </c>
      <c r="E416" t="inlineStr">
        <is>
          <t>up</t>
        </is>
      </c>
      <c r="F416" t="inlineStr">
        <is>
          <t>Server NIC</t>
        </is>
      </c>
    </row>
    <row r="417">
      <c r="A417" t="inlineStr">
        <is>
          <t>MH-DC-001-MMR-SW-04</t>
        </is>
      </c>
      <c r="B417" t="inlineStr">
        <is>
          <t>Te0/0/0/27</t>
        </is>
      </c>
      <c r="C417" t="inlineStr">
        <is>
          <t>10G SFP+</t>
        </is>
      </c>
      <c r="D417" t="n">
        <v>10000</v>
      </c>
      <c r="E417" t="inlineStr">
        <is>
          <t>up</t>
        </is>
      </c>
      <c r="F417" t="inlineStr">
        <is>
          <t>Server NIC</t>
        </is>
      </c>
    </row>
    <row r="418">
      <c r="A418" t="inlineStr">
        <is>
          <t>MH-DC-001-MMR-SW-04</t>
        </is>
      </c>
      <c r="B418" t="inlineStr">
        <is>
          <t>Te0/0/0/28</t>
        </is>
      </c>
      <c r="C418" t="inlineStr">
        <is>
          <t>10G SFP+</t>
        </is>
      </c>
      <c r="D418" t="n">
        <v>10000</v>
      </c>
      <c r="E418" t="inlineStr">
        <is>
          <t>up</t>
        </is>
      </c>
      <c r="F418" t="inlineStr">
        <is>
          <t>Server NIC</t>
        </is>
      </c>
    </row>
    <row r="419">
      <c r="A419" t="inlineStr">
        <is>
          <t>MH-DC-001-MMR-SW-04</t>
        </is>
      </c>
      <c r="B419" t="inlineStr">
        <is>
          <t>Te0/0/0/29</t>
        </is>
      </c>
      <c r="C419" t="inlineStr">
        <is>
          <t>10G SFP+</t>
        </is>
      </c>
      <c r="D419" t="n">
        <v>10000</v>
      </c>
      <c r="E419" t="inlineStr">
        <is>
          <t>admin-down</t>
        </is>
      </c>
    </row>
    <row r="420">
      <c r="A420" t="inlineStr">
        <is>
          <t>MH-DC-001-MMR-SW-04</t>
        </is>
      </c>
      <c r="B420" t="inlineStr">
        <is>
          <t>Te0/0/0/30</t>
        </is>
      </c>
      <c r="C420" t="inlineStr">
        <is>
          <t>10G SFP+</t>
        </is>
      </c>
      <c r="D420" t="n">
        <v>10000</v>
      </c>
      <c r="E420" t="inlineStr">
        <is>
          <t>up</t>
        </is>
      </c>
      <c r="F420" t="inlineStr">
        <is>
          <t>Server NIC</t>
        </is>
      </c>
    </row>
    <row r="421">
      <c r="A421" t="inlineStr">
        <is>
          <t>MH-DC-001-MMR-SW-04</t>
        </is>
      </c>
      <c r="B421" t="inlineStr">
        <is>
          <t>Te0/0/0/31</t>
        </is>
      </c>
      <c r="C421" t="inlineStr">
        <is>
          <t>10G SFP+</t>
        </is>
      </c>
      <c r="D421" t="n">
        <v>10000</v>
      </c>
      <c r="E421" t="inlineStr">
        <is>
          <t>up</t>
        </is>
      </c>
      <c r="F421" t="inlineStr">
        <is>
          <t>Server NIC</t>
        </is>
      </c>
    </row>
    <row r="422">
      <c r="A422" t="inlineStr">
        <is>
          <t>MH-DC-001-MMR-SW-04</t>
        </is>
      </c>
      <c r="B422" t="inlineStr">
        <is>
          <t>Te0/0/0/32</t>
        </is>
      </c>
      <c r="C422" t="inlineStr">
        <is>
          <t>10G SFP+</t>
        </is>
      </c>
      <c r="D422" t="n">
        <v>10000</v>
      </c>
      <c r="E422" t="inlineStr">
        <is>
          <t>up</t>
        </is>
      </c>
      <c r="F422" t="inlineStr">
        <is>
          <t>Server NIC</t>
        </is>
      </c>
    </row>
    <row r="423">
      <c r="A423" t="inlineStr">
        <is>
          <t>MH-DC-001-MMR-SW-04</t>
        </is>
      </c>
      <c r="B423" t="inlineStr">
        <is>
          <t>Te0/0/0/33</t>
        </is>
      </c>
      <c r="C423" t="inlineStr">
        <is>
          <t>10G SFP+</t>
        </is>
      </c>
      <c r="D423" t="n">
        <v>10000</v>
      </c>
      <c r="E423" t="inlineStr">
        <is>
          <t>up</t>
        </is>
      </c>
      <c r="F423" t="inlineStr">
        <is>
          <t>Server NIC</t>
        </is>
      </c>
    </row>
    <row r="424">
      <c r="A424" t="inlineStr">
        <is>
          <t>MH-DC-001-MMR-SW-04</t>
        </is>
      </c>
      <c r="B424" t="inlineStr">
        <is>
          <t>Te0/0/0/34</t>
        </is>
      </c>
      <c r="C424" t="inlineStr">
        <is>
          <t>10G SFP+</t>
        </is>
      </c>
      <c r="D424" t="n">
        <v>10000</v>
      </c>
      <c r="E424" t="inlineStr">
        <is>
          <t>up</t>
        </is>
      </c>
      <c r="F424" t="inlineStr">
        <is>
          <t>Server NIC</t>
        </is>
      </c>
    </row>
    <row r="425">
      <c r="A425" t="inlineStr">
        <is>
          <t>MH-DC-001-MMR-SW-04</t>
        </is>
      </c>
      <c r="B425" t="inlineStr">
        <is>
          <t>Te0/0/0/35</t>
        </is>
      </c>
      <c r="C425" t="inlineStr">
        <is>
          <t>10G SFP+</t>
        </is>
      </c>
      <c r="D425" t="n">
        <v>10000</v>
      </c>
      <c r="E425" t="inlineStr">
        <is>
          <t>up</t>
        </is>
      </c>
      <c r="F425" t="inlineStr">
        <is>
          <t>Server NIC</t>
        </is>
      </c>
    </row>
    <row r="426">
      <c r="A426" t="inlineStr">
        <is>
          <t>MH-DC-001-MMR-SW-04</t>
        </is>
      </c>
      <c r="B426" t="inlineStr">
        <is>
          <t>Te0/0/0/36</t>
        </is>
      </c>
      <c r="C426" t="inlineStr">
        <is>
          <t>10G SFP+</t>
        </is>
      </c>
      <c r="D426" t="n">
        <v>10000</v>
      </c>
      <c r="E426" t="inlineStr">
        <is>
          <t>up</t>
        </is>
      </c>
      <c r="F426" t="inlineStr">
        <is>
          <t>Server NIC</t>
        </is>
      </c>
    </row>
    <row r="427">
      <c r="A427" t="inlineStr">
        <is>
          <t>MH-DC-001-MMR-SW-04</t>
        </is>
      </c>
      <c r="B427" t="inlineStr">
        <is>
          <t>Te0/0/0/37</t>
        </is>
      </c>
      <c r="C427" t="inlineStr">
        <is>
          <t>10G SFP+</t>
        </is>
      </c>
      <c r="D427" t="n">
        <v>10000</v>
      </c>
      <c r="E427" t="inlineStr">
        <is>
          <t>up</t>
        </is>
      </c>
      <c r="F427" t="inlineStr">
        <is>
          <t>Server NIC</t>
        </is>
      </c>
    </row>
    <row r="428">
      <c r="A428" t="inlineStr">
        <is>
          <t>MH-DC-001-MMR-SW-04</t>
        </is>
      </c>
      <c r="B428" t="inlineStr">
        <is>
          <t>Te0/0/0/38</t>
        </is>
      </c>
      <c r="C428" t="inlineStr">
        <is>
          <t>10G SFP+</t>
        </is>
      </c>
      <c r="D428" t="n">
        <v>10000</v>
      </c>
      <c r="E428" t="inlineStr">
        <is>
          <t>up</t>
        </is>
      </c>
      <c r="F428" t="inlineStr">
        <is>
          <t>Server NIC</t>
        </is>
      </c>
    </row>
    <row r="429">
      <c r="A429" t="inlineStr">
        <is>
          <t>MH-DC-001-MMR-SW-04</t>
        </is>
      </c>
      <c r="B429" t="inlineStr">
        <is>
          <t>Te0/0/0/39</t>
        </is>
      </c>
      <c r="C429" t="inlineStr">
        <is>
          <t>10G SFP+</t>
        </is>
      </c>
      <c r="D429" t="n">
        <v>10000</v>
      </c>
      <c r="E429" t="inlineStr">
        <is>
          <t>admin-down</t>
        </is>
      </c>
    </row>
    <row r="430">
      <c r="A430" t="inlineStr">
        <is>
          <t>MH-DC-001-MMR-SW-04</t>
        </is>
      </c>
      <c r="B430" t="inlineStr">
        <is>
          <t>Te0/0/0/40</t>
        </is>
      </c>
      <c r="C430" t="inlineStr">
        <is>
          <t>10G SFP+</t>
        </is>
      </c>
      <c r="D430" t="n">
        <v>10000</v>
      </c>
      <c r="E430" t="inlineStr">
        <is>
          <t>up</t>
        </is>
      </c>
      <c r="F430" t="inlineStr">
        <is>
          <t>Server NIC</t>
        </is>
      </c>
    </row>
    <row r="431">
      <c r="A431" t="inlineStr">
        <is>
          <t>MH-DC-001-MMR-SW-04</t>
        </is>
      </c>
      <c r="B431" t="inlineStr">
        <is>
          <t>Te0/0/0/41</t>
        </is>
      </c>
      <c r="C431" t="inlineStr">
        <is>
          <t>10G SFP+</t>
        </is>
      </c>
      <c r="D431" t="n">
        <v>10000</v>
      </c>
      <c r="E431" t="inlineStr">
        <is>
          <t>up</t>
        </is>
      </c>
      <c r="F431" t="inlineStr">
        <is>
          <t>Server NIC</t>
        </is>
      </c>
    </row>
    <row r="432">
      <c r="A432" t="inlineStr">
        <is>
          <t>MH-DC-001-MMR-SW-04</t>
        </is>
      </c>
      <c r="B432" t="inlineStr">
        <is>
          <t>Te0/0/0/42</t>
        </is>
      </c>
      <c r="C432" t="inlineStr">
        <is>
          <t>10G SFP+</t>
        </is>
      </c>
      <c r="D432" t="n">
        <v>10000</v>
      </c>
      <c r="E432" t="inlineStr">
        <is>
          <t>up</t>
        </is>
      </c>
      <c r="F432" t="inlineStr">
        <is>
          <t>Server NIC</t>
        </is>
      </c>
    </row>
    <row r="433">
      <c r="A433" t="inlineStr">
        <is>
          <t>MH-DC-001-MMR-SW-04</t>
        </is>
      </c>
      <c r="B433" t="inlineStr">
        <is>
          <t>Te0/0/0/43</t>
        </is>
      </c>
      <c r="C433" t="inlineStr">
        <is>
          <t>10G SFP+</t>
        </is>
      </c>
      <c r="D433" t="n">
        <v>10000</v>
      </c>
      <c r="E433" t="inlineStr">
        <is>
          <t>admin-down</t>
        </is>
      </c>
    </row>
    <row r="434">
      <c r="A434" t="inlineStr">
        <is>
          <t>MH-DC-001-MMR-SW-04</t>
        </is>
      </c>
      <c r="B434" t="inlineStr">
        <is>
          <t>Te0/0/0/44</t>
        </is>
      </c>
      <c r="C434" t="inlineStr">
        <is>
          <t>10G SFP+</t>
        </is>
      </c>
      <c r="D434" t="n">
        <v>10000</v>
      </c>
      <c r="E434" t="inlineStr">
        <is>
          <t>up</t>
        </is>
      </c>
      <c r="F434" t="inlineStr">
        <is>
          <t>Server NIC</t>
        </is>
      </c>
    </row>
    <row r="435">
      <c r="A435" t="inlineStr">
        <is>
          <t>MH-DC-001-MMR-SW-04</t>
        </is>
      </c>
      <c r="B435" t="inlineStr">
        <is>
          <t>Te0/0/0/45</t>
        </is>
      </c>
      <c r="C435" t="inlineStr">
        <is>
          <t>10G SFP+</t>
        </is>
      </c>
      <c r="D435" t="n">
        <v>10000</v>
      </c>
      <c r="E435" t="inlineStr">
        <is>
          <t>up</t>
        </is>
      </c>
      <c r="F435" t="inlineStr">
        <is>
          <t>Server NIC</t>
        </is>
      </c>
    </row>
    <row r="436">
      <c r="A436" t="inlineStr">
        <is>
          <t>MH-DC-001-MMR-SW-04</t>
        </is>
      </c>
      <c r="B436" t="inlineStr">
        <is>
          <t>Te0/0/0/46</t>
        </is>
      </c>
      <c r="C436" t="inlineStr">
        <is>
          <t>10G SFP+</t>
        </is>
      </c>
      <c r="D436" t="n">
        <v>10000</v>
      </c>
      <c r="E436" t="inlineStr">
        <is>
          <t>up</t>
        </is>
      </c>
      <c r="F436" t="inlineStr">
        <is>
          <t>Server NIC</t>
        </is>
      </c>
    </row>
    <row r="437">
      <c r="A437" t="inlineStr">
        <is>
          <t>MH-DC-001-MMR-SW-04</t>
        </is>
      </c>
      <c r="B437" t="inlineStr">
        <is>
          <t>Te0/0/0/47</t>
        </is>
      </c>
      <c r="C437" t="inlineStr">
        <is>
          <t>10G SFP+</t>
        </is>
      </c>
      <c r="D437" t="n">
        <v>10000</v>
      </c>
      <c r="E437" t="inlineStr">
        <is>
          <t>up</t>
        </is>
      </c>
      <c r="F437" t="inlineStr">
        <is>
          <t>Server NIC</t>
        </is>
      </c>
    </row>
    <row r="438">
      <c r="A438" t="inlineStr">
        <is>
          <t>MH-DC-001-MMR-SW-04</t>
        </is>
      </c>
      <c r="B438" t="inlineStr">
        <is>
          <t>Hu0/0/1/0</t>
        </is>
      </c>
      <c r="C438" t="inlineStr">
        <is>
          <t>100G QSFP28</t>
        </is>
      </c>
      <c r="D438" t="n">
        <v>100000</v>
      </c>
      <c r="E438" t="inlineStr">
        <is>
          <t>up</t>
        </is>
      </c>
      <c r="F438" t="inlineStr">
        <is>
          <t>Uplink to MH-DC-001-AGG-R01</t>
        </is>
      </c>
      <c r="G438" t="inlineStr">
        <is>
          <t>QSFP28-100G-LR4</t>
        </is>
      </c>
    </row>
    <row r="439">
      <c r="A439" t="inlineStr">
        <is>
          <t>MH-DC-001-MMR-SW-04</t>
        </is>
      </c>
      <c r="B439" t="inlineStr">
        <is>
          <t>Hu0/0/1/1</t>
        </is>
      </c>
      <c r="C439" t="inlineStr">
        <is>
          <t>100G QSFP28</t>
        </is>
      </c>
      <c r="D439" t="n">
        <v>100000</v>
      </c>
      <c r="E439" t="inlineStr">
        <is>
          <t>up</t>
        </is>
      </c>
      <c r="F439" t="inlineStr">
        <is>
          <t>Uplink to MH-DC-001-AGG-R01</t>
        </is>
      </c>
      <c r="G439" t="inlineStr">
        <is>
          <t>QSFP28-100G-LR4</t>
        </is>
      </c>
    </row>
    <row r="440">
      <c r="A440" t="inlineStr">
        <is>
          <t>MH-DC-001-MMR-SW-04</t>
        </is>
      </c>
      <c r="B440" t="inlineStr">
        <is>
          <t>Hu0/0/1/2</t>
        </is>
      </c>
      <c r="C440" t="inlineStr">
        <is>
          <t>100G QSFP28</t>
        </is>
      </c>
      <c r="D440" t="n">
        <v>100000</v>
      </c>
      <c r="E440" t="inlineStr">
        <is>
          <t>admin-down</t>
        </is>
      </c>
    </row>
    <row r="441">
      <c r="A441" t="inlineStr">
        <is>
          <t>MH-DC-001-MMR-SW-04</t>
        </is>
      </c>
      <c r="B441" t="inlineStr">
        <is>
          <t>Hu0/0/1/3</t>
        </is>
      </c>
      <c r="C441" t="inlineStr">
        <is>
          <t>100G QSFP28</t>
        </is>
      </c>
      <c r="D441" t="n">
        <v>100000</v>
      </c>
      <c r="E441" t="inlineStr">
        <is>
          <t>admin-down</t>
        </is>
      </c>
    </row>
    <row r="442">
      <c r="A442" t="inlineStr">
        <is>
          <t>MH-DC-001-MMR-SW-05</t>
        </is>
      </c>
      <c r="B442" t="inlineStr">
        <is>
          <t>xe-0/0/0</t>
        </is>
      </c>
      <c r="C442" t="inlineStr">
        <is>
          <t>10G SFP+</t>
        </is>
      </c>
      <c r="D442" t="n">
        <v>10000</v>
      </c>
      <c r="E442" t="inlineStr">
        <is>
          <t>up</t>
        </is>
      </c>
      <c r="F442" t="inlineStr">
        <is>
          <t>Access to MH-DC-001-TOR-004</t>
        </is>
      </c>
      <c r="G442" t="inlineStr">
        <is>
          <t>SFP-10G-LR</t>
        </is>
      </c>
    </row>
    <row r="443">
      <c r="A443" t="inlineStr">
        <is>
          <t>MH-DC-001-MMR-SW-05</t>
        </is>
      </c>
      <c r="B443" t="inlineStr">
        <is>
          <t>xe-0/0/1</t>
        </is>
      </c>
      <c r="C443" t="inlineStr">
        <is>
          <t>10G SFP+</t>
        </is>
      </c>
      <c r="D443" t="n">
        <v>10000</v>
      </c>
      <c r="E443" t="inlineStr">
        <is>
          <t>up</t>
        </is>
      </c>
      <c r="F443" t="inlineStr">
        <is>
          <t>Access to MH-DC-001-TOR-005</t>
        </is>
      </c>
      <c r="G443" t="inlineStr">
        <is>
          <t>SFP-10G-LR</t>
        </is>
      </c>
    </row>
    <row r="444">
      <c r="A444" t="inlineStr">
        <is>
          <t>MH-DC-001-MMR-SW-05</t>
        </is>
      </c>
      <c r="B444" t="inlineStr">
        <is>
          <t>xe-0/0/2</t>
        </is>
      </c>
      <c r="C444" t="inlineStr">
        <is>
          <t>10G SFP+</t>
        </is>
      </c>
      <c r="D444" t="n">
        <v>10000</v>
      </c>
      <c r="E444" t="inlineStr">
        <is>
          <t>up</t>
        </is>
      </c>
      <c r="F444" t="inlineStr">
        <is>
          <t>Server NIC</t>
        </is>
      </c>
    </row>
    <row r="445">
      <c r="A445" t="inlineStr">
        <is>
          <t>MH-DC-001-MMR-SW-05</t>
        </is>
      </c>
      <c r="B445" t="inlineStr">
        <is>
          <t>xe-0/0/3</t>
        </is>
      </c>
      <c r="C445" t="inlineStr">
        <is>
          <t>10G SFP+</t>
        </is>
      </c>
      <c r="D445" t="n">
        <v>10000</v>
      </c>
      <c r="E445" t="inlineStr">
        <is>
          <t>admin-down</t>
        </is>
      </c>
    </row>
    <row r="446">
      <c r="A446" t="inlineStr">
        <is>
          <t>MH-DC-001-MMR-SW-05</t>
        </is>
      </c>
      <c r="B446" t="inlineStr">
        <is>
          <t>xe-0/0/4</t>
        </is>
      </c>
      <c r="C446" t="inlineStr">
        <is>
          <t>10G SFP+</t>
        </is>
      </c>
      <c r="D446" t="n">
        <v>10000</v>
      </c>
      <c r="E446" t="inlineStr">
        <is>
          <t>up</t>
        </is>
      </c>
      <c r="F446" t="inlineStr">
        <is>
          <t>Server NIC</t>
        </is>
      </c>
    </row>
    <row r="447">
      <c r="A447" t="inlineStr">
        <is>
          <t>MH-DC-001-MMR-SW-05</t>
        </is>
      </c>
      <c r="B447" t="inlineStr">
        <is>
          <t>xe-0/0/5</t>
        </is>
      </c>
      <c r="C447" t="inlineStr">
        <is>
          <t>10G SFP+</t>
        </is>
      </c>
      <c r="D447" t="n">
        <v>10000</v>
      </c>
      <c r="E447" t="inlineStr">
        <is>
          <t>up</t>
        </is>
      </c>
      <c r="F447" t="inlineStr">
        <is>
          <t>Server NIC</t>
        </is>
      </c>
    </row>
    <row r="448">
      <c r="A448" t="inlineStr">
        <is>
          <t>MH-DC-001-MMR-SW-05</t>
        </is>
      </c>
      <c r="B448" t="inlineStr">
        <is>
          <t>xe-0/0/6</t>
        </is>
      </c>
      <c r="C448" t="inlineStr">
        <is>
          <t>10G SFP+</t>
        </is>
      </c>
      <c r="D448" t="n">
        <v>10000</v>
      </c>
      <c r="E448" t="inlineStr">
        <is>
          <t>up</t>
        </is>
      </c>
      <c r="F448" t="inlineStr">
        <is>
          <t>Server NIC</t>
        </is>
      </c>
    </row>
    <row r="449">
      <c r="A449" t="inlineStr">
        <is>
          <t>MH-DC-001-MMR-SW-05</t>
        </is>
      </c>
      <c r="B449" t="inlineStr">
        <is>
          <t>xe-0/0/7</t>
        </is>
      </c>
      <c r="C449" t="inlineStr">
        <is>
          <t>10G SFP+</t>
        </is>
      </c>
      <c r="D449" t="n">
        <v>10000</v>
      </c>
      <c r="E449" t="inlineStr">
        <is>
          <t>up</t>
        </is>
      </c>
      <c r="F449" t="inlineStr">
        <is>
          <t>Server NIC</t>
        </is>
      </c>
    </row>
    <row r="450">
      <c r="A450" t="inlineStr">
        <is>
          <t>MH-DC-001-MMR-SW-05</t>
        </is>
      </c>
      <c r="B450" t="inlineStr">
        <is>
          <t>xe-0/0/8</t>
        </is>
      </c>
      <c r="C450" t="inlineStr">
        <is>
          <t>10G SFP+</t>
        </is>
      </c>
      <c r="D450" t="n">
        <v>10000</v>
      </c>
      <c r="E450" t="inlineStr">
        <is>
          <t>reserved</t>
        </is>
      </c>
    </row>
    <row r="451">
      <c r="A451" t="inlineStr">
        <is>
          <t>MH-DC-001-MMR-SW-05</t>
        </is>
      </c>
      <c r="B451" t="inlineStr">
        <is>
          <t>xe-0/0/9</t>
        </is>
      </c>
      <c r="C451" t="inlineStr">
        <is>
          <t>10G SFP+</t>
        </is>
      </c>
      <c r="D451" t="n">
        <v>10000</v>
      </c>
      <c r="E451" t="inlineStr">
        <is>
          <t>admin-down</t>
        </is>
      </c>
    </row>
    <row r="452">
      <c r="A452" t="inlineStr">
        <is>
          <t>MH-DC-001-MMR-SW-05</t>
        </is>
      </c>
      <c r="B452" t="inlineStr">
        <is>
          <t>xe-0/0/10</t>
        </is>
      </c>
      <c r="C452" t="inlineStr">
        <is>
          <t>10G SFP+</t>
        </is>
      </c>
      <c r="D452" t="n">
        <v>10000</v>
      </c>
      <c r="E452" t="inlineStr">
        <is>
          <t>up</t>
        </is>
      </c>
      <c r="F452" t="inlineStr">
        <is>
          <t>Server NIC</t>
        </is>
      </c>
    </row>
    <row r="453">
      <c r="A453" t="inlineStr">
        <is>
          <t>MH-DC-001-MMR-SW-05</t>
        </is>
      </c>
      <c r="B453" t="inlineStr">
        <is>
          <t>xe-0/0/11</t>
        </is>
      </c>
      <c r="C453" t="inlineStr">
        <is>
          <t>10G SFP+</t>
        </is>
      </c>
      <c r="D453" t="n">
        <v>10000</v>
      </c>
      <c r="E453" t="inlineStr">
        <is>
          <t>up</t>
        </is>
      </c>
      <c r="F453" t="inlineStr">
        <is>
          <t>Server NIC</t>
        </is>
      </c>
    </row>
    <row r="454">
      <c r="A454" t="inlineStr">
        <is>
          <t>MH-DC-001-MMR-SW-05</t>
        </is>
      </c>
      <c r="B454" t="inlineStr">
        <is>
          <t>xe-0/0/12</t>
        </is>
      </c>
      <c r="C454" t="inlineStr">
        <is>
          <t>10G SFP+</t>
        </is>
      </c>
      <c r="D454" t="n">
        <v>10000</v>
      </c>
      <c r="E454" t="inlineStr">
        <is>
          <t>admin-down</t>
        </is>
      </c>
    </row>
    <row r="455">
      <c r="A455" t="inlineStr">
        <is>
          <t>MH-DC-001-MMR-SW-05</t>
        </is>
      </c>
      <c r="B455" t="inlineStr">
        <is>
          <t>xe-0/0/13</t>
        </is>
      </c>
      <c r="C455" t="inlineStr">
        <is>
          <t>10G SFP+</t>
        </is>
      </c>
      <c r="D455" t="n">
        <v>10000</v>
      </c>
      <c r="E455" t="inlineStr">
        <is>
          <t>up</t>
        </is>
      </c>
      <c r="F455" t="inlineStr">
        <is>
          <t>Server NIC</t>
        </is>
      </c>
    </row>
    <row r="456">
      <c r="A456" t="inlineStr">
        <is>
          <t>MH-DC-001-MMR-SW-05</t>
        </is>
      </c>
      <c r="B456" t="inlineStr">
        <is>
          <t>xe-0/0/14</t>
        </is>
      </c>
      <c r="C456" t="inlineStr">
        <is>
          <t>10G SFP+</t>
        </is>
      </c>
      <c r="D456" t="n">
        <v>10000</v>
      </c>
      <c r="E456" t="inlineStr">
        <is>
          <t>up</t>
        </is>
      </c>
      <c r="F456" t="inlineStr">
        <is>
          <t>Server NIC</t>
        </is>
      </c>
    </row>
    <row r="457">
      <c r="A457" t="inlineStr">
        <is>
          <t>MH-DC-001-MMR-SW-05</t>
        </is>
      </c>
      <c r="B457" t="inlineStr">
        <is>
          <t>xe-0/0/15</t>
        </is>
      </c>
      <c r="C457" t="inlineStr">
        <is>
          <t>10G SFP+</t>
        </is>
      </c>
      <c r="D457" t="n">
        <v>10000</v>
      </c>
      <c r="E457" t="inlineStr">
        <is>
          <t>admin-down</t>
        </is>
      </c>
    </row>
    <row r="458">
      <c r="A458" t="inlineStr">
        <is>
          <t>MH-DC-001-MMR-SW-05</t>
        </is>
      </c>
      <c r="B458" t="inlineStr">
        <is>
          <t>xe-0/0/16</t>
        </is>
      </c>
      <c r="C458" t="inlineStr">
        <is>
          <t>10G SFP+</t>
        </is>
      </c>
      <c r="D458" t="n">
        <v>10000</v>
      </c>
      <c r="E458" t="inlineStr">
        <is>
          <t>up</t>
        </is>
      </c>
      <c r="F458" t="inlineStr">
        <is>
          <t>Server NIC</t>
        </is>
      </c>
    </row>
    <row r="459">
      <c r="A459" t="inlineStr">
        <is>
          <t>MH-DC-001-MMR-SW-05</t>
        </is>
      </c>
      <c r="B459" t="inlineStr">
        <is>
          <t>xe-0/0/17</t>
        </is>
      </c>
      <c r="C459" t="inlineStr">
        <is>
          <t>10G SFP+</t>
        </is>
      </c>
      <c r="D459" t="n">
        <v>10000</v>
      </c>
      <c r="E459" t="inlineStr">
        <is>
          <t>up</t>
        </is>
      </c>
      <c r="F459" t="inlineStr">
        <is>
          <t>Server NIC</t>
        </is>
      </c>
    </row>
    <row r="460">
      <c r="A460" t="inlineStr">
        <is>
          <t>MH-DC-001-MMR-SW-05</t>
        </is>
      </c>
      <c r="B460" t="inlineStr">
        <is>
          <t>xe-0/0/18</t>
        </is>
      </c>
      <c r="C460" t="inlineStr">
        <is>
          <t>10G SFP+</t>
        </is>
      </c>
      <c r="D460" t="n">
        <v>10000</v>
      </c>
      <c r="E460" t="inlineStr">
        <is>
          <t>up</t>
        </is>
      </c>
      <c r="F460" t="inlineStr">
        <is>
          <t>Server NIC</t>
        </is>
      </c>
    </row>
    <row r="461">
      <c r="A461" t="inlineStr">
        <is>
          <t>MH-DC-001-MMR-SW-05</t>
        </is>
      </c>
      <c r="B461" t="inlineStr">
        <is>
          <t>xe-0/0/19</t>
        </is>
      </c>
      <c r="C461" t="inlineStr">
        <is>
          <t>10G SFP+</t>
        </is>
      </c>
      <c r="D461" t="n">
        <v>10000</v>
      </c>
      <c r="E461" t="inlineStr">
        <is>
          <t>up</t>
        </is>
      </c>
      <c r="F461" t="inlineStr">
        <is>
          <t>Server NIC</t>
        </is>
      </c>
    </row>
    <row r="462">
      <c r="A462" t="inlineStr">
        <is>
          <t>MH-DC-001-MMR-SW-05</t>
        </is>
      </c>
      <c r="B462" t="inlineStr">
        <is>
          <t>xe-0/0/20</t>
        </is>
      </c>
      <c r="C462" t="inlineStr">
        <is>
          <t>10G SFP+</t>
        </is>
      </c>
      <c r="D462" t="n">
        <v>10000</v>
      </c>
      <c r="E462" t="inlineStr">
        <is>
          <t>up</t>
        </is>
      </c>
      <c r="F462" t="inlineStr">
        <is>
          <t>Server NIC</t>
        </is>
      </c>
    </row>
    <row r="463">
      <c r="A463" t="inlineStr">
        <is>
          <t>MH-DC-001-MMR-SW-05</t>
        </is>
      </c>
      <c r="B463" t="inlineStr">
        <is>
          <t>xe-0/0/21</t>
        </is>
      </c>
      <c r="C463" t="inlineStr">
        <is>
          <t>10G SFP+</t>
        </is>
      </c>
      <c r="D463" t="n">
        <v>10000</v>
      </c>
      <c r="E463" t="inlineStr">
        <is>
          <t>up</t>
        </is>
      </c>
      <c r="F463" t="inlineStr">
        <is>
          <t>Server NIC</t>
        </is>
      </c>
    </row>
    <row r="464">
      <c r="A464" t="inlineStr">
        <is>
          <t>MH-DC-001-MMR-SW-05</t>
        </is>
      </c>
      <c r="B464" t="inlineStr">
        <is>
          <t>xe-0/0/22</t>
        </is>
      </c>
      <c r="C464" t="inlineStr">
        <is>
          <t>10G SFP+</t>
        </is>
      </c>
      <c r="D464" t="n">
        <v>10000</v>
      </c>
      <c r="E464" t="inlineStr">
        <is>
          <t>up</t>
        </is>
      </c>
      <c r="F464" t="inlineStr">
        <is>
          <t>Server NIC</t>
        </is>
      </c>
    </row>
    <row r="465">
      <c r="A465" t="inlineStr">
        <is>
          <t>MH-DC-001-MMR-SW-05</t>
        </is>
      </c>
      <c r="B465" t="inlineStr">
        <is>
          <t>xe-0/0/23</t>
        </is>
      </c>
      <c r="C465" t="inlineStr">
        <is>
          <t>10G SFP+</t>
        </is>
      </c>
      <c r="D465" t="n">
        <v>10000</v>
      </c>
      <c r="E465" t="inlineStr">
        <is>
          <t>up</t>
        </is>
      </c>
      <c r="F465" t="inlineStr">
        <is>
          <t>Server NIC</t>
        </is>
      </c>
    </row>
    <row r="466">
      <c r="A466" t="inlineStr">
        <is>
          <t>MH-DC-001-MMR-SW-05</t>
        </is>
      </c>
      <c r="B466" t="inlineStr">
        <is>
          <t>xe-0/0/24</t>
        </is>
      </c>
      <c r="C466" t="inlineStr">
        <is>
          <t>10G SFP+</t>
        </is>
      </c>
      <c r="D466" t="n">
        <v>10000</v>
      </c>
      <c r="E466" t="inlineStr">
        <is>
          <t>up</t>
        </is>
      </c>
      <c r="F466" t="inlineStr">
        <is>
          <t>Server NIC</t>
        </is>
      </c>
    </row>
    <row r="467">
      <c r="A467" t="inlineStr">
        <is>
          <t>MH-DC-001-MMR-SW-05</t>
        </is>
      </c>
      <c r="B467" t="inlineStr">
        <is>
          <t>xe-0/0/25</t>
        </is>
      </c>
      <c r="C467" t="inlineStr">
        <is>
          <t>10G SFP+</t>
        </is>
      </c>
      <c r="D467" t="n">
        <v>10000</v>
      </c>
      <c r="E467" t="inlineStr">
        <is>
          <t>up</t>
        </is>
      </c>
      <c r="F467" t="inlineStr">
        <is>
          <t>Server NIC</t>
        </is>
      </c>
    </row>
    <row r="468">
      <c r="A468" t="inlineStr">
        <is>
          <t>MH-DC-001-MMR-SW-05</t>
        </is>
      </c>
      <c r="B468" t="inlineStr">
        <is>
          <t>xe-0/0/26</t>
        </is>
      </c>
      <c r="C468" t="inlineStr">
        <is>
          <t>10G SFP+</t>
        </is>
      </c>
      <c r="D468" t="n">
        <v>10000</v>
      </c>
      <c r="E468" t="inlineStr">
        <is>
          <t>up</t>
        </is>
      </c>
      <c r="F468" t="inlineStr">
        <is>
          <t>Server NIC</t>
        </is>
      </c>
    </row>
    <row r="469">
      <c r="A469" t="inlineStr">
        <is>
          <t>MH-DC-001-MMR-SW-05</t>
        </is>
      </c>
      <c r="B469" t="inlineStr">
        <is>
          <t>xe-0/0/27</t>
        </is>
      </c>
      <c r="C469" t="inlineStr">
        <is>
          <t>10G SFP+</t>
        </is>
      </c>
      <c r="D469" t="n">
        <v>10000</v>
      </c>
      <c r="E469" t="inlineStr">
        <is>
          <t>admin-down</t>
        </is>
      </c>
    </row>
    <row r="470">
      <c r="A470" t="inlineStr">
        <is>
          <t>MH-DC-001-MMR-SW-05</t>
        </is>
      </c>
      <c r="B470" t="inlineStr">
        <is>
          <t>xe-0/0/28</t>
        </is>
      </c>
      <c r="C470" t="inlineStr">
        <is>
          <t>10G SFP+</t>
        </is>
      </c>
      <c r="D470" t="n">
        <v>10000</v>
      </c>
      <c r="E470" t="inlineStr">
        <is>
          <t>admin-down</t>
        </is>
      </c>
    </row>
    <row r="471">
      <c r="A471" t="inlineStr">
        <is>
          <t>MH-DC-001-MMR-SW-05</t>
        </is>
      </c>
      <c r="B471" t="inlineStr">
        <is>
          <t>xe-0/0/29</t>
        </is>
      </c>
      <c r="C471" t="inlineStr">
        <is>
          <t>10G SFP+</t>
        </is>
      </c>
      <c r="D471" t="n">
        <v>10000</v>
      </c>
      <c r="E471" t="inlineStr">
        <is>
          <t>admin-down</t>
        </is>
      </c>
    </row>
    <row r="472">
      <c r="A472" t="inlineStr">
        <is>
          <t>MH-DC-001-MMR-SW-05</t>
        </is>
      </c>
      <c r="B472" t="inlineStr">
        <is>
          <t>xe-0/0/30</t>
        </is>
      </c>
      <c r="C472" t="inlineStr">
        <is>
          <t>10G SFP+</t>
        </is>
      </c>
      <c r="D472" t="n">
        <v>10000</v>
      </c>
      <c r="E472" t="inlineStr">
        <is>
          <t>up</t>
        </is>
      </c>
      <c r="F472" t="inlineStr">
        <is>
          <t>Server NIC</t>
        </is>
      </c>
    </row>
    <row r="473">
      <c r="A473" t="inlineStr">
        <is>
          <t>MH-DC-001-MMR-SW-05</t>
        </is>
      </c>
      <c r="B473" t="inlineStr">
        <is>
          <t>xe-0/0/31</t>
        </is>
      </c>
      <c r="C473" t="inlineStr">
        <is>
          <t>10G SFP+</t>
        </is>
      </c>
      <c r="D473" t="n">
        <v>10000</v>
      </c>
      <c r="E473" t="inlineStr">
        <is>
          <t>up</t>
        </is>
      </c>
      <c r="F473" t="inlineStr">
        <is>
          <t>Server NIC</t>
        </is>
      </c>
    </row>
    <row r="474">
      <c r="A474" t="inlineStr">
        <is>
          <t>MH-DC-001-MMR-SW-05</t>
        </is>
      </c>
      <c r="B474" t="inlineStr">
        <is>
          <t>xe-0/0/32</t>
        </is>
      </c>
      <c r="C474" t="inlineStr">
        <is>
          <t>10G SFP+</t>
        </is>
      </c>
      <c r="D474" t="n">
        <v>10000</v>
      </c>
      <c r="E474" t="inlineStr">
        <is>
          <t>up</t>
        </is>
      </c>
      <c r="F474" t="inlineStr">
        <is>
          <t>Server NIC</t>
        </is>
      </c>
    </row>
    <row r="475">
      <c r="A475" t="inlineStr">
        <is>
          <t>MH-DC-001-MMR-SW-05</t>
        </is>
      </c>
      <c r="B475" t="inlineStr">
        <is>
          <t>xe-0/0/33</t>
        </is>
      </c>
      <c r="C475" t="inlineStr">
        <is>
          <t>10G SFP+</t>
        </is>
      </c>
      <c r="D475" t="n">
        <v>10000</v>
      </c>
      <c r="E475" t="inlineStr">
        <is>
          <t>admin-down</t>
        </is>
      </c>
    </row>
    <row r="476">
      <c r="A476" t="inlineStr">
        <is>
          <t>MH-DC-001-MMR-SW-05</t>
        </is>
      </c>
      <c r="B476" t="inlineStr">
        <is>
          <t>xe-0/0/34</t>
        </is>
      </c>
      <c r="C476" t="inlineStr">
        <is>
          <t>10G SFP+</t>
        </is>
      </c>
      <c r="D476" t="n">
        <v>10000</v>
      </c>
      <c r="E476" t="inlineStr">
        <is>
          <t>up</t>
        </is>
      </c>
      <c r="F476" t="inlineStr">
        <is>
          <t>Server NIC</t>
        </is>
      </c>
    </row>
    <row r="477">
      <c r="A477" t="inlineStr">
        <is>
          <t>MH-DC-001-MMR-SW-05</t>
        </is>
      </c>
      <c r="B477" t="inlineStr">
        <is>
          <t>xe-0/0/35</t>
        </is>
      </c>
      <c r="C477" t="inlineStr">
        <is>
          <t>10G SFP+</t>
        </is>
      </c>
      <c r="D477" t="n">
        <v>10000</v>
      </c>
      <c r="E477" t="inlineStr">
        <is>
          <t>up</t>
        </is>
      </c>
      <c r="F477" t="inlineStr">
        <is>
          <t>Server NIC</t>
        </is>
      </c>
    </row>
    <row r="478">
      <c r="A478" t="inlineStr">
        <is>
          <t>MH-DC-001-MMR-SW-05</t>
        </is>
      </c>
      <c r="B478" t="inlineStr">
        <is>
          <t>xe-0/0/36</t>
        </is>
      </c>
      <c r="C478" t="inlineStr">
        <is>
          <t>10G SFP+</t>
        </is>
      </c>
      <c r="D478" t="n">
        <v>10000</v>
      </c>
      <c r="E478" t="inlineStr">
        <is>
          <t>admin-down</t>
        </is>
      </c>
    </row>
    <row r="479">
      <c r="A479" t="inlineStr">
        <is>
          <t>MH-DC-001-MMR-SW-05</t>
        </is>
      </c>
      <c r="B479" t="inlineStr">
        <is>
          <t>xe-0/0/37</t>
        </is>
      </c>
      <c r="C479" t="inlineStr">
        <is>
          <t>10G SFP+</t>
        </is>
      </c>
      <c r="D479" t="n">
        <v>10000</v>
      </c>
      <c r="E479" t="inlineStr">
        <is>
          <t>up</t>
        </is>
      </c>
      <c r="F479" t="inlineStr">
        <is>
          <t>Server NIC</t>
        </is>
      </c>
    </row>
    <row r="480">
      <c r="A480" t="inlineStr">
        <is>
          <t>MH-DC-001-MMR-SW-05</t>
        </is>
      </c>
      <c r="B480" t="inlineStr">
        <is>
          <t>xe-0/0/38</t>
        </is>
      </c>
      <c r="C480" t="inlineStr">
        <is>
          <t>10G SFP+</t>
        </is>
      </c>
      <c r="D480" t="n">
        <v>10000</v>
      </c>
      <c r="E480" t="inlineStr">
        <is>
          <t>up</t>
        </is>
      </c>
      <c r="F480" t="inlineStr">
        <is>
          <t>Server NIC</t>
        </is>
      </c>
    </row>
    <row r="481">
      <c r="A481" t="inlineStr">
        <is>
          <t>MH-DC-001-MMR-SW-05</t>
        </is>
      </c>
      <c r="B481" t="inlineStr">
        <is>
          <t>xe-0/0/39</t>
        </is>
      </c>
      <c r="C481" t="inlineStr">
        <is>
          <t>10G SFP+</t>
        </is>
      </c>
      <c r="D481" t="n">
        <v>10000</v>
      </c>
      <c r="E481" t="inlineStr">
        <is>
          <t>up</t>
        </is>
      </c>
      <c r="F481" t="inlineStr">
        <is>
          <t>Server NIC</t>
        </is>
      </c>
    </row>
    <row r="482">
      <c r="A482" t="inlineStr">
        <is>
          <t>MH-DC-001-MMR-SW-05</t>
        </is>
      </c>
      <c r="B482" t="inlineStr">
        <is>
          <t>xe-0/0/40</t>
        </is>
      </c>
      <c r="C482" t="inlineStr">
        <is>
          <t>10G SFP+</t>
        </is>
      </c>
      <c r="D482" t="n">
        <v>10000</v>
      </c>
      <c r="E482" t="inlineStr">
        <is>
          <t>admin-down</t>
        </is>
      </c>
    </row>
    <row r="483">
      <c r="A483" t="inlineStr">
        <is>
          <t>MH-DC-001-MMR-SW-05</t>
        </is>
      </c>
      <c r="B483" t="inlineStr">
        <is>
          <t>xe-0/0/41</t>
        </is>
      </c>
      <c r="C483" t="inlineStr">
        <is>
          <t>10G SFP+</t>
        </is>
      </c>
      <c r="D483" t="n">
        <v>10000</v>
      </c>
      <c r="E483" t="inlineStr">
        <is>
          <t>up</t>
        </is>
      </c>
      <c r="F483" t="inlineStr">
        <is>
          <t>Server NIC</t>
        </is>
      </c>
    </row>
    <row r="484">
      <c r="A484" t="inlineStr">
        <is>
          <t>MH-DC-001-MMR-SW-05</t>
        </is>
      </c>
      <c r="B484" t="inlineStr">
        <is>
          <t>xe-0/0/42</t>
        </is>
      </c>
      <c r="C484" t="inlineStr">
        <is>
          <t>10G SFP+</t>
        </is>
      </c>
      <c r="D484" t="n">
        <v>10000</v>
      </c>
      <c r="E484" t="inlineStr">
        <is>
          <t>admin-down</t>
        </is>
      </c>
    </row>
    <row r="485">
      <c r="A485" t="inlineStr">
        <is>
          <t>MH-DC-001-MMR-SW-05</t>
        </is>
      </c>
      <c r="B485" t="inlineStr">
        <is>
          <t>xe-0/0/43</t>
        </is>
      </c>
      <c r="C485" t="inlineStr">
        <is>
          <t>10G SFP+</t>
        </is>
      </c>
      <c r="D485" t="n">
        <v>10000</v>
      </c>
      <c r="E485" t="inlineStr">
        <is>
          <t>admin-down</t>
        </is>
      </c>
    </row>
    <row r="486">
      <c r="A486" t="inlineStr">
        <is>
          <t>MH-DC-001-MMR-SW-05</t>
        </is>
      </c>
      <c r="B486" t="inlineStr">
        <is>
          <t>xe-0/0/44</t>
        </is>
      </c>
      <c r="C486" t="inlineStr">
        <is>
          <t>10G SFP+</t>
        </is>
      </c>
      <c r="D486" t="n">
        <v>10000</v>
      </c>
      <c r="E486" t="inlineStr">
        <is>
          <t>up</t>
        </is>
      </c>
      <c r="F486" t="inlineStr">
        <is>
          <t>Server NIC</t>
        </is>
      </c>
    </row>
    <row r="487">
      <c r="A487" t="inlineStr">
        <is>
          <t>MH-DC-001-MMR-SW-05</t>
        </is>
      </c>
      <c r="B487" t="inlineStr">
        <is>
          <t>xe-0/0/45</t>
        </is>
      </c>
      <c r="C487" t="inlineStr">
        <is>
          <t>10G SFP+</t>
        </is>
      </c>
      <c r="D487" t="n">
        <v>10000</v>
      </c>
      <c r="E487" t="inlineStr">
        <is>
          <t>up</t>
        </is>
      </c>
      <c r="F487" t="inlineStr">
        <is>
          <t>Server NIC</t>
        </is>
      </c>
    </row>
    <row r="488">
      <c r="A488" t="inlineStr">
        <is>
          <t>MH-DC-001-MMR-SW-05</t>
        </is>
      </c>
      <c r="B488" t="inlineStr">
        <is>
          <t>xe-0/0/46</t>
        </is>
      </c>
      <c r="C488" t="inlineStr">
        <is>
          <t>10G SFP+</t>
        </is>
      </c>
      <c r="D488" t="n">
        <v>10000</v>
      </c>
      <c r="E488" t="inlineStr">
        <is>
          <t>admin-down</t>
        </is>
      </c>
    </row>
    <row r="489">
      <c r="A489" t="inlineStr">
        <is>
          <t>MH-DC-001-MMR-SW-05</t>
        </is>
      </c>
      <c r="B489" t="inlineStr">
        <is>
          <t>xe-0/0/47</t>
        </is>
      </c>
      <c r="C489" t="inlineStr">
        <is>
          <t>10G SFP+</t>
        </is>
      </c>
      <c r="D489" t="n">
        <v>10000</v>
      </c>
      <c r="E489" t="inlineStr">
        <is>
          <t>admin-down</t>
        </is>
      </c>
    </row>
    <row r="490">
      <c r="A490" t="inlineStr">
        <is>
          <t>MH-DC-001-MMR-SW-05</t>
        </is>
      </c>
      <c r="B490" t="inlineStr">
        <is>
          <t>et-0/1/0</t>
        </is>
      </c>
      <c r="C490" t="inlineStr">
        <is>
          <t>100G QSFP28</t>
        </is>
      </c>
      <c r="D490" t="n">
        <v>100000</v>
      </c>
      <c r="E490" t="inlineStr">
        <is>
          <t>up</t>
        </is>
      </c>
      <c r="F490" t="inlineStr">
        <is>
          <t>Uplink to MH-DC-001-AGG-R02</t>
        </is>
      </c>
      <c r="G490" t="inlineStr">
        <is>
          <t>QSFP28-100G-LR4</t>
        </is>
      </c>
    </row>
    <row r="491">
      <c r="A491" t="inlineStr">
        <is>
          <t>MH-DC-001-MMR-SW-05</t>
        </is>
      </c>
      <c r="B491" t="inlineStr">
        <is>
          <t>et-0/1/1</t>
        </is>
      </c>
      <c r="C491" t="inlineStr">
        <is>
          <t>100G QSFP28</t>
        </is>
      </c>
      <c r="D491" t="n">
        <v>100000</v>
      </c>
      <c r="E491" t="inlineStr">
        <is>
          <t>up</t>
        </is>
      </c>
      <c r="F491" t="inlineStr">
        <is>
          <t>Uplink to MH-DC-001-AGG-R02</t>
        </is>
      </c>
      <c r="G491" t="inlineStr">
        <is>
          <t>QSFP28-100G-LR4</t>
        </is>
      </c>
    </row>
    <row r="492">
      <c r="A492" t="inlineStr">
        <is>
          <t>MH-DC-001-MMR-SW-05</t>
        </is>
      </c>
      <c r="B492" t="inlineStr">
        <is>
          <t>et-0/1/2</t>
        </is>
      </c>
      <c r="C492" t="inlineStr">
        <is>
          <t>100G QSFP28</t>
        </is>
      </c>
      <c r="D492" t="n">
        <v>100000</v>
      </c>
      <c r="E492" t="inlineStr">
        <is>
          <t>admin-down</t>
        </is>
      </c>
    </row>
    <row r="493">
      <c r="A493" t="inlineStr">
        <is>
          <t>MH-DC-001-MMR-SW-05</t>
        </is>
      </c>
      <c r="B493" t="inlineStr">
        <is>
          <t>et-0/1/3</t>
        </is>
      </c>
      <c r="C493" t="inlineStr">
        <is>
          <t>100G QSFP28</t>
        </is>
      </c>
      <c r="D493" t="n">
        <v>100000</v>
      </c>
      <c r="E493" t="inlineStr">
        <is>
          <t>admin-down</t>
        </is>
      </c>
    </row>
    <row r="494">
      <c r="A494" t="inlineStr">
        <is>
          <t>MH-DC-001-MMR-SW-06</t>
        </is>
      </c>
      <c r="B494" t="inlineStr">
        <is>
          <t>Te0/0/0/0</t>
        </is>
      </c>
      <c r="C494" t="inlineStr">
        <is>
          <t>10G SFP+</t>
        </is>
      </c>
      <c r="D494" t="n">
        <v>10000</v>
      </c>
      <c r="E494" t="inlineStr">
        <is>
          <t>up</t>
        </is>
      </c>
      <c r="F494" t="inlineStr">
        <is>
          <t>Access to MH-DC-001-TOR-005</t>
        </is>
      </c>
      <c r="G494" t="inlineStr">
        <is>
          <t>SFP-10G-LR</t>
        </is>
      </c>
    </row>
    <row r="495">
      <c r="A495" t="inlineStr">
        <is>
          <t>MH-DC-001-MMR-SW-06</t>
        </is>
      </c>
      <c r="B495" t="inlineStr">
        <is>
          <t>Te0/0/0/1</t>
        </is>
      </c>
      <c r="C495" t="inlineStr">
        <is>
          <t>10G SFP+</t>
        </is>
      </c>
      <c r="D495" t="n">
        <v>10000</v>
      </c>
      <c r="E495" t="inlineStr">
        <is>
          <t>up</t>
        </is>
      </c>
      <c r="F495" t="inlineStr">
        <is>
          <t>Access to MH-DC-001-TOR-006</t>
        </is>
      </c>
      <c r="G495" t="inlineStr">
        <is>
          <t>SFP-10G-LR</t>
        </is>
      </c>
    </row>
    <row r="496">
      <c r="A496" t="inlineStr">
        <is>
          <t>MH-DC-001-MMR-SW-06</t>
        </is>
      </c>
      <c r="B496" t="inlineStr">
        <is>
          <t>Te0/0/0/2</t>
        </is>
      </c>
      <c r="C496" t="inlineStr">
        <is>
          <t>10G SFP+</t>
        </is>
      </c>
      <c r="D496" t="n">
        <v>10000</v>
      </c>
      <c r="E496" t="inlineStr">
        <is>
          <t>up</t>
        </is>
      </c>
      <c r="F496" t="inlineStr">
        <is>
          <t>Server NIC</t>
        </is>
      </c>
    </row>
    <row r="497">
      <c r="A497" t="inlineStr">
        <is>
          <t>MH-DC-001-MMR-SW-06</t>
        </is>
      </c>
      <c r="B497" t="inlineStr">
        <is>
          <t>Te0/0/0/3</t>
        </is>
      </c>
      <c r="C497" t="inlineStr">
        <is>
          <t>10G SFP+</t>
        </is>
      </c>
      <c r="D497" t="n">
        <v>10000</v>
      </c>
      <c r="E497" t="inlineStr">
        <is>
          <t>up</t>
        </is>
      </c>
      <c r="F497" t="inlineStr">
        <is>
          <t>Server NIC</t>
        </is>
      </c>
    </row>
    <row r="498">
      <c r="A498" t="inlineStr">
        <is>
          <t>MH-DC-001-MMR-SW-06</t>
        </is>
      </c>
      <c r="B498" t="inlineStr">
        <is>
          <t>Te0/0/0/4</t>
        </is>
      </c>
      <c r="C498" t="inlineStr">
        <is>
          <t>10G SFP+</t>
        </is>
      </c>
      <c r="D498" t="n">
        <v>10000</v>
      </c>
      <c r="E498" t="inlineStr">
        <is>
          <t>admin-down</t>
        </is>
      </c>
    </row>
    <row r="499">
      <c r="A499" t="inlineStr">
        <is>
          <t>MH-DC-001-MMR-SW-06</t>
        </is>
      </c>
      <c r="B499" t="inlineStr">
        <is>
          <t>Te0/0/0/5</t>
        </is>
      </c>
      <c r="C499" t="inlineStr">
        <is>
          <t>10G SFP+</t>
        </is>
      </c>
      <c r="D499" t="n">
        <v>10000</v>
      </c>
      <c r="E499" t="inlineStr">
        <is>
          <t>up</t>
        </is>
      </c>
      <c r="F499" t="inlineStr">
        <is>
          <t>Server NIC</t>
        </is>
      </c>
    </row>
    <row r="500">
      <c r="A500" t="inlineStr">
        <is>
          <t>MH-DC-001-MMR-SW-06</t>
        </is>
      </c>
      <c r="B500" t="inlineStr">
        <is>
          <t>Te0/0/0/6</t>
        </is>
      </c>
      <c r="C500" t="inlineStr">
        <is>
          <t>10G SFP+</t>
        </is>
      </c>
      <c r="D500" t="n">
        <v>10000</v>
      </c>
      <c r="E500" t="inlineStr">
        <is>
          <t>up</t>
        </is>
      </c>
      <c r="F500" t="inlineStr">
        <is>
          <t>Server NIC</t>
        </is>
      </c>
    </row>
    <row r="501">
      <c r="A501" t="inlineStr">
        <is>
          <t>MH-DC-001-MMR-SW-06</t>
        </is>
      </c>
      <c r="B501" t="inlineStr">
        <is>
          <t>Te0/0/0/7</t>
        </is>
      </c>
      <c r="C501" t="inlineStr">
        <is>
          <t>10G SFP+</t>
        </is>
      </c>
      <c r="D501" t="n">
        <v>10000</v>
      </c>
      <c r="E501" t="inlineStr">
        <is>
          <t>up</t>
        </is>
      </c>
      <c r="F501" t="inlineStr">
        <is>
          <t>Server NIC</t>
        </is>
      </c>
    </row>
    <row r="502">
      <c r="A502" t="inlineStr">
        <is>
          <t>MH-DC-001-MMR-SW-06</t>
        </is>
      </c>
      <c r="B502" t="inlineStr">
        <is>
          <t>Te0/0/0/8</t>
        </is>
      </c>
      <c r="C502" t="inlineStr">
        <is>
          <t>10G SFP+</t>
        </is>
      </c>
      <c r="D502" t="n">
        <v>10000</v>
      </c>
      <c r="E502" t="inlineStr">
        <is>
          <t>up</t>
        </is>
      </c>
      <c r="F502" t="inlineStr">
        <is>
          <t>Server NIC</t>
        </is>
      </c>
    </row>
    <row r="503">
      <c r="A503" t="inlineStr">
        <is>
          <t>MH-DC-001-MMR-SW-06</t>
        </is>
      </c>
      <c r="B503" t="inlineStr">
        <is>
          <t>Te0/0/0/9</t>
        </is>
      </c>
      <c r="C503" t="inlineStr">
        <is>
          <t>10G SFP+</t>
        </is>
      </c>
      <c r="D503" t="n">
        <v>10000</v>
      </c>
      <c r="E503" t="inlineStr">
        <is>
          <t>up</t>
        </is>
      </c>
      <c r="F503" t="inlineStr">
        <is>
          <t>Server NIC</t>
        </is>
      </c>
    </row>
    <row r="504">
      <c r="A504" t="inlineStr">
        <is>
          <t>MH-DC-001-MMR-SW-06</t>
        </is>
      </c>
      <c r="B504" t="inlineStr">
        <is>
          <t>Te0/0/0/10</t>
        </is>
      </c>
      <c r="C504" t="inlineStr">
        <is>
          <t>10G SFP+</t>
        </is>
      </c>
      <c r="D504" t="n">
        <v>10000</v>
      </c>
      <c r="E504" t="inlineStr">
        <is>
          <t>admin-down</t>
        </is>
      </c>
    </row>
    <row r="505">
      <c r="A505" t="inlineStr">
        <is>
          <t>MH-DC-001-MMR-SW-06</t>
        </is>
      </c>
      <c r="B505" t="inlineStr">
        <is>
          <t>Te0/0/0/11</t>
        </is>
      </c>
      <c r="C505" t="inlineStr">
        <is>
          <t>10G SFP+</t>
        </is>
      </c>
      <c r="D505" t="n">
        <v>10000</v>
      </c>
      <c r="E505" t="inlineStr">
        <is>
          <t>admin-down</t>
        </is>
      </c>
    </row>
    <row r="506">
      <c r="A506" t="inlineStr">
        <is>
          <t>MH-DC-001-MMR-SW-06</t>
        </is>
      </c>
      <c r="B506" t="inlineStr">
        <is>
          <t>Te0/0/0/12</t>
        </is>
      </c>
      <c r="C506" t="inlineStr">
        <is>
          <t>10G SFP+</t>
        </is>
      </c>
      <c r="D506" t="n">
        <v>10000</v>
      </c>
      <c r="E506" t="inlineStr">
        <is>
          <t>admin-down</t>
        </is>
      </c>
    </row>
    <row r="507">
      <c r="A507" t="inlineStr">
        <is>
          <t>MH-DC-001-MMR-SW-06</t>
        </is>
      </c>
      <c r="B507" t="inlineStr">
        <is>
          <t>Te0/0/0/13</t>
        </is>
      </c>
      <c r="C507" t="inlineStr">
        <is>
          <t>10G SFP+</t>
        </is>
      </c>
      <c r="D507" t="n">
        <v>10000</v>
      </c>
      <c r="E507" t="inlineStr">
        <is>
          <t>up</t>
        </is>
      </c>
      <c r="F507" t="inlineStr">
        <is>
          <t>Server NIC</t>
        </is>
      </c>
    </row>
    <row r="508">
      <c r="A508" t="inlineStr">
        <is>
          <t>MH-DC-001-MMR-SW-06</t>
        </is>
      </c>
      <c r="B508" t="inlineStr">
        <is>
          <t>Te0/0/0/14</t>
        </is>
      </c>
      <c r="C508" t="inlineStr">
        <is>
          <t>10G SFP+</t>
        </is>
      </c>
      <c r="D508" t="n">
        <v>10000</v>
      </c>
      <c r="E508" t="inlineStr">
        <is>
          <t>admin-down</t>
        </is>
      </c>
    </row>
    <row r="509">
      <c r="A509" t="inlineStr">
        <is>
          <t>MH-DC-001-MMR-SW-06</t>
        </is>
      </c>
      <c r="B509" t="inlineStr">
        <is>
          <t>Te0/0/0/15</t>
        </is>
      </c>
      <c r="C509" t="inlineStr">
        <is>
          <t>10G SFP+</t>
        </is>
      </c>
      <c r="D509" t="n">
        <v>10000</v>
      </c>
      <c r="E509" t="inlineStr">
        <is>
          <t>up</t>
        </is>
      </c>
      <c r="F509" t="inlineStr">
        <is>
          <t>Server NIC</t>
        </is>
      </c>
    </row>
    <row r="510">
      <c r="A510" t="inlineStr">
        <is>
          <t>MH-DC-001-MMR-SW-06</t>
        </is>
      </c>
      <c r="B510" t="inlineStr">
        <is>
          <t>Te0/0/0/16</t>
        </is>
      </c>
      <c r="C510" t="inlineStr">
        <is>
          <t>10G SFP+</t>
        </is>
      </c>
      <c r="D510" t="n">
        <v>10000</v>
      </c>
      <c r="E510" t="inlineStr">
        <is>
          <t>up</t>
        </is>
      </c>
      <c r="F510" t="inlineStr">
        <is>
          <t>Server NIC</t>
        </is>
      </c>
    </row>
    <row r="511">
      <c r="A511" t="inlineStr">
        <is>
          <t>MH-DC-001-MMR-SW-06</t>
        </is>
      </c>
      <c r="B511" t="inlineStr">
        <is>
          <t>Te0/0/0/17</t>
        </is>
      </c>
      <c r="C511" t="inlineStr">
        <is>
          <t>10G SFP+</t>
        </is>
      </c>
      <c r="D511" t="n">
        <v>10000</v>
      </c>
      <c r="E511" t="inlineStr">
        <is>
          <t>up</t>
        </is>
      </c>
      <c r="F511" t="inlineStr">
        <is>
          <t>Server NIC</t>
        </is>
      </c>
    </row>
    <row r="512">
      <c r="A512" t="inlineStr">
        <is>
          <t>MH-DC-001-MMR-SW-06</t>
        </is>
      </c>
      <c r="B512" t="inlineStr">
        <is>
          <t>Te0/0/0/18</t>
        </is>
      </c>
      <c r="C512" t="inlineStr">
        <is>
          <t>10G SFP+</t>
        </is>
      </c>
      <c r="D512" t="n">
        <v>10000</v>
      </c>
      <c r="E512" t="inlineStr">
        <is>
          <t>up</t>
        </is>
      </c>
      <c r="F512" t="inlineStr">
        <is>
          <t>Server NIC</t>
        </is>
      </c>
    </row>
    <row r="513">
      <c r="A513" t="inlineStr">
        <is>
          <t>MH-DC-001-MMR-SW-06</t>
        </is>
      </c>
      <c r="B513" t="inlineStr">
        <is>
          <t>Te0/0/0/19</t>
        </is>
      </c>
      <c r="C513" t="inlineStr">
        <is>
          <t>10G SFP+</t>
        </is>
      </c>
      <c r="D513" t="n">
        <v>10000</v>
      </c>
      <c r="E513" t="inlineStr">
        <is>
          <t>admin-down</t>
        </is>
      </c>
    </row>
    <row r="514">
      <c r="A514" t="inlineStr">
        <is>
          <t>MH-DC-001-MMR-SW-06</t>
        </is>
      </c>
      <c r="B514" t="inlineStr">
        <is>
          <t>Te0/0/0/20</t>
        </is>
      </c>
      <c r="C514" t="inlineStr">
        <is>
          <t>10G SFP+</t>
        </is>
      </c>
      <c r="D514" t="n">
        <v>10000</v>
      </c>
      <c r="E514" t="inlineStr">
        <is>
          <t>up</t>
        </is>
      </c>
      <c r="F514" t="inlineStr">
        <is>
          <t>Server NIC</t>
        </is>
      </c>
    </row>
    <row r="515">
      <c r="A515" t="inlineStr">
        <is>
          <t>MH-DC-001-MMR-SW-06</t>
        </is>
      </c>
      <c r="B515" t="inlineStr">
        <is>
          <t>Te0/0/0/21</t>
        </is>
      </c>
      <c r="C515" t="inlineStr">
        <is>
          <t>10G SFP+</t>
        </is>
      </c>
      <c r="D515" t="n">
        <v>10000</v>
      </c>
      <c r="E515" t="inlineStr">
        <is>
          <t>up</t>
        </is>
      </c>
      <c r="F515" t="inlineStr">
        <is>
          <t>Server NIC</t>
        </is>
      </c>
    </row>
    <row r="516">
      <c r="A516" t="inlineStr">
        <is>
          <t>MH-DC-001-MMR-SW-06</t>
        </is>
      </c>
      <c r="B516" t="inlineStr">
        <is>
          <t>Te0/0/0/22</t>
        </is>
      </c>
      <c r="C516" t="inlineStr">
        <is>
          <t>10G SFP+</t>
        </is>
      </c>
      <c r="D516" t="n">
        <v>10000</v>
      </c>
      <c r="E516" t="inlineStr">
        <is>
          <t>up</t>
        </is>
      </c>
      <c r="F516" t="inlineStr">
        <is>
          <t>Server NIC</t>
        </is>
      </c>
    </row>
    <row r="517">
      <c r="A517" t="inlineStr">
        <is>
          <t>MH-DC-001-MMR-SW-06</t>
        </is>
      </c>
      <c r="B517" t="inlineStr">
        <is>
          <t>Te0/0/0/23</t>
        </is>
      </c>
      <c r="C517" t="inlineStr">
        <is>
          <t>10G SFP+</t>
        </is>
      </c>
      <c r="D517" t="n">
        <v>10000</v>
      </c>
      <c r="E517" t="inlineStr">
        <is>
          <t>up</t>
        </is>
      </c>
      <c r="F517" t="inlineStr">
        <is>
          <t>Server NIC</t>
        </is>
      </c>
    </row>
    <row r="518">
      <c r="A518" t="inlineStr">
        <is>
          <t>MH-DC-001-MMR-SW-06</t>
        </is>
      </c>
      <c r="B518" t="inlineStr">
        <is>
          <t>Te0/0/0/24</t>
        </is>
      </c>
      <c r="C518" t="inlineStr">
        <is>
          <t>10G SFP+</t>
        </is>
      </c>
      <c r="D518" t="n">
        <v>10000</v>
      </c>
      <c r="E518" t="inlineStr">
        <is>
          <t>up</t>
        </is>
      </c>
      <c r="F518" t="inlineStr">
        <is>
          <t>Server NIC</t>
        </is>
      </c>
    </row>
    <row r="519">
      <c r="A519" t="inlineStr">
        <is>
          <t>MH-DC-001-MMR-SW-06</t>
        </is>
      </c>
      <c r="B519" t="inlineStr">
        <is>
          <t>Te0/0/0/25</t>
        </is>
      </c>
      <c r="C519" t="inlineStr">
        <is>
          <t>10G SFP+</t>
        </is>
      </c>
      <c r="D519" t="n">
        <v>10000</v>
      </c>
      <c r="E519" t="inlineStr">
        <is>
          <t>admin-down</t>
        </is>
      </c>
    </row>
    <row r="520">
      <c r="A520" t="inlineStr">
        <is>
          <t>MH-DC-001-MMR-SW-06</t>
        </is>
      </c>
      <c r="B520" t="inlineStr">
        <is>
          <t>Te0/0/0/26</t>
        </is>
      </c>
      <c r="C520" t="inlineStr">
        <is>
          <t>10G SFP+</t>
        </is>
      </c>
      <c r="D520" t="n">
        <v>10000</v>
      </c>
      <c r="E520" t="inlineStr">
        <is>
          <t>up</t>
        </is>
      </c>
      <c r="F520" t="inlineStr">
        <is>
          <t>Server NIC</t>
        </is>
      </c>
    </row>
    <row r="521">
      <c r="A521" t="inlineStr">
        <is>
          <t>MH-DC-001-MMR-SW-06</t>
        </is>
      </c>
      <c r="B521" t="inlineStr">
        <is>
          <t>Te0/0/0/27</t>
        </is>
      </c>
      <c r="C521" t="inlineStr">
        <is>
          <t>10G SFP+</t>
        </is>
      </c>
      <c r="D521" t="n">
        <v>10000</v>
      </c>
      <c r="E521" t="inlineStr">
        <is>
          <t>admin-down</t>
        </is>
      </c>
    </row>
    <row r="522">
      <c r="A522" t="inlineStr">
        <is>
          <t>MH-DC-001-MMR-SW-06</t>
        </is>
      </c>
      <c r="B522" t="inlineStr">
        <is>
          <t>Te0/0/0/28</t>
        </is>
      </c>
      <c r="C522" t="inlineStr">
        <is>
          <t>10G SFP+</t>
        </is>
      </c>
      <c r="D522" t="n">
        <v>10000</v>
      </c>
      <c r="E522" t="inlineStr">
        <is>
          <t>up</t>
        </is>
      </c>
      <c r="F522" t="inlineStr">
        <is>
          <t>Server NIC</t>
        </is>
      </c>
    </row>
    <row r="523">
      <c r="A523" t="inlineStr">
        <is>
          <t>MH-DC-001-MMR-SW-06</t>
        </is>
      </c>
      <c r="B523" t="inlineStr">
        <is>
          <t>Te0/0/0/29</t>
        </is>
      </c>
      <c r="C523" t="inlineStr">
        <is>
          <t>10G SFP+</t>
        </is>
      </c>
      <c r="D523" t="n">
        <v>10000</v>
      </c>
      <c r="E523" t="inlineStr">
        <is>
          <t>admin-down</t>
        </is>
      </c>
    </row>
    <row r="524">
      <c r="A524" t="inlineStr">
        <is>
          <t>MH-DC-001-MMR-SW-06</t>
        </is>
      </c>
      <c r="B524" t="inlineStr">
        <is>
          <t>Te0/0/0/30</t>
        </is>
      </c>
      <c r="C524" t="inlineStr">
        <is>
          <t>10G SFP+</t>
        </is>
      </c>
      <c r="D524" t="n">
        <v>10000</v>
      </c>
      <c r="E524" t="inlineStr">
        <is>
          <t>admin-down</t>
        </is>
      </c>
    </row>
    <row r="525">
      <c r="A525" t="inlineStr">
        <is>
          <t>MH-DC-001-MMR-SW-06</t>
        </is>
      </c>
      <c r="B525" t="inlineStr">
        <is>
          <t>Te0/0/0/31</t>
        </is>
      </c>
      <c r="C525" t="inlineStr">
        <is>
          <t>10G SFP+</t>
        </is>
      </c>
      <c r="D525" t="n">
        <v>10000</v>
      </c>
      <c r="E525" t="inlineStr">
        <is>
          <t>up</t>
        </is>
      </c>
      <c r="F525" t="inlineStr">
        <is>
          <t>Server NIC</t>
        </is>
      </c>
    </row>
    <row r="526">
      <c r="A526" t="inlineStr">
        <is>
          <t>MH-DC-001-MMR-SW-06</t>
        </is>
      </c>
      <c r="B526" t="inlineStr">
        <is>
          <t>Te0/0/0/32</t>
        </is>
      </c>
      <c r="C526" t="inlineStr">
        <is>
          <t>10G SFP+</t>
        </is>
      </c>
      <c r="D526" t="n">
        <v>10000</v>
      </c>
      <c r="E526" t="inlineStr">
        <is>
          <t>up</t>
        </is>
      </c>
      <c r="F526" t="inlineStr">
        <is>
          <t>Server NIC</t>
        </is>
      </c>
    </row>
    <row r="527">
      <c r="A527" t="inlineStr">
        <is>
          <t>MH-DC-001-MMR-SW-06</t>
        </is>
      </c>
      <c r="B527" t="inlineStr">
        <is>
          <t>Te0/0/0/33</t>
        </is>
      </c>
      <c r="C527" t="inlineStr">
        <is>
          <t>10G SFP+</t>
        </is>
      </c>
      <c r="D527" t="n">
        <v>10000</v>
      </c>
      <c r="E527" t="inlineStr">
        <is>
          <t>admin-down</t>
        </is>
      </c>
    </row>
    <row r="528">
      <c r="A528" t="inlineStr">
        <is>
          <t>MH-DC-001-MMR-SW-06</t>
        </is>
      </c>
      <c r="B528" t="inlineStr">
        <is>
          <t>Te0/0/0/34</t>
        </is>
      </c>
      <c r="C528" t="inlineStr">
        <is>
          <t>10G SFP+</t>
        </is>
      </c>
      <c r="D528" t="n">
        <v>10000</v>
      </c>
      <c r="E528" t="inlineStr">
        <is>
          <t>admin-down</t>
        </is>
      </c>
    </row>
    <row r="529">
      <c r="A529" t="inlineStr">
        <is>
          <t>MH-DC-001-MMR-SW-06</t>
        </is>
      </c>
      <c r="B529" t="inlineStr">
        <is>
          <t>Te0/0/0/35</t>
        </is>
      </c>
      <c r="C529" t="inlineStr">
        <is>
          <t>10G SFP+</t>
        </is>
      </c>
      <c r="D529" t="n">
        <v>10000</v>
      </c>
      <c r="E529" t="inlineStr">
        <is>
          <t>up</t>
        </is>
      </c>
      <c r="F529" t="inlineStr">
        <is>
          <t>Server NIC</t>
        </is>
      </c>
    </row>
    <row r="530">
      <c r="A530" t="inlineStr">
        <is>
          <t>MH-DC-001-MMR-SW-06</t>
        </is>
      </c>
      <c r="B530" t="inlineStr">
        <is>
          <t>Te0/0/0/36</t>
        </is>
      </c>
      <c r="C530" t="inlineStr">
        <is>
          <t>10G SFP+</t>
        </is>
      </c>
      <c r="D530" t="n">
        <v>10000</v>
      </c>
      <c r="E530" t="inlineStr">
        <is>
          <t>up</t>
        </is>
      </c>
      <c r="F530" t="inlineStr">
        <is>
          <t>Server NIC</t>
        </is>
      </c>
    </row>
    <row r="531">
      <c r="A531" t="inlineStr">
        <is>
          <t>MH-DC-001-MMR-SW-06</t>
        </is>
      </c>
      <c r="B531" t="inlineStr">
        <is>
          <t>Te0/0/0/37</t>
        </is>
      </c>
      <c r="C531" t="inlineStr">
        <is>
          <t>10G SFP+</t>
        </is>
      </c>
      <c r="D531" t="n">
        <v>10000</v>
      </c>
      <c r="E531" t="inlineStr">
        <is>
          <t>up</t>
        </is>
      </c>
      <c r="F531" t="inlineStr">
        <is>
          <t>Server NIC</t>
        </is>
      </c>
    </row>
    <row r="532">
      <c r="A532" t="inlineStr">
        <is>
          <t>MH-DC-001-MMR-SW-06</t>
        </is>
      </c>
      <c r="B532" t="inlineStr">
        <is>
          <t>Te0/0/0/38</t>
        </is>
      </c>
      <c r="C532" t="inlineStr">
        <is>
          <t>10G SFP+</t>
        </is>
      </c>
      <c r="D532" t="n">
        <v>10000</v>
      </c>
      <c r="E532" t="inlineStr">
        <is>
          <t>admin-down</t>
        </is>
      </c>
    </row>
    <row r="533">
      <c r="A533" t="inlineStr">
        <is>
          <t>MH-DC-001-MMR-SW-06</t>
        </is>
      </c>
      <c r="B533" t="inlineStr">
        <is>
          <t>Te0/0/0/39</t>
        </is>
      </c>
      <c r="C533" t="inlineStr">
        <is>
          <t>10G SFP+</t>
        </is>
      </c>
      <c r="D533" t="n">
        <v>10000</v>
      </c>
      <c r="E533" t="inlineStr">
        <is>
          <t>up</t>
        </is>
      </c>
      <c r="F533" t="inlineStr">
        <is>
          <t>Server NIC</t>
        </is>
      </c>
    </row>
    <row r="534">
      <c r="A534" t="inlineStr">
        <is>
          <t>MH-DC-001-MMR-SW-06</t>
        </is>
      </c>
      <c r="B534" t="inlineStr">
        <is>
          <t>Te0/0/0/40</t>
        </is>
      </c>
      <c r="C534" t="inlineStr">
        <is>
          <t>10G SFP+</t>
        </is>
      </c>
      <c r="D534" t="n">
        <v>10000</v>
      </c>
      <c r="E534" t="inlineStr">
        <is>
          <t>up</t>
        </is>
      </c>
      <c r="F534" t="inlineStr">
        <is>
          <t>Server NIC</t>
        </is>
      </c>
    </row>
    <row r="535">
      <c r="A535" t="inlineStr">
        <is>
          <t>MH-DC-001-MMR-SW-06</t>
        </is>
      </c>
      <c r="B535" t="inlineStr">
        <is>
          <t>Te0/0/0/41</t>
        </is>
      </c>
      <c r="C535" t="inlineStr">
        <is>
          <t>10G SFP+</t>
        </is>
      </c>
      <c r="D535" t="n">
        <v>10000</v>
      </c>
      <c r="E535" t="inlineStr">
        <is>
          <t>admin-down</t>
        </is>
      </c>
    </row>
    <row r="536">
      <c r="A536" t="inlineStr">
        <is>
          <t>MH-DC-001-MMR-SW-06</t>
        </is>
      </c>
      <c r="B536" t="inlineStr">
        <is>
          <t>Te0/0/0/42</t>
        </is>
      </c>
      <c r="C536" t="inlineStr">
        <is>
          <t>10G SFP+</t>
        </is>
      </c>
      <c r="D536" t="n">
        <v>10000</v>
      </c>
      <c r="E536" t="inlineStr">
        <is>
          <t>admin-down</t>
        </is>
      </c>
    </row>
    <row r="537">
      <c r="A537" t="inlineStr">
        <is>
          <t>MH-DC-001-MMR-SW-06</t>
        </is>
      </c>
      <c r="B537" t="inlineStr">
        <is>
          <t>Te0/0/0/43</t>
        </is>
      </c>
      <c r="C537" t="inlineStr">
        <is>
          <t>10G SFP+</t>
        </is>
      </c>
      <c r="D537" t="n">
        <v>10000</v>
      </c>
      <c r="E537" t="inlineStr">
        <is>
          <t>admin-down</t>
        </is>
      </c>
    </row>
    <row r="538">
      <c r="A538" t="inlineStr">
        <is>
          <t>MH-DC-001-MMR-SW-06</t>
        </is>
      </c>
      <c r="B538" t="inlineStr">
        <is>
          <t>Te0/0/0/44</t>
        </is>
      </c>
      <c r="C538" t="inlineStr">
        <is>
          <t>10G SFP+</t>
        </is>
      </c>
      <c r="D538" t="n">
        <v>10000</v>
      </c>
      <c r="E538" t="inlineStr">
        <is>
          <t>up</t>
        </is>
      </c>
      <c r="F538" t="inlineStr">
        <is>
          <t>Server NIC</t>
        </is>
      </c>
    </row>
    <row r="539">
      <c r="A539" t="inlineStr">
        <is>
          <t>MH-DC-001-MMR-SW-06</t>
        </is>
      </c>
      <c r="B539" t="inlineStr">
        <is>
          <t>Te0/0/0/45</t>
        </is>
      </c>
      <c r="C539" t="inlineStr">
        <is>
          <t>10G SFP+</t>
        </is>
      </c>
      <c r="D539" t="n">
        <v>10000</v>
      </c>
      <c r="E539" t="inlineStr">
        <is>
          <t>up</t>
        </is>
      </c>
      <c r="F539" t="inlineStr">
        <is>
          <t>Server NIC</t>
        </is>
      </c>
    </row>
    <row r="540">
      <c r="A540" t="inlineStr">
        <is>
          <t>MH-DC-001-MMR-SW-06</t>
        </is>
      </c>
      <c r="B540" t="inlineStr">
        <is>
          <t>Te0/0/0/46</t>
        </is>
      </c>
      <c r="C540" t="inlineStr">
        <is>
          <t>10G SFP+</t>
        </is>
      </c>
      <c r="D540" t="n">
        <v>10000</v>
      </c>
      <c r="E540" t="inlineStr">
        <is>
          <t>admin-down</t>
        </is>
      </c>
    </row>
    <row r="541">
      <c r="A541" t="inlineStr">
        <is>
          <t>MH-DC-001-MMR-SW-06</t>
        </is>
      </c>
      <c r="B541" t="inlineStr">
        <is>
          <t>Te0/0/0/47</t>
        </is>
      </c>
      <c r="C541" t="inlineStr">
        <is>
          <t>10G SFP+</t>
        </is>
      </c>
      <c r="D541" t="n">
        <v>10000</v>
      </c>
      <c r="E541" t="inlineStr">
        <is>
          <t>up</t>
        </is>
      </c>
      <c r="F541" t="inlineStr">
        <is>
          <t>Server NIC</t>
        </is>
      </c>
    </row>
    <row r="542">
      <c r="A542" t="inlineStr">
        <is>
          <t>MH-DC-001-MMR-SW-06</t>
        </is>
      </c>
      <c r="B542" t="inlineStr">
        <is>
          <t>Hu0/0/1/0</t>
        </is>
      </c>
      <c r="C542" t="inlineStr">
        <is>
          <t>100G QSFP28</t>
        </is>
      </c>
      <c r="D542" t="n">
        <v>100000</v>
      </c>
      <c r="E542" t="inlineStr">
        <is>
          <t>up</t>
        </is>
      </c>
      <c r="F542" t="inlineStr">
        <is>
          <t>Uplink to MH-DC-001-AGG-R03</t>
        </is>
      </c>
      <c r="G542" t="inlineStr">
        <is>
          <t>QSFP28-100G-LR4</t>
        </is>
      </c>
    </row>
    <row r="543">
      <c r="A543" t="inlineStr">
        <is>
          <t>MH-DC-001-MMR-SW-06</t>
        </is>
      </c>
      <c r="B543" t="inlineStr">
        <is>
          <t>Hu0/0/1/1</t>
        </is>
      </c>
      <c r="C543" t="inlineStr">
        <is>
          <t>100G QSFP28</t>
        </is>
      </c>
      <c r="D543" t="n">
        <v>100000</v>
      </c>
      <c r="E543" t="inlineStr">
        <is>
          <t>up</t>
        </is>
      </c>
      <c r="F543" t="inlineStr">
        <is>
          <t>Uplink to MH-DC-001-AGG-R03</t>
        </is>
      </c>
      <c r="G543" t="inlineStr">
        <is>
          <t>QSFP28-100G-LR4</t>
        </is>
      </c>
    </row>
    <row r="544">
      <c r="A544" t="inlineStr">
        <is>
          <t>MH-DC-001-MMR-SW-06</t>
        </is>
      </c>
      <c r="B544" t="inlineStr">
        <is>
          <t>Hu0/0/1/2</t>
        </is>
      </c>
      <c r="C544" t="inlineStr">
        <is>
          <t>100G QSFP28</t>
        </is>
      </c>
      <c r="D544" t="n">
        <v>100000</v>
      </c>
      <c r="E544" t="inlineStr">
        <is>
          <t>admin-down</t>
        </is>
      </c>
    </row>
    <row r="545">
      <c r="A545" t="inlineStr">
        <is>
          <t>MH-DC-001-MMR-SW-06</t>
        </is>
      </c>
      <c r="B545" t="inlineStr">
        <is>
          <t>Hu0/0/1/3</t>
        </is>
      </c>
      <c r="C545" t="inlineStr">
        <is>
          <t>100G QSFP28</t>
        </is>
      </c>
      <c r="D545" t="n">
        <v>100000</v>
      </c>
      <c r="E545" t="inlineStr">
        <is>
          <t>admin-down</t>
        </is>
      </c>
    </row>
    <row r="546">
      <c r="A546" t="inlineStr">
        <is>
          <t>MH-DC-001-MMR-SW-07</t>
        </is>
      </c>
      <c r="B546" t="inlineStr">
        <is>
          <t>Te0/0/0/0</t>
        </is>
      </c>
      <c r="C546" t="inlineStr">
        <is>
          <t>10G SFP+</t>
        </is>
      </c>
      <c r="D546" t="n">
        <v>10000</v>
      </c>
      <c r="E546" t="inlineStr">
        <is>
          <t>up</t>
        </is>
      </c>
      <c r="F546" t="inlineStr">
        <is>
          <t>Access to MH-DC-001-TOR-006</t>
        </is>
      </c>
      <c r="G546" t="inlineStr">
        <is>
          <t>SFP-10G-LR</t>
        </is>
      </c>
    </row>
    <row r="547">
      <c r="A547" t="inlineStr">
        <is>
          <t>MH-DC-001-MMR-SW-07</t>
        </is>
      </c>
      <c r="B547" t="inlineStr">
        <is>
          <t>Te0/0/0/1</t>
        </is>
      </c>
      <c r="C547" t="inlineStr">
        <is>
          <t>10G SFP+</t>
        </is>
      </c>
      <c r="D547" t="n">
        <v>10000</v>
      </c>
      <c r="E547" t="inlineStr">
        <is>
          <t>admin-down</t>
        </is>
      </c>
    </row>
    <row r="548">
      <c r="A548" t="inlineStr">
        <is>
          <t>MH-DC-001-MMR-SW-07</t>
        </is>
      </c>
      <c r="B548" t="inlineStr">
        <is>
          <t>Te0/0/0/2</t>
        </is>
      </c>
      <c r="C548" t="inlineStr">
        <is>
          <t>10G SFP+</t>
        </is>
      </c>
      <c r="D548" t="n">
        <v>10000</v>
      </c>
      <c r="E548" t="inlineStr">
        <is>
          <t>up</t>
        </is>
      </c>
      <c r="F548" t="inlineStr">
        <is>
          <t>Server NIC</t>
        </is>
      </c>
    </row>
    <row r="549">
      <c r="A549" t="inlineStr">
        <is>
          <t>MH-DC-001-MMR-SW-07</t>
        </is>
      </c>
      <c r="B549" t="inlineStr">
        <is>
          <t>Te0/0/0/3</t>
        </is>
      </c>
      <c r="C549" t="inlineStr">
        <is>
          <t>10G SFP+</t>
        </is>
      </c>
      <c r="D549" t="n">
        <v>10000</v>
      </c>
      <c r="E549" t="inlineStr">
        <is>
          <t>admin-down</t>
        </is>
      </c>
    </row>
    <row r="550">
      <c r="A550" t="inlineStr">
        <is>
          <t>MH-DC-001-MMR-SW-07</t>
        </is>
      </c>
      <c r="B550" t="inlineStr">
        <is>
          <t>Te0/0/0/4</t>
        </is>
      </c>
      <c r="C550" t="inlineStr">
        <is>
          <t>10G SFP+</t>
        </is>
      </c>
      <c r="D550" t="n">
        <v>10000</v>
      </c>
      <c r="E550" t="inlineStr">
        <is>
          <t>up</t>
        </is>
      </c>
      <c r="F550" t="inlineStr">
        <is>
          <t>Server NIC</t>
        </is>
      </c>
    </row>
    <row r="551">
      <c r="A551" t="inlineStr">
        <is>
          <t>MH-DC-001-MMR-SW-07</t>
        </is>
      </c>
      <c r="B551" t="inlineStr">
        <is>
          <t>Te0/0/0/5</t>
        </is>
      </c>
      <c r="C551" t="inlineStr">
        <is>
          <t>10G SFP+</t>
        </is>
      </c>
      <c r="D551" t="n">
        <v>10000</v>
      </c>
      <c r="E551" t="inlineStr">
        <is>
          <t>up</t>
        </is>
      </c>
      <c r="F551" t="inlineStr">
        <is>
          <t>Server NIC</t>
        </is>
      </c>
    </row>
    <row r="552">
      <c r="A552" t="inlineStr">
        <is>
          <t>MH-DC-001-MMR-SW-07</t>
        </is>
      </c>
      <c r="B552" t="inlineStr">
        <is>
          <t>Te0/0/0/6</t>
        </is>
      </c>
      <c r="C552" t="inlineStr">
        <is>
          <t>10G SFP+</t>
        </is>
      </c>
      <c r="D552" t="n">
        <v>10000</v>
      </c>
      <c r="E552" t="inlineStr">
        <is>
          <t>admin-down</t>
        </is>
      </c>
    </row>
    <row r="553">
      <c r="A553" t="inlineStr">
        <is>
          <t>MH-DC-001-MMR-SW-07</t>
        </is>
      </c>
      <c r="B553" t="inlineStr">
        <is>
          <t>Te0/0/0/7</t>
        </is>
      </c>
      <c r="C553" t="inlineStr">
        <is>
          <t>10G SFP+</t>
        </is>
      </c>
      <c r="D553" t="n">
        <v>10000</v>
      </c>
      <c r="E553" t="inlineStr">
        <is>
          <t>admin-down</t>
        </is>
      </c>
    </row>
    <row r="554">
      <c r="A554" t="inlineStr">
        <is>
          <t>MH-DC-001-MMR-SW-07</t>
        </is>
      </c>
      <c r="B554" t="inlineStr">
        <is>
          <t>Te0/0/0/8</t>
        </is>
      </c>
      <c r="C554" t="inlineStr">
        <is>
          <t>10G SFP+</t>
        </is>
      </c>
      <c r="D554" t="n">
        <v>10000</v>
      </c>
      <c r="E554" t="inlineStr">
        <is>
          <t>up</t>
        </is>
      </c>
      <c r="F554" t="inlineStr">
        <is>
          <t>Server NIC</t>
        </is>
      </c>
    </row>
    <row r="555">
      <c r="A555" t="inlineStr">
        <is>
          <t>MH-DC-001-MMR-SW-07</t>
        </is>
      </c>
      <c r="B555" t="inlineStr">
        <is>
          <t>Te0/0/0/9</t>
        </is>
      </c>
      <c r="C555" t="inlineStr">
        <is>
          <t>10G SFP+</t>
        </is>
      </c>
      <c r="D555" t="n">
        <v>10000</v>
      </c>
      <c r="E555" t="inlineStr">
        <is>
          <t>up</t>
        </is>
      </c>
      <c r="F555" t="inlineStr">
        <is>
          <t>Server NIC</t>
        </is>
      </c>
    </row>
    <row r="556">
      <c r="A556" t="inlineStr">
        <is>
          <t>MH-DC-001-MMR-SW-07</t>
        </is>
      </c>
      <c r="B556" t="inlineStr">
        <is>
          <t>Te0/0/0/10</t>
        </is>
      </c>
      <c r="C556" t="inlineStr">
        <is>
          <t>10G SFP+</t>
        </is>
      </c>
      <c r="D556" t="n">
        <v>10000</v>
      </c>
      <c r="E556" t="inlineStr">
        <is>
          <t>reserved</t>
        </is>
      </c>
    </row>
    <row r="557">
      <c r="A557" t="inlineStr">
        <is>
          <t>MH-DC-001-MMR-SW-07</t>
        </is>
      </c>
      <c r="B557" t="inlineStr">
        <is>
          <t>Te0/0/0/11</t>
        </is>
      </c>
      <c r="C557" t="inlineStr">
        <is>
          <t>10G SFP+</t>
        </is>
      </c>
      <c r="D557" t="n">
        <v>10000</v>
      </c>
      <c r="E557" t="inlineStr">
        <is>
          <t>admin-down</t>
        </is>
      </c>
    </row>
    <row r="558">
      <c r="A558" t="inlineStr">
        <is>
          <t>MH-DC-001-MMR-SW-07</t>
        </is>
      </c>
      <c r="B558" t="inlineStr">
        <is>
          <t>Te0/0/0/12</t>
        </is>
      </c>
      <c r="C558" t="inlineStr">
        <is>
          <t>10G SFP+</t>
        </is>
      </c>
      <c r="D558" t="n">
        <v>10000</v>
      </c>
      <c r="E558" t="inlineStr">
        <is>
          <t>up</t>
        </is>
      </c>
      <c r="F558" t="inlineStr">
        <is>
          <t>Server NIC</t>
        </is>
      </c>
    </row>
    <row r="559">
      <c r="A559" t="inlineStr">
        <is>
          <t>MH-DC-001-MMR-SW-07</t>
        </is>
      </c>
      <c r="B559" t="inlineStr">
        <is>
          <t>Te0/0/0/13</t>
        </is>
      </c>
      <c r="C559" t="inlineStr">
        <is>
          <t>10G SFP+</t>
        </is>
      </c>
      <c r="D559" t="n">
        <v>10000</v>
      </c>
      <c r="E559" t="inlineStr">
        <is>
          <t>admin-down</t>
        </is>
      </c>
    </row>
    <row r="560">
      <c r="A560" t="inlineStr">
        <is>
          <t>MH-DC-001-MMR-SW-07</t>
        </is>
      </c>
      <c r="B560" t="inlineStr">
        <is>
          <t>Te0/0/0/14</t>
        </is>
      </c>
      <c r="C560" t="inlineStr">
        <is>
          <t>10G SFP+</t>
        </is>
      </c>
      <c r="D560" t="n">
        <v>10000</v>
      </c>
      <c r="E560" t="inlineStr">
        <is>
          <t>up</t>
        </is>
      </c>
      <c r="F560" t="inlineStr">
        <is>
          <t>Server NIC</t>
        </is>
      </c>
    </row>
    <row r="561">
      <c r="A561" t="inlineStr">
        <is>
          <t>MH-DC-001-MMR-SW-07</t>
        </is>
      </c>
      <c r="B561" t="inlineStr">
        <is>
          <t>Te0/0/0/15</t>
        </is>
      </c>
      <c r="C561" t="inlineStr">
        <is>
          <t>10G SFP+</t>
        </is>
      </c>
      <c r="D561" t="n">
        <v>10000</v>
      </c>
      <c r="E561" t="inlineStr">
        <is>
          <t>admin-down</t>
        </is>
      </c>
    </row>
    <row r="562">
      <c r="A562" t="inlineStr">
        <is>
          <t>MH-DC-001-MMR-SW-07</t>
        </is>
      </c>
      <c r="B562" t="inlineStr">
        <is>
          <t>Te0/0/0/16</t>
        </is>
      </c>
      <c r="C562" t="inlineStr">
        <is>
          <t>10G SFP+</t>
        </is>
      </c>
      <c r="D562" t="n">
        <v>10000</v>
      </c>
      <c r="E562" t="inlineStr">
        <is>
          <t>up</t>
        </is>
      </c>
      <c r="F562" t="inlineStr">
        <is>
          <t>Server NIC</t>
        </is>
      </c>
    </row>
    <row r="563">
      <c r="A563" t="inlineStr">
        <is>
          <t>MH-DC-001-MMR-SW-07</t>
        </is>
      </c>
      <c r="B563" t="inlineStr">
        <is>
          <t>Te0/0/0/17</t>
        </is>
      </c>
      <c r="C563" t="inlineStr">
        <is>
          <t>10G SFP+</t>
        </is>
      </c>
      <c r="D563" t="n">
        <v>10000</v>
      </c>
      <c r="E563" t="inlineStr">
        <is>
          <t>up</t>
        </is>
      </c>
      <c r="F563" t="inlineStr">
        <is>
          <t>Server NIC</t>
        </is>
      </c>
    </row>
    <row r="564">
      <c r="A564" t="inlineStr">
        <is>
          <t>MH-DC-001-MMR-SW-07</t>
        </is>
      </c>
      <c r="B564" t="inlineStr">
        <is>
          <t>Te0/0/0/18</t>
        </is>
      </c>
      <c r="C564" t="inlineStr">
        <is>
          <t>10G SFP+</t>
        </is>
      </c>
      <c r="D564" t="n">
        <v>10000</v>
      </c>
      <c r="E564" t="inlineStr">
        <is>
          <t>admin-down</t>
        </is>
      </c>
    </row>
    <row r="565">
      <c r="A565" t="inlineStr">
        <is>
          <t>MH-DC-001-MMR-SW-07</t>
        </is>
      </c>
      <c r="B565" t="inlineStr">
        <is>
          <t>Te0/0/0/19</t>
        </is>
      </c>
      <c r="C565" t="inlineStr">
        <is>
          <t>10G SFP+</t>
        </is>
      </c>
      <c r="D565" t="n">
        <v>10000</v>
      </c>
      <c r="E565" t="inlineStr">
        <is>
          <t>up</t>
        </is>
      </c>
      <c r="F565" t="inlineStr">
        <is>
          <t>Server NIC</t>
        </is>
      </c>
    </row>
    <row r="566">
      <c r="A566" t="inlineStr">
        <is>
          <t>MH-DC-001-MMR-SW-07</t>
        </is>
      </c>
      <c r="B566" t="inlineStr">
        <is>
          <t>Te0/0/0/20</t>
        </is>
      </c>
      <c r="C566" t="inlineStr">
        <is>
          <t>10G SFP+</t>
        </is>
      </c>
      <c r="D566" t="n">
        <v>10000</v>
      </c>
      <c r="E566" t="inlineStr">
        <is>
          <t>admin-down</t>
        </is>
      </c>
    </row>
    <row r="567">
      <c r="A567" t="inlineStr">
        <is>
          <t>MH-DC-001-MMR-SW-07</t>
        </is>
      </c>
      <c r="B567" t="inlineStr">
        <is>
          <t>Te0/0/0/21</t>
        </is>
      </c>
      <c r="C567" t="inlineStr">
        <is>
          <t>10G SFP+</t>
        </is>
      </c>
      <c r="D567" t="n">
        <v>10000</v>
      </c>
      <c r="E567" t="inlineStr">
        <is>
          <t>up</t>
        </is>
      </c>
      <c r="F567" t="inlineStr">
        <is>
          <t>Server NIC</t>
        </is>
      </c>
    </row>
    <row r="568">
      <c r="A568" t="inlineStr">
        <is>
          <t>MH-DC-001-MMR-SW-07</t>
        </is>
      </c>
      <c r="B568" t="inlineStr">
        <is>
          <t>Te0/0/0/22</t>
        </is>
      </c>
      <c r="C568" t="inlineStr">
        <is>
          <t>10G SFP+</t>
        </is>
      </c>
      <c r="D568" t="n">
        <v>10000</v>
      </c>
      <c r="E568" t="inlineStr">
        <is>
          <t>up</t>
        </is>
      </c>
      <c r="F568" t="inlineStr">
        <is>
          <t>Server NIC</t>
        </is>
      </c>
    </row>
    <row r="569">
      <c r="A569" t="inlineStr">
        <is>
          <t>MH-DC-001-MMR-SW-07</t>
        </is>
      </c>
      <c r="B569" t="inlineStr">
        <is>
          <t>Te0/0/0/23</t>
        </is>
      </c>
      <c r="C569" t="inlineStr">
        <is>
          <t>10G SFP+</t>
        </is>
      </c>
      <c r="D569" t="n">
        <v>10000</v>
      </c>
      <c r="E569" t="inlineStr">
        <is>
          <t>up</t>
        </is>
      </c>
      <c r="F569" t="inlineStr">
        <is>
          <t>Server NIC</t>
        </is>
      </c>
    </row>
    <row r="570">
      <c r="A570" t="inlineStr">
        <is>
          <t>MH-DC-001-MMR-SW-07</t>
        </is>
      </c>
      <c r="B570" t="inlineStr">
        <is>
          <t>Te0/0/0/24</t>
        </is>
      </c>
      <c r="C570" t="inlineStr">
        <is>
          <t>10G SFP+</t>
        </is>
      </c>
      <c r="D570" t="n">
        <v>10000</v>
      </c>
      <c r="E570" t="inlineStr">
        <is>
          <t>up</t>
        </is>
      </c>
      <c r="F570" t="inlineStr">
        <is>
          <t>Server NIC</t>
        </is>
      </c>
    </row>
    <row r="571">
      <c r="A571" t="inlineStr">
        <is>
          <t>MH-DC-001-MMR-SW-07</t>
        </is>
      </c>
      <c r="B571" t="inlineStr">
        <is>
          <t>Te0/0/0/25</t>
        </is>
      </c>
      <c r="C571" t="inlineStr">
        <is>
          <t>10G SFP+</t>
        </is>
      </c>
      <c r="D571" t="n">
        <v>10000</v>
      </c>
      <c r="E571" t="inlineStr">
        <is>
          <t>up</t>
        </is>
      </c>
      <c r="F571" t="inlineStr">
        <is>
          <t>Server NIC</t>
        </is>
      </c>
    </row>
    <row r="572">
      <c r="A572" t="inlineStr">
        <is>
          <t>MH-DC-001-MMR-SW-07</t>
        </is>
      </c>
      <c r="B572" t="inlineStr">
        <is>
          <t>Te0/0/0/26</t>
        </is>
      </c>
      <c r="C572" t="inlineStr">
        <is>
          <t>10G SFP+</t>
        </is>
      </c>
      <c r="D572" t="n">
        <v>10000</v>
      </c>
      <c r="E572" t="inlineStr">
        <is>
          <t>admin-down</t>
        </is>
      </c>
    </row>
    <row r="573">
      <c r="A573" t="inlineStr">
        <is>
          <t>MH-DC-001-MMR-SW-07</t>
        </is>
      </c>
      <c r="B573" t="inlineStr">
        <is>
          <t>Te0/0/0/27</t>
        </is>
      </c>
      <c r="C573" t="inlineStr">
        <is>
          <t>10G SFP+</t>
        </is>
      </c>
      <c r="D573" t="n">
        <v>10000</v>
      </c>
      <c r="E573" t="inlineStr">
        <is>
          <t>up</t>
        </is>
      </c>
      <c r="F573" t="inlineStr">
        <is>
          <t>Server NIC</t>
        </is>
      </c>
    </row>
    <row r="574">
      <c r="A574" t="inlineStr">
        <is>
          <t>MH-DC-001-MMR-SW-07</t>
        </is>
      </c>
      <c r="B574" t="inlineStr">
        <is>
          <t>Te0/0/0/28</t>
        </is>
      </c>
      <c r="C574" t="inlineStr">
        <is>
          <t>10G SFP+</t>
        </is>
      </c>
      <c r="D574" t="n">
        <v>10000</v>
      </c>
      <c r="E574" t="inlineStr">
        <is>
          <t>up</t>
        </is>
      </c>
      <c r="F574" t="inlineStr">
        <is>
          <t>Server NIC</t>
        </is>
      </c>
    </row>
    <row r="575">
      <c r="A575" t="inlineStr">
        <is>
          <t>MH-DC-001-MMR-SW-07</t>
        </is>
      </c>
      <c r="B575" t="inlineStr">
        <is>
          <t>Te0/0/0/29</t>
        </is>
      </c>
      <c r="C575" t="inlineStr">
        <is>
          <t>10G SFP+</t>
        </is>
      </c>
      <c r="D575" t="n">
        <v>10000</v>
      </c>
      <c r="E575" t="inlineStr">
        <is>
          <t>up</t>
        </is>
      </c>
      <c r="F575" t="inlineStr">
        <is>
          <t>Server NIC</t>
        </is>
      </c>
    </row>
    <row r="576">
      <c r="A576" t="inlineStr">
        <is>
          <t>MH-DC-001-MMR-SW-07</t>
        </is>
      </c>
      <c r="B576" t="inlineStr">
        <is>
          <t>Te0/0/0/30</t>
        </is>
      </c>
      <c r="C576" t="inlineStr">
        <is>
          <t>10G SFP+</t>
        </is>
      </c>
      <c r="D576" t="n">
        <v>10000</v>
      </c>
      <c r="E576" t="inlineStr">
        <is>
          <t>up</t>
        </is>
      </c>
      <c r="F576" t="inlineStr">
        <is>
          <t>Server NIC</t>
        </is>
      </c>
    </row>
    <row r="577">
      <c r="A577" t="inlineStr">
        <is>
          <t>MH-DC-001-MMR-SW-07</t>
        </is>
      </c>
      <c r="B577" t="inlineStr">
        <is>
          <t>Te0/0/0/31</t>
        </is>
      </c>
      <c r="C577" t="inlineStr">
        <is>
          <t>10G SFP+</t>
        </is>
      </c>
      <c r="D577" t="n">
        <v>10000</v>
      </c>
      <c r="E577" t="inlineStr">
        <is>
          <t>up</t>
        </is>
      </c>
      <c r="F577" t="inlineStr">
        <is>
          <t>Server NIC</t>
        </is>
      </c>
    </row>
    <row r="578">
      <c r="A578" t="inlineStr">
        <is>
          <t>MH-DC-001-MMR-SW-07</t>
        </is>
      </c>
      <c r="B578" t="inlineStr">
        <is>
          <t>Te0/0/0/32</t>
        </is>
      </c>
      <c r="C578" t="inlineStr">
        <is>
          <t>10G SFP+</t>
        </is>
      </c>
      <c r="D578" t="n">
        <v>10000</v>
      </c>
      <c r="E578" t="inlineStr">
        <is>
          <t>admin-down</t>
        </is>
      </c>
    </row>
    <row r="579">
      <c r="A579" t="inlineStr">
        <is>
          <t>MH-DC-001-MMR-SW-07</t>
        </is>
      </c>
      <c r="B579" t="inlineStr">
        <is>
          <t>Te0/0/0/33</t>
        </is>
      </c>
      <c r="C579" t="inlineStr">
        <is>
          <t>10G SFP+</t>
        </is>
      </c>
      <c r="D579" t="n">
        <v>10000</v>
      </c>
      <c r="E579" t="inlineStr">
        <is>
          <t>admin-down</t>
        </is>
      </c>
    </row>
    <row r="580">
      <c r="A580" t="inlineStr">
        <is>
          <t>MH-DC-001-MMR-SW-07</t>
        </is>
      </c>
      <c r="B580" t="inlineStr">
        <is>
          <t>Te0/0/0/34</t>
        </is>
      </c>
      <c r="C580" t="inlineStr">
        <is>
          <t>10G SFP+</t>
        </is>
      </c>
      <c r="D580" t="n">
        <v>10000</v>
      </c>
      <c r="E580" t="inlineStr">
        <is>
          <t>up</t>
        </is>
      </c>
      <c r="F580" t="inlineStr">
        <is>
          <t>Server NIC</t>
        </is>
      </c>
    </row>
    <row r="581">
      <c r="A581" t="inlineStr">
        <is>
          <t>MH-DC-001-MMR-SW-07</t>
        </is>
      </c>
      <c r="B581" t="inlineStr">
        <is>
          <t>Te0/0/0/35</t>
        </is>
      </c>
      <c r="C581" t="inlineStr">
        <is>
          <t>10G SFP+</t>
        </is>
      </c>
      <c r="D581" t="n">
        <v>10000</v>
      </c>
      <c r="E581" t="inlineStr">
        <is>
          <t>up</t>
        </is>
      </c>
      <c r="F581" t="inlineStr">
        <is>
          <t>Server NIC</t>
        </is>
      </c>
    </row>
    <row r="582">
      <c r="A582" t="inlineStr">
        <is>
          <t>MH-DC-001-MMR-SW-07</t>
        </is>
      </c>
      <c r="B582" t="inlineStr">
        <is>
          <t>Te0/0/0/36</t>
        </is>
      </c>
      <c r="C582" t="inlineStr">
        <is>
          <t>10G SFP+</t>
        </is>
      </c>
      <c r="D582" t="n">
        <v>10000</v>
      </c>
      <c r="E582" t="inlineStr">
        <is>
          <t>up</t>
        </is>
      </c>
      <c r="F582" t="inlineStr">
        <is>
          <t>Server NIC</t>
        </is>
      </c>
    </row>
    <row r="583">
      <c r="A583" t="inlineStr">
        <is>
          <t>MH-DC-001-MMR-SW-07</t>
        </is>
      </c>
      <c r="B583" t="inlineStr">
        <is>
          <t>Te0/0/0/37</t>
        </is>
      </c>
      <c r="C583" t="inlineStr">
        <is>
          <t>10G SFP+</t>
        </is>
      </c>
      <c r="D583" t="n">
        <v>10000</v>
      </c>
      <c r="E583" t="inlineStr">
        <is>
          <t>admin-down</t>
        </is>
      </c>
    </row>
    <row r="584">
      <c r="A584" t="inlineStr">
        <is>
          <t>MH-DC-001-MMR-SW-07</t>
        </is>
      </c>
      <c r="B584" t="inlineStr">
        <is>
          <t>Te0/0/0/38</t>
        </is>
      </c>
      <c r="C584" t="inlineStr">
        <is>
          <t>10G SFP+</t>
        </is>
      </c>
      <c r="D584" t="n">
        <v>10000</v>
      </c>
      <c r="E584" t="inlineStr">
        <is>
          <t>admin-down</t>
        </is>
      </c>
    </row>
    <row r="585">
      <c r="A585" t="inlineStr">
        <is>
          <t>MH-DC-001-MMR-SW-07</t>
        </is>
      </c>
      <c r="B585" t="inlineStr">
        <is>
          <t>Te0/0/0/39</t>
        </is>
      </c>
      <c r="C585" t="inlineStr">
        <is>
          <t>10G SFP+</t>
        </is>
      </c>
      <c r="D585" t="n">
        <v>10000</v>
      </c>
      <c r="E585" t="inlineStr">
        <is>
          <t>up</t>
        </is>
      </c>
      <c r="F585" t="inlineStr">
        <is>
          <t>Server NIC</t>
        </is>
      </c>
    </row>
    <row r="586">
      <c r="A586" t="inlineStr">
        <is>
          <t>MH-DC-001-MMR-SW-07</t>
        </is>
      </c>
      <c r="B586" t="inlineStr">
        <is>
          <t>Te0/0/0/40</t>
        </is>
      </c>
      <c r="C586" t="inlineStr">
        <is>
          <t>10G SFP+</t>
        </is>
      </c>
      <c r="D586" t="n">
        <v>10000</v>
      </c>
      <c r="E586" t="inlineStr">
        <is>
          <t>admin-down</t>
        </is>
      </c>
    </row>
    <row r="587">
      <c r="A587" t="inlineStr">
        <is>
          <t>MH-DC-001-MMR-SW-07</t>
        </is>
      </c>
      <c r="B587" t="inlineStr">
        <is>
          <t>Te0/0/0/41</t>
        </is>
      </c>
      <c r="C587" t="inlineStr">
        <is>
          <t>10G SFP+</t>
        </is>
      </c>
      <c r="D587" t="n">
        <v>10000</v>
      </c>
      <c r="E587" t="inlineStr">
        <is>
          <t>admin-down</t>
        </is>
      </c>
    </row>
    <row r="588">
      <c r="A588" t="inlineStr">
        <is>
          <t>MH-DC-001-MMR-SW-07</t>
        </is>
      </c>
      <c r="B588" t="inlineStr">
        <is>
          <t>Te0/0/0/42</t>
        </is>
      </c>
      <c r="C588" t="inlineStr">
        <is>
          <t>10G SFP+</t>
        </is>
      </c>
      <c r="D588" t="n">
        <v>10000</v>
      </c>
      <c r="E588" t="inlineStr">
        <is>
          <t>admin-down</t>
        </is>
      </c>
    </row>
    <row r="589">
      <c r="A589" t="inlineStr">
        <is>
          <t>MH-DC-001-MMR-SW-07</t>
        </is>
      </c>
      <c r="B589" t="inlineStr">
        <is>
          <t>Te0/0/0/43</t>
        </is>
      </c>
      <c r="C589" t="inlineStr">
        <is>
          <t>10G SFP+</t>
        </is>
      </c>
      <c r="D589" t="n">
        <v>10000</v>
      </c>
      <c r="E589" t="inlineStr">
        <is>
          <t>admin-down</t>
        </is>
      </c>
    </row>
    <row r="590">
      <c r="A590" t="inlineStr">
        <is>
          <t>MH-DC-001-MMR-SW-07</t>
        </is>
      </c>
      <c r="B590" t="inlineStr">
        <is>
          <t>Te0/0/0/44</t>
        </is>
      </c>
      <c r="C590" t="inlineStr">
        <is>
          <t>10G SFP+</t>
        </is>
      </c>
      <c r="D590" t="n">
        <v>10000</v>
      </c>
      <c r="E590" t="inlineStr">
        <is>
          <t>admin-down</t>
        </is>
      </c>
    </row>
    <row r="591">
      <c r="A591" t="inlineStr">
        <is>
          <t>MH-DC-001-MMR-SW-07</t>
        </is>
      </c>
      <c r="B591" t="inlineStr">
        <is>
          <t>Te0/0/0/45</t>
        </is>
      </c>
      <c r="C591" t="inlineStr">
        <is>
          <t>10G SFP+</t>
        </is>
      </c>
      <c r="D591" t="n">
        <v>10000</v>
      </c>
      <c r="E591" t="inlineStr">
        <is>
          <t>admin-down</t>
        </is>
      </c>
    </row>
    <row r="592">
      <c r="A592" t="inlineStr">
        <is>
          <t>MH-DC-001-MMR-SW-07</t>
        </is>
      </c>
      <c r="B592" t="inlineStr">
        <is>
          <t>Te0/0/0/46</t>
        </is>
      </c>
      <c r="C592" t="inlineStr">
        <is>
          <t>10G SFP+</t>
        </is>
      </c>
      <c r="D592" t="n">
        <v>10000</v>
      </c>
      <c r="E592" t="inlineStr">
        <is>
          <t>up</t>
        </is>
      </c>
      <c r="F592" t="inlineStr">
        <is>
          <t>Server NIC</t>
        </is>
      </c>
    </row>
    <row r="593">
      <c r="A593" t="inlineStr">
        <is>
          <t>MH-DC-001-MMR-SW-07</t>
        </is>
      </c>
      <c r="B593" t="inlineStr">
        <is>
          <t>Te0/0/0/47</t>
        </is>
      </c>
      <c r="C593" t="inlineStr">
        <is>
          <t>10G SFP+</t>
        </is>
      </c>
      <c r="D593" t="n">
        <v>10000</v>
      </c>
      <c r="E593" t="inlineStr">
        <is>
          <t>up</t>
        </is>
      </c>
      <c r="F593" t="inlineStr">
        <is>
          <t>Server NIC</t>
        </is>
      </c>
    </row>
    <row r="594">
      <c r="A594" t="inlineStr">
        <is>
          <t>MH-DC-001-MMR-SW-07</t>
        </is>
      </c>
      <c r="B594" t="inlineStr">
        <is>
          <t>Hu0/0/1/0</t>
        </is>
      </c>
      <c r="C594" t="inlineStr">
        <is>
          <t>100G QSFP28</t>
        </is>
      </c>
      <c r="D594" t="n">
        <v>100000</v>
      </c>
      <c r="E594" t="inlineStr">
        <is>
          <t>up</t>
        </is>
      </c>
      <c r="F594" t="inlineStr">
        <is>
          <t>Uplink to MH-DC-001-AGG-R01</t>
        </is>
      </c>
      <c r="G594" t="inlineStr">
        <is>
          <t>QSFP28-100G-LR4</t>
        </is>
      </c>
    </row>
    <row r="595">
      <c r="A595" t="inlineStr">
        <is>
          <t>MH-DC-001-MMR-SW-07</t>
        </is>
      </c>
      <c r="B595" t="inlineStr">
        <is>
          <t>Hu0/0/1/1</t>
        </is>
      </c>
      <c r="C595" t="inlineStr">
        <is>
          <t>100G QSFP28</t>
        </is>
      </c>
      <c r="D595" t="n">
        <v>100000</v>
      </c>
      <c r="E595" t="inlineStr">
        <is>
          <t>up</t>
        </is>
      </c>
      <c r="F595" t="inlineStr">
        <is>
          <t>Uplink to MH-DC-001-AGG-R01</t>
        </is>
      </c>
      <c r="G595" t="inlineStr">
        <is>
          <t>QSFP28-100G-LR4</t>
        </is>
      </c>
    </row>
    <row r="596">
      <c r="A596" t="inlineStr">
        <is>
          <t>MH-DC-001-MMR-SW-07</t>
        </is>
      </c>
      <c r="B596" t="inlineStr">
        <is>
          <t>Hu0/0/1/2</t>
        </is>
      </c>
      <c r="C596" t="inlineStr">
        <is>
          <t>100G QSFP28</t>
        </is>
      </c>
      <c r="D596" t="n">
        <v>100000</v>
      </c>
      <c r="E596" t="inlineStr">
        <is>
          <t>admin-down</t>
        </is>
      </c>
    </row>
    <row r="597">
      <c r="A597" t="inlineStr">
        <is>
          <t>MH-DC-001-MMR-SW-07</t>
        </is>
      </c>
      <c r="B597" t="inlineStr">
        <is>
          <t>Hu0/0/1/3</t>
        </is>
      </c>
      <c r="C597" t="inlineStr">
        <is>
          <t>100G QSFP28</t>
        </is>
      </c>
      <c r="D597" t="n">
        <v>100000</v>
      </c>
      <c r="E597" t="inlineStr">
        <is>
          <t>admin-down</t>
        </is>
      </c>
    </row>
    <row r="598">
      <c r="A598" t="inlineStr">
        <is>
          <t>MH-DC-001-MMR-SW-08</t>
        </is>
      </c>
      <c r="B598" t="inlineStr">
        <is>
          <t>Te0/0/0/0</t>
        </is>
      </c>
      <c r="C598" t="inlineStr">
        <is>
          <t>10G SFP+</t>
        </is>
      </c>
      <c r="D598" t="n">
        <v>10000</v>
      </c>
      <c r="E598" t="inlineStr">
        <is>
          <t>admin-down</t>
        </is>
      </c>
    </row>
    <row r="599">
      <c r="A599" t="inlineStr">
        <is>
          <t>MH-DC-001-MMR-SW-08</t>
        </is>
      </c>
      <c r="B599" t="inlineStr">
        <is>
          <t>Te0/0/0/1</t>
        </is>
      </c>
      <c r="C599" t="inlineStr">
        <is>
          <t>10G SFP+</t>
        </is>
      </c>
      <c r="D599" t="n">
        <v>10000</v>
      </c>
      <c r="E599" t="inlineStr">
        <is>
          <t>admin-down</t>
        </is>
      </c>
    </row>
    <row r="600">
      <c r="A600" t="inlineStr">
        <is>
          <t>MH-DC-001-MMR-SW-08</t>
        </is>
      </c>
      <c r="B600" t="inlineStr">
        <is>
          <t>Te0/0/0/2</t>
        </is>
      </c>
      <c r="C600" t="inlineStr">
        <is>
          <t>10G SFP+</t>
        </is>
      </c>
      <c r="D600" t="n">
        <v>10000</v>
      </c>
      <c r="E600" t="inlineStr">
        <is>
          <t>up</t>
        </is>
      </c>
      <c r="F600" t="inlineStr">
        <is>
          <t>Server NIC</t>
        </is>
      </c>
    </row>
    <row r="601">
      <c r="A601" t="inlineStr">
        <is>
          <t>MH-DC-001-MMR-SW-08</t>
        </is>
      </c>
      <c r="B601" t="inlineStr">
        <is>
          <t>Te0/0/0/3</t>
        </is>
      </c>
      <c r="C601" t="inlineStr">
        <is>
          <t>10G SFP+</t>
        </is>
      </c>
      <c r="D601" t="n">
        <v>10000</v>
      </c>
      <c r="E601" t="inlineStr">
        <is>
          <t>admin-down</t>
        </is>
      </c>
    </row>
    <row r="602">
      <c r="A602" t="inlineStr">
        <is>
          <t>MH-DC-001-MMR-SW-08</t>
        </is>
      </c>
      <c r="B602" t="inlineStr">
        <is>
          <t>Te0/0/0/4</t>
        </is>
      </c>
      <c r="C602" t="inlineStr">
        <is>
          <t>10G SFP+</t>
        </is>
      </c>
      <c r="D602" t="n">
        <v>10000</v>
      </c>
      <c r="E602" t="inlineStr">
        <is>
          <t>up</t>
        </is>
      </c>
      <c r="F602" t="inlineStr">
        <is>
          <t>Server NIC</t>
        </is>
      </c>
    </row>
    <row r="603">
      <c r="A603" t="inlineStr">
        <is>
          <t>MH-DC-001-MMR-SW-08</t>
        </is>
      </c>
      <c r="B603" t="inlineStr">
        <is>
          <t>Te0/0/0/5</t>
        </is>
      </c>
      <c r="C603" t="inlineStr">
        <is>
          <t>10G SFP+</t>
        </is>
      </c>
      <c r="D603" t="n">
        <v>10000</v>
      </c>
      <c r="E603" t="inlineStr">
        <is>
          <t>up</t>
        </is>
      </c>
      <c r="F603" t="inlineStr">
        <is>
          <t>Server NIC</t>
        </is>
      </c>
    </row>
    <row r="604">
      <c r="A604" t="inlineStr">
        <is>
          <t>MH-DC-001-MMR-SW-08</t>
        </is>
      </c>
      <c r="B604" t="inlineStr">
        <is>
          <t>Te0/0/0/6</t>
        </is>
      </c>
      <c r="C604" t="inlineStr">
        <is>
          <t>10G SFP+</t>
        </is>
      </c>
      <c r="D604" t="n">
        <v>10000</v>
      </c>
      <c r="E604" t="inlineStr">
        <is>
          <t>up</t>
        </is>
      </c>
      <c r="F604" t="inlineStr">
        <is>
          <t>Server NIC</t>
        </is>
      </c>
    </row>
    <row r="605">
      <c r="A605" t="inlineStr">
        <is>
          <t>MH-DC-001-MMR-SW-08</t>
        </is>
      </c>
      <c r="B605" t="inlineStr">
        <is>
          <t>Te0/0/0/7</t>
        </is>
      </c>
      <c r="C605" t="inlineStr">
        <is>
          <t>10G SFP+</t>
        </is>
      </c>
      <c r="D605" t="n">
        <v>10000</v>
      </c>
      <c r="E605" t="inlineStr">
        <is>
          <t>up</t>
        </is>
      </c>
      <c r="F605" t="inlineStr">
        <is>
          <t>Server NIC</t>
        </is>
      </c>
    </row>
    <row r="606">
      <c r="A606" t="inlineStr">
        <is>
          <t>MH-DC-001-MMR-SW-08</t>
        </is>
      </c>
      <c r="B606" t="inlineStr">
        <is>
          <t>Te0/0/0/8</t>
        </is>
      </c>
      <c r="C606" t="inlineStr">
        <is>
          <t>10G SFP+</t>
        </is>
      </c>
      <c r="D606" t="n">
        <v>10000</v>
      </c>
      <c r="E606" t="inlineStr">
        <is>
          <t>admin-down</t>
        </is>
      </c>
    </row>
    <row r="607">
      <c r="A607" t="inlineStr">
        <is>
          <t>MH-DC-001-MMR-SW-08</t>
        </is>
      </c>
      <c r="B607" t="inlineStr">
        <is>
          <t>Te0/0/0/9</t>
        </is>
      </c>
      <c r="C607" t="inlineStr">
        <is>
          <t>10G SFP+</t>
        </is>
      </c>
      <c r="D607" t="n">
        <v>10000</v>
      </c>
      <c r="E607" t="inlineStr">
        <is>
          <t>up</t>
        </is>
      </c>
      <c r="F607" t="inlineStr">
        <is>
          <t>Server NIC</t>
        </is>
      </c>
    </row>
    <row r="608">
      <c r="A608" t="inlineStr">
        <is>
          <t>MH-DC-001-MMR-SW-08</t>
        </is>
      </c>
      <c r="B608" t="inlineStr">
        <is>
          <t>Te0/0/0/10</t>
        </is>
      </c>
      <c r="C608" t="inlineStr">
        <is>
          <t>10G SFP+</t>
        </is>
      </c>
      <c r="D608" t="n">
        <v>10000</v>
      </c>
      <c r="E608" t="inlineStr">
        <is>
          <t>admin-down</t>
        </is>
      </c>
    </row>
    <row r="609">
      <c r="A609" t="inlineStr">
        <is>
          <t>MH-DC-001-MMR-SW-08</t>
        </is>
      </c>
      <c r="B609" t="inlineStr">
        <is>
          <t>Te0/0/0/11</t>
        </is>
      </c>
      <c r="C609" t="inlineStr">
        <is>
          <t>10G SFP+</t>
        </is>
      </c>
      <c r="D609" t="n">
        <v>10000</v>
      </c>
      <c r="E609" t="inlineStr">
        <is>
          <t>up</t>
        </is>
      </c>
      <c r="F609" t="inlineStr">
        <is>
          <t>Server NIC</t>
        </is>
      </c>
    </row>
    <row r="610">
      <c r="A610" t="inlineStr">
        <is>
          <t>MH-DC-001-MMR-SW-08</t>
        </is>
      </c>
      <c r="B610" t="inlineStr">
        <is>
          <t>Te0/0/0/12</t>
        </is>
      </c>
      <c r="C610" t="inlineStr">
        <is>
          <t>10G SFP+</t>
        </is>
      </c>
      <c r="D610" t="n">
        <v>10000</v>
      </c>
      <c r="E610" t="inlineStr">
        <is>
          <t>admin-down</t>
        </is>
      </c>
    </row>
    <row r="611">
      <c r="A611" t="inlineStr">
        <is>
          <t>MH-DC-001-MMR-SW-08</t>
        </is>
      </c>
      <c r="B611" t="inlineStr">
        <is>
          <t>Te0/0/0/13</t>
        </is>
      </c>
      <c r="C611" t="inlineStr">
        <is>
          <t>10G SFP+</t>
        </is>
      </c>
      <c r="D611" t="n">
        <v>10000</v>
      </c>
      <c r="E611" t="inlineStr">
        <is>
          <t>up</t>
        </is>
      </c>
      <c r="F611" t="inlineStr">
        <is>
          <t>Server NIC</t>
        </is>
      </c>
    </row>
    <row r="612">
      <c r="A612" t="inlineStr">
        <is>
          <t>MH-DC-001-MMR-SW-08</t>
        </is>
      </c>
      <c r="B612" t="inlineStr">
        <is>
          <t>Te0/0/0/14</t>
        </is>
      </c>
      <c r="C612" t="inlineStr">
        <is>
          <t>10G SFP+</t>
        </is>
      </c>
      <c r="D612" t="n">
        <v>10000</v>
      </c>
      <c r="E612" t="inlineStr">
        <is>
          <t>up</t>
        </is>
      </c>
      <c r="F612" t="inlineStr">
        <is>
          <t>Server NIC</t>
        </is>
      </c>
    </row>
    <row r="613">
      <c r="A613" t="inlineStr">
        <is>
          <t>MH-DC-001-MMR-SW-08</t>
        </is>
      </c>
      <c r="B613" t="inlineStr">
        <is>
          <t>Te0/0/0/15</t>
        </is>
      </c>
      <c r="C613" t="inlineStr">
        <is>
          <t>10G SFP+</t>
        </is>
      </c>
      <c r="D613" t="n">
        <v>10000</v>
      </c>
      <c r="E613" t="inlineStr">
        <is>
          <t>up</t>
        </is>
      </c>
      <c r="F613" t="inlineStr">
        <is>
          <t>Server NIC</t>
        </is>
      </c>
    </row>
    <row r="614">
      <c r="A614" t="inlineStr">
        <is>
          <t>MH-DC-001-MMR-SW-08</t>
        </is>
      </c>
      <c r="B614" t="inlineStr">
        <is>
          <t>Te0/0/0/16</t>
        </is>
      </c>
      <c r="C614" t="inlineStr">
        <is>
          <t>10G SFP+</t>
        </is>
      </c>
      <c r="D614" t="n">
        <v>10000</v>
      </c>
      <c r="E614" t="inlineStr">
        <is>
          <t>admin-down</t>
        </is>
      </c>
    </row>
    <row r="615">
      <c r="A615" t="inlineStr">
        <is>
          <t>MH-DC-001-MMR-SW-08</t>
        </is>
      </c>
      <c r="B615" t="inlineStr">
        <is>
          <t>Te0/0/0/17</t>
        </is>
      </c>
      <c r="C615" t="inlineStr">
        <is>
          <t>10G SFP+</t>
        </is>
      </c>
      <c r="D615" t="n">
        <v>10000</v>
      </c>
      <c r="E615" t="inlineStr">
        <is>
          <t>reserved</t>
        </is>
      </c>
    </row>
    <row r="616">
      <c r="A616" t="inlineStr">
        <is>
          <t>MH-DC-001-MMR-SW-08</t>
        </is>
      </c>
      <c r="B616" t="inlineStr">
        <is>
          <t>Te0/0/0/18</t>
        </is>
      </c>
      <c r="C616" t="inlineStr">
        <is>
          <t>10G SFP+</t>
        </is>
      </c>
      <c r="D616" t="n">
        <v>10000</v>
      </c>
      <c r="E616" t="inlineStr">
        <is>
          <t>up</t>
        </is>
      </c>
      <c r="F616" t="inlineStr">
        <is>
          <t>Server NIC</t>
        </is>
      </c>
    </row>
    <row r="617">
      <c r="A617" t="inlineStr">
        <is>
          <t>MH-DC-001-MMR-SW-08</t>
        </is>
      </c>
      <c r="B617" t="inlineStr">
        <is>
          <t>Te0/0/0/19</t>
        </is>
      </c>
      <c r="C617" t="inlineStr">
        <is>
          <t>10G SFP+</t>
        </is>
      </c>
      <c r="D617" t="n">
        <v>10000</v>
      </c>
      <c r="E617" t="inlineStr">
        <is>
          <t>up</t>
        </is>
      </c>
      <c r="F617" t="inlineStr">
        <is>
          <t>Server NIC</t>
        </is>
      </c>
    </row>
    <row r="618">
      <c r="A618" t="inlineStr">
        <is>
          <t>MH-DC-001-MMR-SW-08</t>
        </is>
      </c>
      <c r="B618" t="inlineStr">
        <is>
          <t>Te0/0/0/20</t>
        </is>
      </c>
      <c r="C618" t="inlineStr">
        <is>
          <t>10G SFP+</t>
        </is>
      </c>
      <c r="D618" t="n">
        <v>10000</v>
      </c>
      <c r="E618" t="inlineStr">
        <is>
          <t>admin-down</t>
        </is>
      </c>
    </row>
    <row r="619">
      <c r="A619" t="inlineStr">
        <is>
          <t>MH-DC-001-MMR-SW-08</t>
        </is>
      </c>
      <c r="B619" t="inlineStr">
        <is>
          <t>Te0/0/0/21</t>
        </is>
      </c>
      <c r="C619" t="inlineStr">
        <is>
          <t>10G SFP+</t>
        </is>
      </c>
      <c r="D619" t="n">
        <v>10000</v>
      </c>
      <c r="E619" t="inlineStr">
        <is>
          <t>up</t>
        </is>
      </c>
      <c r="F619" t="inlineStr">
        <is>
          <t>Server NIC</t>
        </is>
      </c>
    </row>
    <row r="620">
      <c r="A620" t="inlineStr">
        <is>
          <t>MH-DC-001-MMR-SW-08</t>
        </is>
      </c>
      <c r="B620" t="inlineStr">
        <is>
          <t>Te0/0/0/22</t>
        </is>
      </c>
      <c r="C620" t="inlineStr">
        <is>
          <t>10G SFP+</t>
        </is>
      </c>
      <c r="D620" t="n">
        <v>10000</v>
      </c>
      <c r="E620" t="inlineStr">
        <is>
          <t>admin-down</t>
        </is>
      </c>
    </row>
    <row r="621">
      <c r="A621" t="inlineStr">
        <is>
          <t>MH-DC-001-MMR-SW-08</t>
        </is>
      </c>
      <c r="B621" t="inlineStr">
        <is>
          <t>Te0/0/0/23</t>
        </is>
      </c>
      <c r="C621" t="inlineStr">
        <is>
          <t>10G SFP+</t>
        </is>
      </c>
      <c r="D621" t="n">
        <v>10000</v>
      </c>
      <c r="E621" t="inlineStr">
        <is>
          <t>up</t>
        </is>
      </c>
      <c r="F621" t="inlineStr">
        <is>
          <t>Server NIC</t>
        </is>
      </c>
    </row>
    <row r="622">
      <c r="A622" t="inlineStr">
        <is>
          <t>MH-DC-001-MMR-SW-08</t>
        </is>
      </c>
      <c r="B622" t="inlineStr">
        <is>
          <t>Te0/0/0/24</t>
        </is>
      </c>
      <c r="C622" t="inlineStr">
        <is>
          <t>10G SFP+</t>
        </is>
      </c>
      <c r="D622" t="n">
        <v>10000</v>
      </c>
      <c r="E622" t="inlineStr">
        <is>
          <t>up</t>
        </is>
      </c>
      <c r="F622" t="inlineStr">
        <is>
          <t>Server NIC</t>
        </is>
      </c>
    </row>
    <row r="623">
      <c r="A623" t="inlineStr">
        <is>
          <t>MH-DC-001-MMR-SW-08</t>
        </is>
      </c>
      <c r="B623" t="inlineStr">
        <is>
          <t>Te0/0/0/25</t>
        </is>
      </c>
      <c r="C623" t="inlineStr">
        <is>
          <t>10G SFP+</t>
        </is>
      </c>
      <c r="D623" t="n">
        <v>10000</v>
      </c>
      <c r="E623" t="inlineStr">
        <is>
          <t>up</t>
        </is>
      </c>
      <c r="F623" t="inlineStr">
        <is>
          <t>Server NIC</t>
        </is>
      </c>
    </row>
    <row r="624">
      <c r="A624" t="inlineStr">
        <is>
          <t>MH-DC-001-MMR-SW-08</t>
        </is>
      </c>
      <c r="B624" t="inlineStr">
        <is>
          <t>Te0/0/0/26</t>
        </is>
      </c>
      <c r="C624" t="inlineStr">
        <is>
          <t>10G SFP+</t>
        </is>
      </c>
      <c r="D624" t="n">
        <v>10000</v>
      </c>
      <c r="E624" t="inlineStr">
        <is>
          <t>admin-down</t>
        </is>
      </c>
    </row>
    <row r="625">
      <c r="A625" t="inlineStr">
        <is>
          <t>MH-DC-001-MMR-SW-08</t>
        </is>
      </c>
      <c r="B625" t="inlineStr">
        <is>
          <t>Te0/0/0/27</t>
        </is>
      </c>
      <c r="C625" t="inlineStr">
        <is>
          <t>10G SFP+</t>
        </is>
      </c>
      <c r="D625" t="n">
        <v>10000</v>
      </c>
      <c r="E625" t="inlineStr">
        <is>
          <t>reserved</t>
        </is>
      </c>
    </row>
    <row r="626">
      <c r="A626" t="inlineStr">
        <is>
          <t>MH-DC-001-MMR-SW-08</t>
        </is>
      </c>
      <c r="B626" t="inlineStr">
        <is>
          <t>Te0/0/0/28</t>
        </is>
      </c>
      <c r="C626" t="inlineStr">
        <is>
          <t>10G SFP+</t>
        </is>
      </c>
      <c r="D626" t="n">
        <v>10000</v>
      </c>
      <c r="E626" t="inlineStr">
        <is>
          <t>up</t>
        </is>
      </c>
      <c r="F626" t="inlineStr">
        <is>
          <t>Server NIC</t>
        </is>
      </c>
    </row>
    <row r="627">
      <c r="A627" t="inlineStr">
        <is>
          <t>MH-DC-001-MMR-SW-08</t>
        </is>
      </c>
      <c r="B627" t="inlineStr">
        <is>
          <t>Te0/0/0/29</t>
        </is>
      </c>
      <c r="C627" t="inlineStr">
        <is>
          <t>10G SFP+</t>
        </is>
      </c>
      <c r="D627" t="n">
        <v>10000</v>
      </c>
      <c r="E627" t="inlineStr">
        <is>
          <t>admin-down</t>
        </is>
      </c>
    </row>
    <row r="628">
      <c r="A628" t="inlineStr">
        <is>
          <t>MH-DC-001-MMR-SW-08</t>
        </is>
      </c>
      <c r="B628" t="inlineStr">
        <is>
          <t>Te0/0/0/30</t>
        </is>
      </c>
      <c r="C628" t="inlineStr">
        <is>
          <t>10G SFP+</t>
        </is>
      </c>
      <c r="D628" t="n">
        <v>10000</v>
      </c>
      <c r="E628" t="inlineStr">
        <is>
          <t>up</t>
        </is>
      </c>
      <c r="F628" t="inlineStr">
        <is>
          <t>Server NIC</t>
        </is>
      </c>
    </row>
    <row r="629">
      <c r="A629" t="inlineStr">
        <is>
          <t>MH-DC-001-MMR-SW-08</t>
        </is>
      </c>
      <c r="B629" t="inlineStr">
        <is>
          <t>Te0/0/0/31</t>
        </is>
      </c>
      <c r="C629" t="inlineStr">
        <is>
          <t>10G SFP+</t>
        </is>
      </c>
      <c r="D629" t="n">
        <v>10000</v>
      </c>
      <c r="E629" t="inlineStr">
        <is>
          <t>up</t>
        </is>
      </c>
      <c r="F629" t="inlineStr">
        <is>
          <t>Server NIC</t>
        </is>
      </c>
    </row>
    <row r="630">
      <c r="A630" t="inlineStr">
        <is>
          <t>MH-DC-001-MMR-SW-08</t>
        </is>
      </c>
      <c r="B630" t="inlineStr">
        <is>
          <t>Te0/0/0/32</t>
        </is>
      </c>
      <c r="C630" t="inlineStr">
        <is>
          <t>10G SFP+</t>
        </is>
      </c>
      <c r="D630" t="n">
        <v>10000</v>
      </c>
      <c r="E630" t="inlineStr">
        <is>
          <t>admin-down</t>
        </is>
      </c>
    </row>
    <row r="631">
      <c r="A631" t="inlineStr">
        <is>
          <t>MH-DC-001-MMR-SW-08</t>
        </is>
      </c>
      <c r="B631" t="inlineStr">
        <is>
          <t>Te0/0/0/33</t>
        </is>
      </c>
      <c r="C631" t="inlineStr">
        <is>
          <t>10G SFP+</t>
        </is>
      </c>
      <c r="D631" t="n">
        <v>10000</v>
      </c>
      <c r="E631" t="inlineStr">
        <is>
          <t>admin-down</t>
        </is>
      </c>
    </row>
    <row r="632">
      <c r="A632" t="inlineStr">
        <is>
          <t>MH-DC-001-MMR-SW-08</t>
        </is>
      </c>
      <c r="B632" t="inlineStr">
        <is>
          <t>Te0/0/0/34</t>
        </is>
      </c>
      <c r="C632" t="inlineStr">
        <is>
          <t>10G SFP+</t>
        </is>
      </c>
      <c r="D632" t="n">
        <v>10000</v>
      </c>
      <c r="E632" t="inlineStr">
        <is>
          <t>up</t>
        </is>
      </c>
      <c r="F632" t="inlineStr">
        <is>
          <t>Server NIC</t>
        </is>
      </c>
    </row>
    <row r="633">
      <c r="A633" t="inlineStr">
        <is>
          <t>MH-DC-001-MMR-SW-08</t>
        </is>
      </c>
      <c r="B633" t="inlineStr">
        <is>
          <t>Te0/0/0/35</t>
        </is>
      </c>
      <c r="C633" t="inlineStr">
        <is>
          <t>10G SFP+</t>
        </is>
      </c>
      <c r="D633" t="n">
        <v>10000</v>
      </c>
      <c r="E633" t="inlineStr">
        <is>
          <t>admin-down</t>
        </is>
      </c>
    </row>
    <row r="634">
      <c r="A634" t="inlineStr">
        <is>
          <t>MH-DC-001-MMR-SW-08</t>
        </is>
      </c>
      <c r="B634" t="inlineStr">
        <is>
          <t>Te0/0/0/36</t>
        </is>
      </c>
      <c r="C634" t="inlineStr">
        <is>
          <t>10G SFP+</t>
        </is>
      </c>
      <c r="D634" t="n">
        <v>10000</v>
      </c>
      <c r="E634" t="inlineStr">
        <is>
          <t>up</t>
        </is>
      </c>
      <c r="F634" t="inlineStr">
        <is>
          <t>Server NIC</t>
        </is>
      </c>
    </row>
    <row r="635">
      <c r="A635" t="inlineStr">
        <is>
          <t>MH-DC-001-MMR-SW-08</t>
        </is>
      </c>
      <c r="B635" t="inlineStr">
        <is>
          <t>Te0/0/0/37</t>
        </is>
      </c>
      <c r="C635" t="inlineStr">
        <is>
          <t>10G SFP+</t>
        </is>
      </c>
      <c r="D635" t="n">
        <v>10000</v>
      </c>
      <c r="E635" t="inlineStr">
        <is>
          <t>admin-down</t>
        </is>
      </c>
    </row>
    <row r="636">
      <c r="A636" t="inlineStr">
        <is>
          <t>MH-DC-001-MMR-SW-08</t>
        </is>
      </c>
      <c r="B636" t="inlineStr">
        <is>
          <t>Te0/0/0/38</t>
        </is>
      </c>
      <c r="C636" t="inlineStr">
        <is>
          <t>10G SFP+</t>
        </is>
      </c>
      <c r="D636" t="n">
        <v>10000</v>
      </c>
      <c r="E636" t="inlineStr">
        <is>
          <t>up</t>
        </is>
      </c>
      <c r="F636" t="inlineStr">
        <is>
          <t>Server NIC</t>
        </is>
      </c>
    </row>
    <row r="637">
      <c r="A637" t="inlineStr">
        <is>
          <t>MH-DC-001-MMR-SW-08</t>
        </is>
      </c>
      <c r="B637" t="inlineStr">
        <is>
          <t>Te0/0/0/39</t>
        </is>
      </c>
      <c r="C637" t="inlineStr">
        <is>
          <t>10G SFP+</t>
        </is>
      </c>
      <c r="D637" t="n">
        <v>10000</v>
      </c>
      <c r="E637" t="inlineStr">
        <is>
          <t>up</t>
        </is>
      </c>
      <c r="F637" t="inlineStr">
        <is>
          <t>Server NIC</t>
        </is>
      </c>
    </row>
    <row r="638">
      <c r="A638" t="inlineStr">
        <is>
          <t>MH-DC-001-MMR-SW-08</t>
        </is>
      </c>
      <c r="B638" t="inlineStr">
        <is>
          <t>Te0/0/0/40</t>
        </is>
      </c>
      <c r="C638" t="inlineStr">
        <is>
          <t>10G SFP+</t>
        </is>
      </c>
      <c r="D638" t="n">
        <v>10000</v>
      </c>
      <c r="E638" t="inlineStr">
        <is>
          <t>up</t>
        </is>
      </c>
      <c r="F638" t="inlineStr">
        <is>
          <t>Server NIC</t>
        </is>
      </c>
    </row>
    <row r="639">
      <c r="A639" t="inlineStr">
        <is>
          <t>MH-DC-001-MMR-SW-08</t>
        </is>
      </c>
      <c r="B639" t="inlineStr">
        <is>
          <t>Te0/0/0/41</t>
        </is>
      </c>
      <c r="C639" t="inlineStr">
        <is>
          <t>10G SFP+</t>
        </is>
      </c>
      <c r="D639" t="n">
        <v>10000</v>
      </c>
      <c r="E639" t="inlineStr">
        <is>
          <t>up</t>
        </is>
      </c>
      <c r="F639" t="inlineStr">
        <is>
          <t>Server NIC</t>
        </is>
      </c>
    </row>
    <row r="640">
      <c r="A640" t="inlineStr">
        <is>
          <t>MH-DC-001-MMR-SW-08</t>
        </is>
      </c>
      <c r="B640" t="inlineStr">
        <is>
          <t>Te0/0/0/42</t>
        </is>
      </c>
      <c r="C640" t="inlineStr">
        <is>
          <t>10G SFP+</t>
        </is>
      </c>
      <c r="D640" t="n">
        <v>10000</v>
      </c>
      <c r="E640" t="inlineStr">
        <is>
          <t>up</t>
        </is>
      </c>
      <c r="F640" t="inlineStr">
        <is>
          <t>Server NIC</t>
        </is>
      </c>
    </row>
    <row r="641">
      <c r="A641" t="inlineStr">
        <is>
          <t>MH-DC-001-MMR-SW-08</t>
        </is>
      </c>
      <c r="B641" t="inlineStr">
        <is>
          <t>Te0/0/0/43</t>
        </is>
      </c>
      <c r="C641" t="inlineStr">
        <is>
          <t>10G SFP+</t>
        </is>
      </c>
      <c r="D641" t="n">
        <v>10000</v>
      </c>
      <c r="E641" t="inlineStr">
        <is>
          <t>up</t>
        </is>
      </c>
      <c r="F641" t="inlineStr">
        <is>
          <t>Server NIC</t>
        </is>
      </c>
    </row>
    <row r="642">
      <c r="A642" t="inlineStr">
        <is>
          <t>MH-DC-001-MMR-SW-08</t>
        </is>
      </c>
      <c r="B642" t="inlineStr">
        <is>
          <t>Te0/0/0/44</t>
        </is>
      </c>
      <c r="C642" t="inlineStr">
        <is>
          <t>10G SFP+</t>
        </is>
      </c>
      <c r="D642" t="n">
        <v>10000</v>
      </c>
      <c r="E642" t="inlineStr">
        <is>
          <t>admin-down</t>
        </is>
      </c>
    </row>
    <row r="643">
      <c r="A643" t="inlineStr">
        <is>
          <t>MH-DC-001-MMR-SW-08</t>
        </is>
      </c>
      <c r="B643" t="inlineStr">
        <is>
          <t>Te0/0/0/45</t>
        </is>
      </c>
      <c r="C643" t="inlineStr">
        <is>
          <t>10G SFP+</t>
        </is>
      </c>
      <c r="D643" t="n">
        <v>10000</v>
      </c>
      <c r="E643" t="inlineStr">
        <is>
          <t>admin-down</t>
        </is>
      </c>
    </row>
    <row r="644">
      <c r="A644" t="inlineStr">
        <is>
          <t>MH-DC-001-MMR-SW-08</t>
        </is>
      </c>
      <c r="B644" t="inlineStr">
        <is>
          <t>Te0/0/0/46</t>
        </is>
      </c>
      <c r="C644" t="inlineStr">
        <is>
          <t>10G SFP+</t>
        </is>
      </c>
      <c r="D644" t="n">
        <v>10000</v>
      </c>
      <c r="E644" t="inlineStr">
        <is>
          <t>up</t>
        </is>
      </c>
      <c r="F644" t="inlineStr">
        <is>
          <t>Server NIC</t>
        </is>
      </c>
    </row>
    <row r="645">
      <c r="A645" t="inlineStr">
        <is>
          <t>MH-DC-001-MMR-SW-08</t>
        </is>
      </c>
      <c r="B645" t="inlineStr">
        <is>
          <t>Te0/0/0/47</t>
        </is>
      </c>
      <c r="C645" t="inlineStr">
        <is>
          <t>10G SFP+</t>
        </is>
      </c>
      <c r="D645" t="n">
        <v>10000</v>
      </c>
      <c r="E645" t="inlineStr">
        <is>
          <t>up</t>
        </is>
      </c>
      <c r="F645" t="inlineStr">
        <is>
          <t>Server NIC</t>
        </is>
      </c>
    </row>
    <row r="646">
      <c r="A646" t="inlineStr">
        <is>
          <t>MH-DC-001-MMR-SW-08</t>
        </is>
      </c>
      <c r="B646" t="inlineStr">
        <is>
          <t>Hu0/0/1/0</t>
        </is>
      </c>
      <c r="C646" t="inlineStr">
        <is>
          <t>100G QSFP28</t>
        </is>
      </c>
      <c r="D646" t="n">
        <v>100000</v>
      </c>
      <c r="E646" t="inlineStr">
        <is>
          <t>up</t>
        </is>
      </c>
      <c r="F646" t="inlineStr">
        <is>
          <t>Uplink to MH-DC-001-AGG-R02</t>
        </is>
      </c>
      <c r="G646" t="inlineStr">
        <is>
          <t>QSFP28-100G-LR4</t>
        </is>
      </c>
    </row>
    <row r="647">
      <c r="A647" t="inlineStr">
        <is>
          <t>MH-DC-001-MMR-SW-08</t>
        </is>
      </c>
      <c r="B647" t="inlineStr">
        <is>
          <t>Hu0/0/1/1</t>
        </is>
      </c>
      <c r="C647" t="inlineStr">
        <is>
          <t>100G QSFP28</t>
        </is>
      </c>
      <c r="D647" t="n">
        <v>100000</v>
      </c>
      <c r="E647" t="inlineStr">
        <is>
          <t>up</t>
        </is>
      </c>
      <c r="F647" t="inlineStr">
        <is>
          <t>Uplink to MH-DC-001-AGG-R02</t>
        </is>
      </c>
      <c r="G647" t="inlineStr">
        <is>
          <t>QSFP28-100G-LR4</t>
        </is>
      </c>
    </row>
    <row r="648">
      <c r="A648" t="inlineStr">
        <is>
          <t>MH-DC-001-MMR-SW-08</t>
        </is>
      </c>
      <c r="B648" t="inlineStr">
        <is>
          <t>Hu0/0/1/2</t>
        </is>
      </c>
      <c r="C648" t="inlineStr">
        <is>
          <t>100G QSFP28</t>
        </is>
      </c>
      <c r="D648" t="n">
        <v>100000</v>
      </c>
      <c r="E648" t="inlineStr">
        <is>
          <t>admin-down</t>
        </is>
      </c>
    </row>
    <row r="649">
      <c r="A649" t="inlineStr">
        <is>
          <t>MH-DC-001-MMR-SW-08</t>
        </is>
      </c>
      <c r="B649" t="inlineStr">
        <is>
          <t>Hu0/0/1/3</t>
        </is>
      </c>
      <c r="C649" t="inlineStr">
        <is>
          <t>100G QSFP28</t>
        </is>
      </c>
      <c r="D649" t="n">
        <v>100000</v>
      </c>
      <c r="E649" t="inlineStr">
        <is>
          <t>admin-down</t>
        </is>
      </c>
    </row>
    <row r="650">
      <c r="A650" t="inlineStr">
        <is>
          <t>MH-DC-001-MMR-SW-09</t>
        </is>
      </c>
      <c r="B650" t="inlineStr">
        <is>
          <t>Ethernet1</t>
        </is>
      </c>
      <c r="C650" t="inlineStr">
        <is>
          <t>10G SFP+</t>
        </is>
      </c>
      <c r="D650" t="n">
        <v>10000</v>
      </c>
      <c r="E650" t="inlineStr">
        <is>
          <t>admin-down</t>
        </is>
      </c>
    </row>
    <row r="651">
      <c r="A651" t="inlineStr">
        <is>
          <t>MH-DC-001-MMR-SW-09</t>
        </is>
      </c>
      <c r="B651" t="inlineStr">
        <is>
          <t>Ethernet2</t>
        </is>
      </c>
      <c r="C651" t="inlineStr">
        <is>
          <t>10G SFP+</t>
        </is>
      </c>
      <c r="D651" t="n">
        <v>10000</v>
      </c>
      <c r="E651" t="inlineStr">
        <is>
          <t>up</t>
        </is>
      </c>
      <c r="F651" t="inlineStr">
        <is>
          <t>Server NIC</t>
        </is>
      </c>
    </row>
    <row r="652">
      <c r="A652" t="inlineStr">
        <is>
          <t>MH-DC-001-MMR-SW-09</t>
        </is>
      </c>
      <c r="B652" t="inlineStr">
        <is>
          <t>Ethernet3</t>
        </is>
      </c>
      <c r="C652" t="inlineStr">
        <is>
          <t>10G SFP+</t>
        </is>
      </c>
      <c r="D652" t="n">
        <v>10000</v>
      </c>
      <c r="E652" t="inlineStr">
        <is>
          <t>admin-down</t>
        </is>
      </c>
    </row>
    <row r="653">
      <c r="A653" t="inlineStr">
        <is>
          <t>MH-DC-001-MMR-SW-09</t>
        </is>
      </c>
      <c r="B653" t="inlineStr">
        <is>
          <t>Ethernet4</t>
        </is>
      </c>
      <c r="C653" t="inlineStr">
        <is>
          <t>10G SFP+</t>
        </is>
      </c>
      <c r="D653" t="n">
        <v>10000</v>
      </c>
      <c r="E653" t="inlineStr">
        <is>
          <t>up</t>
        </is>
      </c>
      <c r="F653" t="inlineStr">
        <is>
          <t>Server NIC</t>
        </is>
      </c>
    </row>
    <row r="654">
      <c r="A654" t="inlineStr">
        <is>
          <t>MH-DC-001-MMR-SW-09</t>
        </is>
      </c>
      <c r="B654" t="inlineStr">
        <is>
          <t>Ethernet5</t>
        </is>
      </c>
      <c r="C654" t="inlineStr">
        <is>
          <t>10G SFP+</t>
        </is>
      </c>
      <c r="D654" t="n">
        <v>10000</v>
      </c>
      <c r="E654" t="inlineStr">
        <is>
          <t>admin-down</t>
        </is>
      </c>
    </row>
    <row r="655">
      <c r="A655" t="inlineStr">
        <is>
          <t>MH-DC-001-MMR-SW-09</t>
        </is>
      </c>
      <c r="B655" t="inlineStr">
        <is>
          <t>Ethernet6</t>
        </is>
      </c>
      <c r="C655" t="inlineStr">
        <is>
          <t>10G SFP+</t>
        </is>
      </c>
      <c r="D655" t="n">
        <v>10000</v>
      </c>
      <c r="E655" t="inlineStr">
        <is>
          <t>up</t>
        </is>
      </c>
      <c r="F655" t="inlineStr">
        <is>
          <t>Server NIC</t>
        </is>
      </c>
    </row>
    <row r="656">
      <c r="A656" t="inlineStr">
        <is>
          <t>MH-DC-001-MMR-SW-09</t>
        </is>
      </c>
      <c r="B656" t="inlineStr">
        <is>
          <t>Ethernet7</t>
        </is>
      </c>
      <c r="C656" t="inlineStr">
        <is>
          <t>10G SFP+</t>
        </is>
      </c>
      <c r="D656" t="n">
        <v>10000</v>
      </c>
      <c r="E656" t="inlineStr">
        <is>
          <t>up</t>
        </is>
      </c>
      <c r="F656" t="inlineStr">
        <is>
          <t>Server NIC</t>
        </is>
      </c>
    </row>
    <row r="657">
      <c r="A657" t="inlineStr">
        <is>
          <t>MH-DC-001-MMR-SW-09</t>
        </is>
      </c>
      <c r="B657" t="inlineStr">
        <is>
          <t>Ethernet8</t>
        </is>
      </c>
      <c r="C657" t="inlineStr">
        <is>
          <t>10G SFP+</t>
        </is>
      </c>
      <c r="D657" t="n">
        <v>10000</v>
      </c>
      <c r="E657" t="inlineStr">
        <is>
          <t>up</t>
        </is>
      </c>
      <c r="F657" t="inlineStr">
        <is>
          <t>Server NIC</t>
        </is>
      </c>
    </row>
    <row r="658">
      <c r="A658" t="inlineStr">
        <is>
          <t>MH-DC-001-MMR-SW-09</t>
        </is>
      </c>
      <c r="B658" t="inlineStr">
        <is>
          <t>Ethernet9</t>
        </is>
      </c>
      <c r="C658" t="inlineStr">
        <is>
          <t>10G SFP+</t>
        </is>
      </c>
      <c r="D658" t="n">
        <v>10000</v>
      </c>
      <c r="E658" t="inlineStr">
        <is>
          <t>reserved</t>
        </is>
      </c>
    </row>
    <row r="659">
      <c r="A659" t="inlineStr">
        <is>
          <t>MH-DC-001-MMR-SW-09</t>
        </is>
      </c>
      <c r="B659" t="inlineStr">
        <is>
          <t>Ethernet10</t>
        </is>
      </c>
      <c r="C659" t="inlineStr">
        <is>
          <t>10G SFP+</t>
        </is>
      </c>
      <c r="D659" t="n">
        <v>10000</v>
      </c>
      <c r="E659" t="inlineStr">
        <is>
          <t>up</t>
        </is>
      </c>
      <c r="F659" t="inlineStr">
        <is>
          <t>Server NIC</t>
        </is>
      </c>
    </row>
    <row r="660">
      <c r="A660" t="inlineStr">
        <is>
          <t>MH-DC-001-MMR-SW-09</t>
        </is>
      </c>
      <c r="B660" t="inlineStr">
        <is>
          <t>Ethernet11</t>
        </is>
      </c>
      <c r="C660" t="inlineStr">
        <is>
          <t>10G SFP+</t>
        </is>
      </c>
      <c r="D660" t="n">
        <v>10000</v>
      </c>
      <c r="E660" t="inlineStr">
        <is>
          <t>up</t>
        </is>
      </c>
      <c r="F660" t="inlineStr">
        <is>
          <t>Server NIC</t>
        </is>
      </c>
    </row>
    <row r="661">
      <c r="A661" t="inlineStr">
        <is>
          <t>MH-DC-001-MMR-SW-09</t>
        </is>
      </c>
      <c r="B661" t="inlineStr">
        <is>
          <t>Ethernet12</t>
        </is>
      </c>
      <c r="C661" t="inlineStr">
        <is>
          <t>10G SFP+</t>
        </is>
      </c>
      <c r="D661" t="n">
        <v>10000</v>
      </c>
      <c r="E661" t="inlineStr">
        <is>
          <t>up</t>
        </is>
      </c>
      <c r="F661" t="inlineStr">
        <is>
          <t>Server NIC</t>
        </is>
      </c>
    </row>
    <row r="662">
      <c r="A662" t="inlineStr">
        <is>
          <t>MH-DC-001-MMR-SW-09</t>
        </is>
      </c>
      <c r="B662" t="inlineStr">
        <is>
          <t>Ethernet13</t>
        </is>
      </c>
      <c r="C662" t="inlineStr">
        <is>
          <t>10G SFP+</t>
        </is>
      </c>
      <c r="D662" t="n">
        <v>10000</v>
      </c>
      <c r="E662" t="inlineStr">
        <is>
          <t>up</t>
        </is>
      </c>
      <c r="F662" t="inlineStr">
        <is>
          <t>Server NIC</t>
        </is>
      </c>
    </row>
    <row r="663">
      <c r="A663" t="inlineStr">
        <is>
          <t>MH-DC-001-MMR-SW-09</t>
        </is>
      </c>
      <c r="B663" t="inlineStr">
        <is>
          <t>Ethernet14</t>
        </is>
      </c>
      <c r="C663" t="inlineStr">
        <is>
          <t>10G SFP+</t>
        </is>
      </c>
      <c r="D663" t="n">
        <v>10000</v>
      </c>
      <c r="E663" t="inlineStr">
        <is>
          <t>admin-down</t>
        </is>
      </c>
    </row>
    <row r="664">
      <c r="A664" t="inlineStr">
        <is>
          <t>MH-DC-001-MMR-SW-09</t>
        </is>
      </c>
      <c r="B664" t="inlineStr">
        <is>
          <t>Ethernet15</t>
        </is>
      </c>
      <c r="C664" t="inlineStr">
        <is>
          <t>10G SFP+</t>
        </is>
      </c>
      <c r="D664" t="n">
        <v>10000</v>
      </c>
      <c r="E664" t="inlineStr">
        <is>
          <t>admin-down</t>
        </is>
      </c>
    </row>
    <row r="665">
      <c r="A665" t="inlineStr">
        <is>
          <t>MH-DC-001-MMR-SW-09</t>
        </is>
      </c>
      <c r="B665" t="inlineStr">
        <is>
          <t>Ethernet16</t>
        </is>
      </c>
      <c r="C665" t="inlineStr">
        <is>
          <t>10G SFP+</t>
        </is>
      </c>
      <c r="D665" t="n">
        <v>10000</v>
      </c>
      <c r="E665" t="inlineStr">
        <is>
          <t>up</t>
        </is>
      </c>
      <c r="F665" t="inlineStr">
        <is>
          <t>Server NIC</t>
        </is>
      </c>
    </row>
    <row r="666">
      <c r="A666" t="inlineStr">
        <is>
          <t>MH-DC-001-MMR-SW-09</t>
        </is>
      </c>
      <c r="B666" t="inlineStr">
        <is>
          <t>Ethernet17</t>
        </is>
      </c>
      <c r="C666" t="inlineStr">
        <is>
          <t>10G SFP+</t>
        </is>
      </c>
      <c r="D666" t="n">
        <v>10000</v>
      </c>
      <c r="E666" t="inlineStr">
        <is>
          <t>up</t>
        </is>
      </c>
      <c r="F666" t="inlineStr">
        <is>
          <t>Server NIC</t>
        </is>
      </c>
    </row>
    <row r="667">
      <c r="A667" t="inlineStr">
        <is>
          <t>MH-DC-001-MMR-SW-09</t>
        </is>
      </c>
      <c r="B667" t="inlineStr">
        <is>
          <t>Ethernet18</t>
        </is>
      </c>
      <c r="C667" t="inlineStr">
        <is>
          <t>10G SFP+</t>
        </is>
      </c>
      <c r="D667" t="n">
        <v>10000</v>
      </c>
      <c r="E667" t="inlineStr">
        <is>
          <t>up</t>
        </is>
      </c>
      <c r="F667" t="inlineStr">
        <is>
          <t>Server NIC</t>
        </is>
      </c>
    </row>
    <row r="668">
      <c r="A668" t="inlineStr">
        <is>
          <t>MH-DC-001-MMR-SW-09</t>
        </is>
      </c>
      <c r="B668" t="inlineStr">
        <is>
          <t>Ethernet19</t>
        </is>
      </c>
      <c r="C668" t="inlineStr">
        <is>
          <t>10G SFP+</t>
        </is>
      </c>
      <c r="D668" t="n">
        <v>10000</v>
      </c>
      <c r="E668" t="inlineStr">
        <is>
          <t>up</t>
        </is>
      </c>
      <c r="F668" t="inlineStr">
        <is>
          <t>Server NIC</t>
        </is>
      </c>
    </row>
    <row r="669">
      <c r="A669" t="inlineStr">
        <is>
          <t>MH-DC-001-MMR-SW-09</t>
        </is>
      </c>
      <c r="B669" t="inlineStr">
        <is>
          <t>Ethernet20</t>
        </is>
      </c>
      <c r="C669" t="inlineStr">
        <is>
          <t>10G SFP+</t>
        </is>
      </c>
      <c r="D669" t="n">
        <v>10000</v>
      </c>
      <c r="E669" t="inlineStr">
        <is>
          <t>up</t>
        </is>
      </c>
      <c r="F669" t="inlineStr">
        <is>
          <t>Server NIC</t>
        </is>
      </c>
    </row>
    <row r="670">
      <c r="A670" t="inlineStr">
        <is>
          <t>MH-DC-001-MMR-SW-09</t>
        </is>
      </c>
      <c r="B670" t="inlineStr">
        <is>
          <t>Ethernet21</t>
        </is>
      </c>
      <c r="C670" t="inlineStr">
        <is>
          <t>10G SFP+</t>
        </is>
      </c>
      <c r="D670" t="n">
        <v>10000</v>
      </c>
      <c r="E670" t="inlineStr">
        <is>
          <t>admin-down</t>
        </is>
      </c>
    </row>
    <row r="671">
      <c r="A671" t="inlineStr">
        <is>
          <t>MH-DC-001-MMR-SW-09</t>
        </is>
      </c>
      <c r="B671" t="inlineStr">
        <is>
          <t>Ethernet22</t>
        </is>
      </c>
      <c r="C671" t="inlineStr">
        <is>
          <t>10G SFP+</t>
        </is>
      </c>
      <c r="D671" t="n">
        <v>10000</v>
      </c>
      <c r="E671" t="inlineStr">
        <is>
          <t>up</t>
        </is>
      </c>
      <c r="F671" t="inlineStr">
        <is>
          <t>Server NIC</t>
        </is>
      </c>
    </row>
    <row r="672">
      <c r="A672" t="inlineStr">
        <is>
          <t>MH-DC-001-MMR-SW-09</t>
        </is>
      </c>
      <c r="B672" t="inlineStr">
        <is>
          <t>Ethernet23</t>
        </is>
      </c>
      <c r="C672" t="inlineStr">
        <is>
          <t>10G SFP+</t>
        </is>
      </c>
      <c r="D672" t="n">
        <v>10000</v>
      </c>
      <c r="E672" t="inlineStr">
        <is>
          <t>admin-down</t>
        </is>
      </c>
    </row>
    <row r="673">
      <c r="A673" t="inlineStr">
        <is>
          <t>MH-DC-001-MMR-SW-09</t>
        </is>
      </c>
      <c r="B673" t="inlineStr">
        <is>
          <t>Ethernet24</t>
        </is>
      </c>
      <c r="C673" t="inlineStr">
        <is>
          <t>10G SFP+</t>
        </is>
      </c>
      <c r="D673" t="n">
        <v>10000</v>
      </c>
      <c r="E673" t="inlineStr">
        <is>
          <t>up</t>
        </is>
      </c>
      <c r="F673" t="inlineStr">
        <is>
          <t>Server NIC</t>
        </is>
      </c>
    </row>
    <row r="674">
      <c r="A674" t="inlineStr">
        <is>
          <t>MH-DC-001-MMR-SW-09</t>
        </is>
      </c>
      <c r="B674" t="inlineStr">
        <is>
          <t>Ethernet25</t>
        </is>
      </c>
      <c r="C674" t="inlineStr">
        <is>
          <t>10G SFP+</t>
        </is>
      </c>
      <c r="D674" t="n">
        <v>10000</v>
      </c>
      <c r="E674" t="inlineStr">
        <is>
          <t>up</t>
        </is>
      </c>
      <c r="F674" t="inlineStr">
        <is>
          <t>Server NIC</t>
        </is>
      </c>
    </row>
    <row r="675">
      <c r="A675" t="inlineStr">
        <is>
          <t>MH-DC-001-MMR-SW-09</t>
        </is>
      </c>
      <c r="B675" t="inlineStr">
        <is>
          <t>Ethernet26</t>
        </is>
      </c>
      <c r="C675" t="inlineStr">
        <is>
          <t>10G SFP+</t>
        </is>
      </c>
      <c r="D675" t="n">
        <v>10000</v>
      </c>
      <c r="E675" t="inlineStr">
        <is>
          <t>up</t>
        </is>
      </c>
      <c r="F675" t="inlineStr">
        <is>
          <t>Server NIC</t>
        </is>
      </c>
    </row>
    <row r="676">
      <c r="A676" t="inlineStr">
        <is>
          <t>MH-DC-001-MMR-SW-09</t>
        </is>
      </c>
      <c r="B676" t="inlineStr">
        <is>
          <t>Ethernet27</t>
        </is>
      </c>
      <c r="C676" t="inlineStr">
        <is>
          <t>10G SFP+</t>
        </is>
      </c>
      <c r="D676" t="n">
        <v>10000</v>
      </c>
      <c r="E676" t="inlineStr">
        <is>
          <t>up</t>
        </is>
      </c>
      <c r="F676" t="inlineStr">
        <is>
          <t>Server NIC</t>
        </is>
      </c>
    </row>
    <row r="677">
      <c r="A677" t="inlineStr">
        <is>
          <t>MH-DC-001-MMR-SW-09</t>
        </is>
      </c>
      <c r="B677" t="inlineStr">
        <is>
          <t>Ethernet28</t>
        </is>
      </c>
      <c r="C677" t="inlineStr">
        <is>
          <t>10G SFP+</t>
        </is>
      </c>
      <c r="D677" t="n">
        <v>10000</v>
      </c>
      <c r="E677" t="inlineStr">
        <is>
          <t>up</t>
        </is>
      </c>
      <c r="F677" t="inlineStr">
        <is>
          <t>Server NIC</t>
        </is>
      </c>
    </row>
    <row r="678">
      <c r="A678" t="inlineStr">
        <is>
          <t>MH-DC-001-MMR-SW-09</t>
        </is>
      </c>
      <c r="B678" t="inlineStr">
        <is>
          <t>Ethernet29</t>
        </is>
      </c>
      <c r="C678" t="inlineStr">
        <is>
          <t>10G SFP+</t>
        </is>
      </c>
      <c r="D678" t="n">
        <v>10000</v>
      </c>
      <c r="E678" t="inlineStr">
        <is>
          <t>admin-down</t>
        </is>
      </c>
    </row>
    <row r="679">
      <c r="A679" t="inlineStr">
        <is>
          <t>MH-DC-001-MMR-SW-09</t>
        </is>
      </c>
      <c r="B679" t="inlineStr">
        <is>
          <t>Ethernet30</t>
        </is>
      </c>
      <c r="C679" t="inlineStr">
        <is>
          <t>10G SFP+</t>
        </is>
      </c>
      <c r="D679" t="n">
        <v>10000</v>
      </c>
      <c r="E679" t="inlineStr">
        <is>
          <t>admin-down</t>
        </is>
      </c>
    </row>
    <row r="680">
      <c r="A680" t="inlineStr">
        <is>
          <t>MH-DC-001-MMR-SW-09</t>
        </is>
      </c>
      <c r="B680" t="inlineStr">
        <is>
          <t>Ethernet31</t>
        </is>
      </c>
      <c r="C680" t="inlineStr">
        <is>
          <t>10G SFP+</t>
        </is>
      </c>
      <c r="D680" t="n">
        <v>10000</v>
      </c>
      <c r="E680" t="inlineStr">
        <is>
          <t>up</t>
        </is>
      </c>
      <c r="F680" t="inlineStr">
        <is>
          <t>Server NIC</t>
        </is>
      </c>
    </row>
    <row r="681">
      <c r="A681" t="inlineStr">
        <is>
          <t>MH-DC-001-MMR-SW-09</t>
        </is>
      </c>
      <c r="B681" t="inlineStr">
        <is>
          <t>Ethernet32</t>
        </is>
      </c>
      <c r="C681" t="inlineStr">
        <is>
          <t>10G SFP+</t>
        </is>
      </c>
      <c r="D681" t="n">
        <v>10000</v>
      </c>
      <c r="E681" t="inlineStr">
        <is>
          <t>reserved</t>
        </is>
      </c>
    </row>
    <row r="682">
      <c r="A682" t="inlineStr">
        <is>
          <t>MH-DC-001-MMR-SW-09</t>
        </is>
      </c>
      <c r="B682" t="inlineStr">
        <is>
          <t>Ethernet33</t>
        </is>
      </c>
      <c r="C682" t="inlineStr">
        <is>
          <t>10G SFP+</t>
        </is>
      </c>
      <c r="D682" t="n">
        <v>10000</v>
      </c>
      <c r="E682" t="inlineStr">
        <is>
          <t>up</t>
        </is>
      </c>
      <c r="F682" t="inlineStr">
        <is>
          <t>Server NIC</t>
        </is>
      </c>
    </row>
    <row r="683">
      <c r="A683" t="inlineStr">
        <is>
          <t>MH-DC-001-MMR-SW-09</t>
        </is>
      </c>
      <c r="B683" t="inlineStr">
        <is>
          <t>Ethernet34</t>
        </is>
      </c>
      <c r="C683" t="inlineStr">
        <is>
          <t>10G SFP+</t>
        </is>
      </c>
      <c r="D683" t="n">
        <v>10000</v>
      </c>
      <c r="E683" t="inlineStr">
        <is>
          <t>admin-down</t>
        </is>
      </c>
    </row>
    <row r="684">
      <c r="A684" t="inlineStr">
        <is>
          <t>MH-DC-001-MMR-SW-09</t>
        </is>
      </c>
      <c r="B684" t="inlineStr">
        <is>
          <t>Ethernet35</t>
        </is>
      </c>
      <c r="C684" t="inlineStr">
        <is>
          <t>10G SFP+</t>
        </is>
      </c>
      <c r="D684" t="n">
        <v>10000</v>
      </c>
      <c r="E684" t="inlineStr">
        <is>
          <t>up</t>
        </is>
      </c>
      <c r="F684" t="inlineStr">
        <is>
          <t>Server NIC</t>
        </is>
      </c>
    </row>
    <row r="685">
      <c r="A685" t="inlineStr">
        <is>
          <t>MH-DC-001-MMR-SW-09</t>
        </is>
      </c>
      <c r="B685" t="inlineStr">
        <is>
          <t>Ethernet36</t>
        </is>
      </c>
      <c r="C685" t="inlineStr">
        <is>
          <t>10G SFP+</t>
        </is>
      </c>
      <c r="D685" t="n">
        <v>10000</v>
      </c>
      <c r="E685" t="inlineStr">
        <is>
          <t>up</t>
        </is>
      </c>
      <c r="F685" t="inlineStr">
        <is>
          <t>Server NIC</t>
        </is>
      </c>
    </row>
    <row r="686">
      <c r="A686" t="inlineStr">
        <is>
          <t>MH-DC-001-MMR-SW-09</t>
        </is>
      </c>
      <c r="B686" t="inlineStr">
        <is>
          <t>Ethernet37</t>
        </is>
      </c>
      <c r="C686" t="inlineStr">
        <is>
          <t>10G SFP+</t>
        </is>
      </c>
      <c r="D686" t="n">
        <v>10000</v>
      </c>
      <c r="E686" t="inlineStr">
        <is>
          <t>admin-down</t>
        </is>
      </c>
    </row>
    <row r="687">
      <c r="A687" t="inlineStr">
        <is>
          <t>MH-DC-001-MMR-SW-09</t>
        </is>
      </c>
      <c r="B687" t="inlineStr">
        <is>
          <t>Ethernet38</t>
        </is>
      </c>
      <c r="C687" t="inlineStr">
        <is>
          <t>10G SFP+</t>
        </is>
      </c>
      <c r="D687" t="n">
        <v>10000</v>
      </c>
      <c r="E687" t="inlineStr">
        <is>
          <t>up</t>
        </is>
      </c>
      <c r="F687" t="inlineStr">
        <is>
          <t>Server NIC</t>
        </is>
      </c>
    </row>
    <row r="688">
      <c r="A688" t="inlineStr">
        <is>
          <t>MH-DC-001-MMR-SW-09</t>
        </is>
      </c>
      <c r="B688" t="inlineStr">
        <is>
          <t>Ethernet39</t>
        </is>
      </c>
      <c r="C688" t="inlineStr">
        <is>
          <t>10G SFP+</t>
        </is>
      </c>
      <c r="D688" t="n">
        <v>10000</v>
      </c>
      <c r="E688" t="inlineStr">
        <is>
          <t>up</t>
        </is>
      </c>
      <c r="F688" t="inlineStr">
        <is>
          <t>Server NIC</t>
        </is>
      </c>
    </row>
    <row r="689">
      <c r="A689" t="inlineStr">
        <is>
          <t>MH-DC-001-MMR-SW-09</t>
        </is>
      </c>
      <c r="B689" t="inlineStr">
        <is>
          <t>Ethernet40</t>
        </is>
      </c>
      <c r="C689" t="inlineStr">
        <is>
          <t>10G SFP+</t>
        </is>
      </c>
      <c r="D689" t="n">
        <v>10000</v>
      </c>
      <c r="E689" t="inlineStr">
        <is>
          <t>up</t>
        </is>
      </c>
      <c r="F689" t="inlineStr">
        <is>
          <t>Server NIC</t>
        </is>
      </c>
    </row>
    <row r="690">
      <c r="A690" t="inlineStr">
        <is>
          <t>MH-DC-001-MMR-SW-09</t>
        </is>
      </c>
      <c r="B690" t="inlineStr">
        <is>
          <t>Ethernet41</t>
        </is>
      </c>
      <c r="C690" t="inlineStr">
        <is>
          <t>10G SFP+</t>
        </is>
      </c>
      <c r="D690" t="n">
        <v>10000</v>
      </c>
      <c r="E690" t="inlineStr">
        <is>
          <t>up</t>
        </is>
      </c>
      <c r="F690" t="inlineStr">
        <is>
          <t>Server NIC</t>
        </is>
      </c>
    </row>
    <row r="691">
      <c r="A691" t="inlineStr">
        <is>
          <t>MH-DC-001-MMR-SW-09</t>
        </is>
      </c>
      <c r="B691" t="inlineStr">
        <is>
          <t>Ethernet42</t>
        </is>
      </c>
      <c r="C691" t="inlineStr">
        <is>
          <t>10G SFP+</t>
        </is>
      </c>
      <c r="D691" t="n">
        <v>10000</v>
      </c>
      <c r="E691" t="inlineStr">
        <is>
          <t>up</t>
        </is>
      </c>
      <c r="F691" t="inlineStr">
        <is>
          <t>Server NIC</t>
        </is>
      </c>
    </row>
    <row r="692">
      <c r="A692" t="inlineStr">
        <is>
          <t>MH-DC-001-MMR-SW-09</t>
        </is>
      </c>
      <c r="B692" t="inlineStr">
        <is>
          <t>Ethernet43</t>
        </is>
      </c>
      <c r="C692" t="inlineStr">
        <is>
          <t>10G SFP+</t>
        </is>
      </c>
      <c r="D692" t="n">
        <v>10000</v>
      </c>
      <c r="E692" t="inlineStr">
        <is>
          <t>up</t>
        </is>
      </c>
      <c r="F692" t="inlineStr">
        <is>
          <t>Server NIC</t>
        </is>
      </c>
    </row>
    <row r="693">
      <c r="A693" t="inlineStr">
        <is>
          <t>MH-DC-001-MMR-SW-09</t>
        </is>
      </c>
      <c r="B693" t="inlineStr">
        <is>
          <t>Ethernet44</t>
        </is>
      </c>
      <c r="C693" t="inlineStr">
        <is>
          <t>10G SFP+</t>
        </is>
      </c>
      <c r="D693" t="n">
        <v>10000</v>
      </c>
      <c r="E693" t="inlineStr">
        <is>
          <t>up</t>
        </is>
      </c>
      <c r="F693" t="inlineStr">
        <is>
          <t>Server NIC</t>
        </is>
      </c>
    </row>
    <row r="694">
      <c r="A694" t="inlineStr">
        <is>
          <t>MH-DC-001-MMR-SW-09</t>
        </is>
      </c>
      <c r="B694" t="inlineStr">
        <is>
          <t>Ethernet45</t>
        </is>
      </c>
      <c r="C694" t="inlineStr">
        <is>
          <t>10G SFP+</t>
        </is>
      </c>
      <c r="D694" t="n">
        <v>10000</v>
      </c>
      <c r="E694" t="inlineStr">
        <is>
          <t>up</t>
        </is>
      </c>
      <c r="F694" t="inlineStr">
        <is>
          <t>Server NIC</t>
        </is>
      </c>
    </row>
    <row r="695">
      <c r="A695" t="inlineStr">
        <is>
          <t>MH-DC-001-MMR-SW-09</t>
        </is>
      </c>
      <c r="B695" t="inlineStr">
        <is>
          <t>Ethernet46</t>
        </is>
      </c>
      <c r="C695" t="inlineStr">
        <is>
          <t>10G SFP+</t>
        </is>
      </c>
      <c r="D695" t="n">
        <v>10000</v>
      </c>
      <c r="E695" t="inlineStr">
        <is>
          <t>up</t>
        </is>
      </c>
      <c r="F695" t="inlineStr">
        <is>
          <t>Server NIC</t>
        </is>
      </c>
    </row>
    <row r="696">
      <c r="A696" t="inlineStr">
        <is>
          <t>MH-DC-001-MMR-SW-09</t>
        </is>
      </c>
      <c r="B696" t="inlineStr">
        <is>
          <t>Ethernet47</t>
        </is>
      </c>
      <c r="C696" t="inlineStr">
        <is>
          <t>10G SFP+</t>
        </is>
      </c>
      <c r="D696" t="n">
        <v>10000</v>
      </c>
      <c r="E696" t="inlineStr">
        <is>
          <t>admin-down</t>
        </is>
      </c>
    </row>
    <row r="697">
      <c r="A697" t="inlineStr">
        <is>
          <t>MH-DC-001-MMR-SW-09</t>
        </is>
      </c>
      <c r="B697" t="inlineStr">
        <is>
          <t>Ethernet48</t>
        </is>
      </c>
      <c r="C697" t="inlineStr">
        <is>
          <t>10G SFP+</t>
        </is>
      </c>
      <c r="D697" t="n">
        <v>10000</v>
      </c>
      <c r="E697" t="inlineStr">
        <is>
          <t>up</t>
        </is>
      </c>
      <c r="F697" t="inlineStr">
        <is>
          <t>Server NIC</t>
        </is>
      </c>
    </row>
    <row r="698">
      <c r="A698" t="inlineStr">
        <is>
          <t>MH-DC-001-MMR-SW-09</t>
        </is>
      </c>
      <c r="B698" t="inlineStr">
        <is>
          <t>Ethernet49/1</t>
        </is>
      </c>
      <c r="C698" t="inlineStr">
        <is>
          <t>100G QSFP28</t>
        </is>
      </c>
      <c r="D698" t="n">
        <v>100000</v>
      </c>
      <c r="E698" t="inlineStr">
        <is>
          <t>up</t>
        </is>
      </c>
      <c r="F698" t="inlineStr">
        <is>
          <t>Uplink to MH-DC-001-AGG-R03</t>
        </is>
      </c>
      <c r="G698" t="inlineStr">
        <is>
          <t>QSFP28-100G-LR4</t>
        </is>
      </c>
    </row>
    <row r="699">
      <c r="A699" t="inlineStr">
        <is>
          <t>MH-DC-001-MMR-SW-09</t>
        </is>
      </c>
      <c r="B699" t="inlineStr">
        <is>
          <t>Ethernet49/2</t>
        </is>
      </c>
      <c r="C699" t="inlineStr">
        <is>
          <t>100G QSFP28</t>
        </is>
      </c>
      <c r="D699" t="n">
        <v>100000</v>
      </c>
      <c r="E699" t="inlineStr">
        <is>
          <t>up</t>
        </is>
      </c>
      <c r="F699" t="inlineStr">
        <is>
          <t>Uplink to MH-DC-001-AGG-R03</t>
        </is>
      </c>
      <c r="G699" t="inlineStr">
        <is>
          <t>QSFP28-100G-LR4</t>
        </is>
      </c>
    </row>
    <row r="700">
      <c r="A700" t="inlineStr">
        <is>
          <t>MH-DC-001-MMR-SW-09</t>
        </is>
      </c>
      <c r="B700" t="inlineStr">
        <is>
          <t>Ethernet49/3</t>
        </is>
      </c>
      <c r="C700" t="inlineStr">
        <is>
          <t>100G QSFP28</t>
        </is>
      </c>
      <c r="D700" t="n">
        <v>100000</v>
      </c>
      <c r="E700" t="inlineStr">
        <is>
          <t>admin-down</t>
        </is>
      </c>
    </row>
    <row r="701">
      <c r="A701" t="inlineStr">
        <is>
          <t>MH-DC-001-MMR-SW-09</t>
        </is>
      </c>
      <c r="B701" t="inlineStr">
        <is>
          <t>Ethernet49/4</t>
        </is>
      </c>
      <c r="C701" t="inlineStr">
        <is>
          <t>100G QSFP28</t>
        </is>
      </c>
      <c r="D701" t="n">
        <v>100000</v>
      </c>
      <c r="E701" t="inlineStr">
        <is>
          <t>admin-down</t>
        </is>
      </c>
    </row>
    <row r="702">
      <c r="A702" t="inlineStr">
        <is>
          <t>MH-DC-001-TOR-001</t>
        </is>
      </c>
      <c r="B702" t="inlineStr">
        <is>
          <t>Te0/0/0/0</t>
        </is>
      </c>
      <c r="C702" t="inlineStr">
        <is>
          <t>10G SFP+</t>
        </is>
      </c>
      <c r="D702" t="n">
        <v>10000</v>
      </c>
      <c r="E702" t="inlineStr">
        <is>
          <t>up</t>
        </is>
      </c>
      <c r="F702" t="inlineStr">
        <is>
          <t>Access to MH-DC-001-MMR-SW-01</t>
        </is>
      </c>
      <c r="G702" t="inlineStr">
        <is>
          <t>SFP-10G-LR</t>
        </is>
      </c>
    </row>
    <row r="703">
      <c r="A703" t="inlineStr">
        <is>
          <t>MH-DC-001-TOR-001</t>
        </is>
      </c>
      <c r="B703" t="inlineStr">
        <is>
          <t>Te0/0/0/1</t>
        </is>
      </c>
      <c r="C703" t="inlineStr">
        <is>
          <t>10G SFP+</t>
        </is>
      </c>
      <c r="D703" t="n">
        <v>10000</v>
      </c>
      <c r="E703" t="inlineStr">
        <is>
          <t>up</t>
        </is>
      </c>
      <c r="F703" t="inlineStr">
        <is>
          <t>Access to MH-DC-001-MMR-SW-02</t>
        </is>
      </c>
      <c r="G703" t="inlineStr">
        <is>
          <t>SFP-10G-LR</t>
        </is>
      </c>
    </row>
    <row r="704">
      <c r="A704" t="inlineStr">
        <is>
          <t>MH-DC-001-TOR-001</t>
        </is>
      </c>
      <c r="B704" t="inlineStr">
        <is>
          <t>Te0/0/0/2</t>
        </is>
      </c>
      <c r="C704" t="inlineStr">
        <is>
          <t>10G SFP+</t>
        </is>
      </c>
      <c r="D704" t="n">
        <v>10000</v>
      </c>
      <c r="E704" t="inlineStr">
        <is>
          <t>up</t>
        </is>
      </c>
      <c r="F704" t="inlineStr">
        <is>
          <t>Access to MH-DC-001-BMS-01</t>
        </is>
      </c>
      <c r="G704" t="inlineStr">
        <is>
          <t>SFP-10G-LR</t>
        </is>
      </c>
    </row>
    <row r="705">
      <c r="A705" t="inlineStr">
        <is>
          <t>MH-DC-001-TOR-001</t>
        </is>
      </c>
      <c r="B705" t="inlineStr">
        <is>
          <t>Te0/0/0/3</t>
        </is>
      </c>
      <c r="C705" t="inlineStr">
        <is>
          <t>10G SFP+</t>
        </is>
      </c>
      <c r="D705" t="n">
        <v>10000</v>
      </c>
      <c r="E705" t="inlineStr">
        <is>
          <t>up</t>
        </is>
      </c>
      <c r="F705" t="inlineStr">
        <is>
          <t>Access to MH-DC-001-BMS-02</t>
        </is>
      </c>
      <c r="G705" t="inlineStr">
        <is>
          <t>SFP-10G-LR</t>
        </is>
      </c>
    </row>
    <row r="706">
      <c r="A706" t="inlineStr">
        <is>
          <t>MH-DC-001-TOR-001</t>
        </is>
      </c>
      <c r="B706" t="inlineStr">
        <is>
          <t>Te0/0/0/4</t>
        </is>
      </c>
      <c r="C706" t="inlineStr">
        <is>
          <t>10G SFP+</t>
        </is>
      </c>
      <c r="D706" t="n">
        <v>10000</v>
      </c>
      <c r="E706" t="inlineStr">
        <is>
          <t>up</t>
        </is>
      </c>
      <c r="F706" t="inlineStr">
        <is>
          <t>Server NIC</t>
        </is>
      </c>
    </row>
    <row r="707">
      <c r="A707" t="inlineStr">
        <is>
          <t>MH-DC-001-TOR-001</t>
        </is>
      </c>
      <c r="B707" t="inlineStr">
        <is>
          <t>Te0/0/0/5</t>
        </is>
      </c>
      <c r="C707" t="inlineStr">
        <is>
          <t>10G SFP+</t>
        </is>
      </c>
      <c r="D707" t="n">
        <v>10000</v>
      </c>
      <c r="E707" t="inlineStr">
        <is>
          <t>up</t>
        </is>
      </c>
      <c r="F707" t="inlineStr">
        <is>
          <t>Server NIC</t>
        </is>
      </c>
    </row>
    <row r="708">
      <c r="A708" t="inlineStr">
        <is>
          <t>MH-DC-001-TOR-001</t>
        </is>
      </c>
      <c r="B708" t="inlineStr">
        <is>
          <t>Te0/0/0/6</t>
        </is>
      </c>
      <c r="C708" t="inlineStr">
        <is>
          <t>10G SFP+</t>
        </is>
      </c>
      <c r="D708" t="n">
        <v>10000</v>
      </c>
      <c r="E708" t="inlineStr">
        <is>
          <t>up</t>
        </is>
      </c>
      <c r="F708" t="inlineStr">
        <is>
          <t>Server NIC</t>
        </is>
      </c>
    </row>
    <row r="709">
      <c r="A709" t="inlineStr">
        <is>
          <t>MH-DC-001-TOR-001</t>
        </is>
      </c>
      <c r="B709" t="inlineStr">
        <is>
          <t>Te0/0/0/7</t>
        </is>
      </c>
      <c r="C709" t="inlineStr">
        <is>
          <t>10G SFP+</t>
        </is>
      </c>
      <c r="D709" t="n">
        <v>10000</v>
      </c>
      <c r="E709" t="inlineStr">
        <is>
          <t>up</t>
        </is>
      </c>
      <c r="F709" t="inlineStr">
        <is>
          <t>Server NIC</t>
        </is>
      </c>
    </row>
    <row r="710">
      <c r="A710" t="inlineStr">
        <is>
          <t>MH-DC-001-TOR-001</t>
        </is>
      </c>
      <c r="B710" t="inlineStr">
        <is>
          <t>Te0/0/0/8</t>
        </is>
      </c>
      <c r="C710" t="inlineStr">
        <is>
          <t>10G SFP+</t>
        </is>
      </c>
      <c r="D710" t="n">
        <v>10000</v>
      </c>
      <c r="E710" t="inlineStr">
        <is>
          <t>up</t>
        </is>
      </c>
      <c r="F710" t="inlineStr">
        <is>
          <t>Access to MH-DC-001-ACS-01</t>
        </is>
      </c>
      <c r="G710" t="inlineStr">
        <is>
          <t>SFP-10G-LR</t>
        </is>
      </c>
    </row>
    <row r="711">
      <c r="A711" t="inlineStr">
        <is>
          <t>MH-DC-001-TOR-001</t>
        </is>
      </c>
      <c r="B711" t="inlineStr">
        <is>
          <t>Te0/0/0/9</t>
        </is>
      </c>
      <c r="C711" t="inlineStr">
        <is>
          <t>10G SFP+</t>
        </is>
      </c>
      <c r="D711" t="n">
        <v>10000</v>
      </c>
      <c r="E711" t="inlineStr">
        <is>
          <t>up</t>
        </is>
      </c>
      <c r="F711" t="inlineStr">
        <is>
          <t>Server NIC</t>
        </is>
      </c>
    </row>
    <row r="712">
      <c r="A712" t="inlineStr">
        <is>
          <t>MH-DC-001-TOR-001</t>
        </is>
      </c>
      <c r="B712" t="inlineStr">
        <is>
          <t>Te0/0/0/10</t>
        </is>
      </c>
      <c r="C712" t="inlineStr">
        <is>
          <t>10G SFP+</t>
        </is>
      </c>
      <c r="D712" t="n">
        <v>10000</v>
      </c>
      <c r="E712" t="inlineStr">
        <is>
          <t>up</t>
        </is>
      </c>
      <c r="F712" t="inlineStr">
        <is>
          <t>Server NIC</t>
        </is>
      </c>
    </row>
    <row r="713">
      <c r="A713" t="inlineStr">
        <is>
          <t>MH-DC-001-TOR-001</t>
        </is>
      </c>
      <c r="B713" t="inlineStr">
        <is>
          <t>Te0/0/0/11</t>
        </is>
      </c>
      <c r="C713" t="inlineStr">
        <is>
          <t>10G SFP+</t>
        </is>
      </c>
      <c r="D713" t="n">
        <v>10000</v>
      </c>
      <c r="E713" t="inlineStr">
        <is>
          <t>up</t>
        </is>
      </c>
      <c r="F713" t="inlineStr">
        <is>
          <t>Server NIC</t>
        </is>
      </c>
    </row>
    <row r="714">
      <c r="A714" t="inlineStr">
        <is>
          <t>MH-DC-001-TOR-001</t>
        </is>
      </c>
      <c r="B714" t="inlineStr">
        <is>
          <t>Te0/0/0/12</t>
        </is>
      </c>
      <c r="C714" t="inlineStr">
        <is>
          <t>10G SFP+</t>
        </is>
      </c>
      <c r="D714" t="n">
        <v>10000</v>
      </c>
      <c r="E714" t="inlineStr">
        <is>
          <t>up</t>
        </is>
      </c>
      <c r="F714" t="inlineStr">
        <is>
          <t>Access to MH-DC-001-NVR-01</t>
        </is>
      </c>
      <c r="G714" t="inlineStr">
        <is>
          <t>SFP-10G-LR</t>
        </is>
      </c>
    </row>
    <row r="715">
      <c r="A715" t="inlineStr">
        <is>
          <t>MH-DC-001-TOR-001</t>
        </is>
      </c>
      <c r="B715" t="inlineStr">
        <is>
          <t>Te0/0/0/13</t>
        </is>
      </c>
      <c r="C715" t="inlineStr">
        <is>
          <t>10G SFP+</t>
        </is>
      </c>
      <c r="D715" t="n">
        <v>10000</v>
      </c>
      <c r="E715" t="inlineStr">
        <is>
          <t>up</t>
        </is>
      </c>
      <c r="F715" t="inlineStr">
        <is>
          <t>Server NIC</t>
        </is>
      </c>
    </row>
    <row r="716">
      <c r="A716" t="inlineStr">
        <is>
          <t>MH-DC-001-TOR-001</t>
        </is>
      </c>
      <c r="B716" t="inlineStr">
        <is>
          <t>Te0/0/0/14</t>
        </is>
      </c>
      <c r="C716" t="inlineStr">
        <is>
          <t>10G SFP+</t>
        </is>
      </c>
      <c r="D716" t="n">
        <v>10000</v>
      </c>
      <c r="E716" t="inlineStr">
        <is>
          <t>up</t>
        </is>
      </c>
      <c r="F716" t="inlineStr">
        <is>
          <t>Server NIC</t>
        </is>
      </c>
    </row>
    <row r="717">
      <c r="A717" t="inlineStr">
        <is>
          <t>MH-DC-001-TOR-001</t>
        </is>
      </c>
      <c r="B717" t="inlineStr">
        <is>
          <t>Te0/0/0/15</t>
        </is>
      </c>
      <c r="C717" t="inlineStr">
        <is>
          <t>10G SFP+</t>
        </is>
      </c>
      <c r="D717" t="n">
        <v>10000</v>
      </c>
      <c r="E717" t="inlineStr">
        <is>
          <t>up</t>
        </is>
      </c>
      <c r="F717" t="inlineStr">
        <is>
          <t>Access to MH-DC-001-NVR-02</t>
        </is>
      </c>
      <c r="G717" t="inlineStr">
        <is>
          <t>SFP-10G-LR</t>
        </is>
      </c>
    </row>
    <row r="718">
      <c r="A718" t="inlineStr">
        <is>
          <t>MH-DC-001-TOR-001</t>
        </is>
      </c>
      <c r="B718" t="inlineStr">
        <is>
          <t>Te0/0/0/16</t>
        </is>
      </c>
      <c r="C718" t="inlineStr">
        <is>
          <t>10G SFP+</t>
        </is>
      </c>
      <c r="D718" t="n">
        <v>10000</v>
      </c>
      <c r="E718" t="inlineStr">
        <is>
          <t>up</t>
        </is>
      </c>
      <c r="F718" t="inlineStr">
        <is>
          <t>Server NIC</t>
        </is>
      </c>
    </row>
    <row r="719">
      <c r="A719" t="inlineStr">
        <is>
          <t>MH-DC-001-TOR-001</t>
        </is>
      </c>
      <c r="B719" t="inlineStr">
        <is>
          <t>Te0/0/0/17</t>
        </is>
      </c>
      <c r="C719" t="inlineStr">
        <is>
          <t>10G SFP+</t>
        </is>
      </c>
      <c r="D719" t="n">
        <v>10000</v>
      </c>
      <c r="E719" t="inlineStr">
        <is>
          <t>up</t>
        </is>
      </c>
      <c r="F719" t="inlineStr">
        <is>
          <t>Server NIC</t>
        </is>
      </c>
    </row>
    <row r="720">
      <c r="A720" t="inlineStr">
        <is>
          <t>MH-DC-001-TOR-001</t>
        </is>
      </c>
      <c r="B720" t="inlineStr">
        <is>
          <t>Te0/0/0/18</t>
        </is>
      </c>
      <c r="C720" t="inlineStr">
        <is>
          <t>10G SFP+</t>
        </is>
      </c>
      <c r="D720" t="n">
        <v>10000</v>
      </c>
      <c r="E720" t="inlineStr">
        <is>
          <t>up</t>
        </is>
      </c>
      <c r="F720" t="inlineStr">
        <is>
          <t>Server NIC</t>
        </is>
      </c>
    </row>
    <row r="721">
      <c r="A721" t="inlineStr">
        <is>
          <t>MH-DC-001-TOR-001</t>
        </is>
      </c>
      <c r="B721" t="inlineStr">
        <is>
          <t>Te0/0/0/19</t>
        </is>
      </c>
      <c r="C721" t="inlineStr">
        <is>
          <t>10G SFP+</t>
        </is>
      </c>
      <c r="D721" t="n">
        <v>10000</v>
      </c>
      <c r="E721" t="inlineStr">
        <is>
          <t>up</t>
        </is>
      </c>
      <c r="F721" t="inlineStr">
        <is>
          <t>Server NIC</t>
        </is>
      </c>
    </row>
    <row r="722">
      <c r="A722" t="inlineStr">
        <is>
          <t>MH-DC-001-TOR-001</t>
        </is>
      </c>
      <c r="B722" t="inlineStr">
        <is>
          <t>Te0/0/0/20</t>
        </is>
      </c>
      <c r="C722" t="inlineStr">
        <is>
          <t>10G SFP+</t>
        </is>
      </c>
      <c r="D722" t="n">
        <v>10000</v>
      </c>
      <c r="E722" t="inlineStr">
        <is>
          <t>up</t>
        </is>
      </c>
      <c r="F722" t="inlineStr">
        <is>
          <t>Server NIC</t>
        </is>
      </c>
    </row>
    <row r="723">
      <c r="A723" t="inlineStr">
        <is>
          <t>MH-DC-001-TOR-001</t>
        </is>
      </c>
      <c r="B723" t="inlineStr">
        <is>
          <t>Te0/0/0/21</t>
        </is>
      </c>
      <c r="C723" t="inlineStr">
        <is>
          <t>10G SFP+</t>
        </is>
      </c>
      <c r="D723" t="n">
        <v>10000</v>
      </c>
      <c r="E723" t="inlineStr">
        <is>
          <t>up</t>
        </is>
      </c>
      <c r="F723" t="inlineStr">
        <is>
          <t>Server NIC</t>
        </is>
      </c>
    </row>
    <row r="724">
      <c r="A724" t="inlineStr">
        <is>
          <t>MH-DC-001-TOR-001</t>
        </is>
      </c>
      <c r="B724" t="inlineStr">
        <is>
          <t>Te0/0/0/22</t>
        </is>
      </c>
      <c r="C724" t="inlineStr">
        <is>
          <t>10G SFP+</t>
        </is>
      </c>
      <c r="D724" t="n">
        <v>10000</v>
      </c>
      <c r="E724" t="inlineStr">
        <is>
          <t>up</t>
        </is>
      </c>
      <c r="F724" t="inlineStr">
        <is>
          <t>Server NIC</t>
        </is>
      </c>
    </row>
    <row r="725">
      <c r="A725" t="inlineStr">
        <is>
          <t>MH-DC-001-TOR-001</t>
        </is>
      </c>
      <c r="B725" t="inlineStr">
        <is>
          <t>Te0/0/0/23</t>
        </is>
      </c>
      <c r="C725" t="inlineStr">
        <is>
          <t>10G SFP+</t>
        </is>
      </c>
      <c r="D725" t="n">
        <v>10000</v>
      </c>
      <c r="E725" t="inlineStr">
        <is>
          <t>up</t>
        </is>
      </c>
      <c r="F725" t="inlineStr">
        <is>
          <t>Server NIC</t>
        </is>
      </c>
    </row>
    <row r="726">
      <c r="A726" t="inlineStr">
        <is>
          <t>MH-DC-001-TOR-001</t>
        </is>
      </c>
      <c r="B726" t="inlineStr">
        <is>
          <t>Hu0/0/1/0</t>
        </is>
      </c>
      <c r="C726" t="inlineStr">
        <is>
          <t>100G QSFP28</t>
        </is>
      </c>
      <c r="D726" t="n">
        <v>100000</v>
      </c>
      <c r="E726" t="inlineStr">
        <is>
          <t>admin-down</t>
        </is>
      </c>
    </row>
    <row r="727">
      <c r="A727" t="inlineStr">
        <is>
          <t>MH-DC-001-TOR-001</t>
        </is>
      </c>
      <c r="B727" t="inlineStr">
        <is>
          <t>Hu0/0/1/1</t>
        </is>
      </c>
      <c r="C727" t="inlineStr">
        <is>
          <t>100G QSFP28</t>
        </is>
      </c>
      <c r="D727" t="n">
        <v>100000</v>
      </c>
      <c r="E727" t="inlineStr">
        <is>
          <t>admin-down</t>
        </is>
      </c>
    </row>
    <row r="728">
      <c r="A728" t="inlineStr">
        <is>
          <t>MH-DC-001-TOR-002</t>
        </is>
      </c>
      <c r="B728" t="inlineStr">
        <is>
          <t>Te0/0/0/0</t>
        </is>
      </c>
      <c r="C728" t="inlineStr">
        <is>
          <t>10G SFP+</t>
        </is>
      </c>
      <c r="D728" t="n">
        <v>10000</v>
      </c>
      <c r="E728" t="inlineStr">
        <is>
          <t>up</t>
        </is>
      </c>
      <c r="F728" t="inlineStr">
        <is>
          <t>Access to MH-DC-001-MMR-SW-02</t>
        </is>
      </c>
      <c r="G728" t="inlineStr">
        <is>
          <t>SFP-10G-LR</t>
        </is>
      </c>
    </row>
    <row r="729">
      <c r="A729" t="inlineStr">
        <is>
          <t>MH-DC-001-TOR-002</t>
        </is>
      </c>
      <c r="B729" t="inlineStr">
        <is>
          <t>Te0/0/0/1</t>
        </is>
      </c>
      <c r="C729" t="inlineStr">
        <is>
          <t>10G SFP+</t>
        </is>
      </c>
      <c r="D729" t="n">
        <v>10000</v>
      </c>
      <c r="E729" t="inlineStr">
        <is>
          <t>up</t>
        </is>
      </c>
      <c r="F729" t="inlineStr">
        <is>
          <t>Access to MH-DC-001-MMR-SW-03</t>
        </is>
      </c>
      <c r="G729" t="inlineStr">
        <is>
          <t>SFP-10G-LR</t>
        </is>
      </c>
    </row>
    <row r="730">
      <c r="A730" t="inlineStr">
        <is>
          <t>MH-DC-001-TOR-002</t>
        </is>
      </c>
      <c r="B730" t="inlineStr">
        <is>
          <t>Te0/0/0/2</t>
        </is>
      </c>
      <c r="C730" t="inlineStr">
        <is>
          <t>10G SFP+</t>
        </is>
      </c>
      <c r="D730" t="n">
        <v>10000</v>
      </c>
      <c r="E730" t="inlineStr">
        <is>
          <t>up</t>
        </is>
      </c>
      <c r="F730" t="inlineStr">
        <is>
          <t>Access to MH-DC-001-BMS-01</t>
        </is>
      </c>
      <c r="G730" t="inlineStr">
        <is>
          <t>SFP-10G-LR</t>
        </is>
      </c>
    </row>
    <row r="731">
      <c r="A731" t="inlineStr">
        <is>
          <t>MH-DC-001-TOR-002</t>
        </is>
      </c>
      <c r="B731" t="inlineStr">
        <is>
          <t>Te0/0/0/3</t>
        </is>
      </c>
      <c r="C731" t="inlineStr">
        <is>
          <t>10G SFP+</t>
        </is>
      </c>
      <c r="D731" t="n">
        <v>10000</v>
      </c>
      <c r="E731" t="inlineStr">
        <is>
          <t>up</t>
        </is>
      </c>
      <c r="F731" t="inlineStr">
        <is>
          <t>Access to MH-DC-001-BMS-02</t>
        </is>
      </c>
      <c r="G731" t="inlineStr">
        <is>
          <t>SFP-10G-LR</t>
        </is>
      </c>
    </row>
    <row r="732">
      <c r="A732" t="inlineStr">
        <is>
          <t>MH-DC-001-TOR-002</t>
        </is>
      </c>
      <c r="B732" t="inlineStr">
        <is>
          <t>Te0/0/0/4</t>
        </is>
      </c>
      <c r="C732" t="inlineStr">
        <is>
          <t>10G SFP+</t>
        </is>
      </c>
      <c r="D732" t="n">
        <v>10000</v>
      </c>
      <c r="E732" t="inlineStr">
        <is>
          <t>up</t>
        </is>
      </c>
      <c r="F732" t="inlineStr">
        <is>
          <t>Server NIC</t>
        </is>
      </c>
    </row>
    <row r="733">
      <c r="A733" t="inlineStr">
        <is>
          <t>MH-DC-001-TOR-002</t>
        </is>
      </c>
      <c r="B733" t="inlineStr">
        <is>
          <t>Te0/0/0/5</t>
        </is>
      </c>
      <c r="C733" t="inlineStr">
        <is>
          <t>10G SFP+</t>
        </is>
      </c>
      <c r="D733" t="n">
        <v>10000</v>
      </c>
      <c r="E733" t="inlineStr">
        <is>
          <t>up</t>
        </is>
      </c>
      <c r="F733" t="inlineStr">
        <is>
          <t>Server NIC</t>
        </is>
      </c>
    </row>
    <row r="734">
      <c r="A734" t="inlineStr">
        <is>
          <t>MH-DC-001-TOR-002</t>
        </is>
      </c>
      <c r="B734" t="inlineStr">
        <is>
          <t>Te0/0/0/6</t>
        </is>
      </c>
      <c r="C734" t="inlineStr">
        <is>
          <t>10G SFP+</t>
        </is>
      </c>
      <c r="D734" t="n">
        <v>10000</v>
      </c>
      <c r="E734" t="inlineStr">
        <is>
          <t>up</t>
        </is>
      </c>
      <c r="F734" t="inlineStr">
        <is>
          <t>Server NIC</t>
        </is>
      </c>
    </row>
    <row r="735">
      <c r="A735" t="inlineStr">
        <is>
          <t>MH-DC-001-TOR-002</t>
        </is>
      </c>
      <c r="B735" t="inlineStr">
        <is>
          <t>Te0/0/0/7</t>
        </is>
      </c>
      <c r="C735" t="inlineStr">
        <is>
          <t>10G SFP+</t>
        </is>
      </c>
      <c r="D735" t="n">
        <v>10000</v>
      </c>
      <c r="E735" t="inlineStr">
        <is>
          <t>up</t>
        </is>
      </c>
      <c r="F735" t="inlineStr">
        <is>
          <t>Access to MH-DC-001-ACS-01</t>
        </is>
      </c>
      <c r="G735" t="inlineStr">
        <is>
          <t>SFP-10G-LR</t>
        </is>
      </c>
    </row>
    <row r="736">
      <c r="A736" t="inlineStr">
        <is>
          <t>MH-DC-001-TOR-002</t>
        </is>
      </c>
      <c r="B736" t="inlineStr">
        <is>
          <t>Te0/0/0/8</t>
        </is>
      </c>
      <c r="C736" t="inlineStr">
        <is>
          <t>10G SFP+</t>
        </is>
      </c>
      <c r="D736" t="n">
        <v>10000</v>
      </c>
      <c r="E736" t="inlineStr">
        <is>
          <t>up</t>
        </is>
      </c>
      <c r="F736" t="inlineStr">
        <is>
          <t>Server NIC</t>
        </is>
      </c>
    </row>
    <row r="737">
      <c r="A737" t="inlineStr">
        <is>
          <t>MH-DC-001-TOR-002</t>
        </is>
      </c>
      <c r="B737" t="inlineStr">
        <is>
          <t>Te0/0/0/9</t>
        </is>
      </c>
      <c r="C737" t="inlineStr">
        <is>
          <t>10G SFP+</t>
        </is>
      </c>
      <c r="D737" t="n">
        <v>10000</v>
      </c>
      <c r="E737" t="inlineStr">
        <is>
          <t>up</t>
        </is>
      </c>
      <c r="F737" t="inlineStr">
        <is>
          <t>Server NIC</t>
        </is>
      </c>
    </row>
    <row r="738">
      <c r="A738" t="inlineStr">
        <is>
          <t>MH-DC-001-TOR-002</t>
        </is>
      </c>
      <c r="B738" t="inlineStr">
        <is>
          <t>Te0/0/0/10</t>
        </is>
      </c>
      <c r="C738" t="inlineStr">
        <is>
          <t>10G SFP+</t>
        </is>
      </c>
      <c r="D738" t="n">
        <v>10000</v>
      </c>
      <c r="E738" t="inlineStr">
        <is>
          <t>up</t>
        </is>
      </c>
      <c r="F738" t="inlineStr">
        <is>
          <t>Access to MH-DC-001-NVR-01</t>
        </is>
      </c>
      <c r="G738" t="inlineStr">
        <is>
          <t>SFP-10G-LR</t>
        </is>
      </c>
    </row>
    <row r="739">
      <c r="A739" t="inlineStr">
        <is>
          <t>MH-DC-001-TOR-002</t>
        </is>
      </c>
      <c r="B739" t="inlineStr">
        <is>
          <t>Te0/0/0/11</t>
        </is>
      </c>
      <c r="C739" t="inlineStr">
        <is>
          <t>10G SFP+</t>
        </is>
      </c>
      <c r="D739" t="n">
        <v>10000</v>
      </c>
      <c r="E739" t="inlineStr">
        <is>
          <t>up</t>
        </is>
      </c>
      <c r="F739" t="inlineStr">
        <is>
          <t>Server NIC</t>
        </is>
      </c>
    </row>
    <row r="740">
      <c r="A740" t="inlineStr">
        <is>
          <t>MH-DC-001-TOR-002</t>
        </is>
      </c>
      <c r="B740" t="inlineStr">
        <is>
          <t>Te0/0/0/12</t>
        </is>
      </c>
      <c r="C740" t="inlineStr">
        <is>
          <t>10G SFP+</t>
        </is>
      </c>
      <c r="D740" t="n">
        <v>10000</v>
      </c>
      <c r="E740" t="inlineStr">
        <is>
          <t>up</t>
        </is>
      </c>
      <c r="F740" t="inlineStr">
        <is>
          <t>Server NIC</t>
        </is>
      </c>
    </row>
    <row r="741">
      <c r="A741" t="inlineStr">
        <is>
          <t>MH-DC-001-TOR-002</t>
        </is>
      </c>
      <c r="B741" t="inlineStr">
        <is>
          <t>Te0/0/0/13</t>
        </is>
      </c>
      <c r="C741" t="inlineStr">
        <is>
          <t>10G SFP+</t>
        </is>
      </c>
      <c r="D741" t="n">
        <v>10000</v>
      </c>
      <c r="E741" t="inlineStr">
        <is>
          <t>up</t>
        </is>
      </c>
      <c r="F741" t="inlineStr">
        <is>
          <t>Server NIC</t>
        </is>
      </c>
    </row>
    <row r="742">
      <c r="A742" t="inlineStr">
        <is>
          <t>MH-DC-001-TOR-002</t>
        </is>
      </c>
      <c r="B742" t="inlineStr">
        <is>
          <t>Te0/0/0/14</t>
        </is>
      </c>
      <c r="C742" t="inlineStr">
        <is>
          <t>10G SFP+</t>
        </is>
      </c>
      <c r="D742" t="n">
        <v>10000</v>
      </c>
      <c r="E742" t="inlineStr">
        <is>
          <t>up</t>
        </is>
      </c>
      <c r="F742" t="inlineStr">
        <is>
          <t>Access to MH-DC-001-NVR-02</t>
        </is>
      </c>
      <c r="G742" t="inlineStr">
        <is>
          <t>SFP-10G-LR</t>
        </is>
      </c>
    </row>
    <row r="743">
      <c r="A743" t="inlineStr">
        <is>
          <t>MH-DC-001-TOR-002</t>
        </is>
      </c>
      <c r="B743" t="inlineStr">
        <is>
          <t>Te0/0/0/15</t>
        </is>
      </c>
      <c r="C743" t="inlineStr">
        <is>
          <t>10G SFP+</t>
        </is>
      </c>
      <c r="D743" t="n">
        <v>10000</v>
      </c>
      <c r="E743" t="inlineStr">
        <is>
          <t>up</t>
        </is>
      </c>
      <c r="F743" t="inlineStr">
        <is>
          <t>Server NIC</t>
        </is>
      </c>
    </row>
    <row r="744">
      <c r="A744" t="inlineStr">
        <is>
          <t>MH-DC-001-TOR-002</t>
        </is>
      </c>
      <c r="B744" t="inlineStr">
        <is>
          <t>Te0/0/0/16</t>
        </is>
      </c>
      <c r="C744" t="inlineStr">
        <is>
          <t>10G SFP+</t>
        </is>
      </c>
      <c r="D744" t="n">
        <v>10000</v>
      </c>
      <c r="E744" t="inlineStr">
        <is>
          <t>admin-down</t>
        </is>
      </c>
    </row>
    <row r="745">
      <c r="A745" t="inlineStr">
        <is>
          <t>MH-DC-001-TOR-002</t>
        </is>
      </c>
      <c r="B745" t="inlineStr">
        <is>
          <t>Te0/0/0/17</t>
        </is>
      </c>
      <c r="C745" t="inlineStr">
        <is>
          <t>10G SFP+</t>
        </is>
      </c>
      <c r="D745" t="n">
        <v>10000</v>
      </c>
      <c r="E745" t="inlineStr">
        <is>
          <t>up</t>
        </is>
      </c>
      <c r="F745" t="inlineStr">
        <is>
          <t>Server NIC</t>
        </is>
      </c>
    </row>
    <row r="746">
      <c r="A746" t="inlineStr">
        <is>
          <t>MH-DC-001-TOR-002</t>
        </is>
      </c>
      <c r="B746" t="inlineStr">
        <is>
          <t>Te0/0/0/18</t>
        </is>
      </c>
      <c r="C746" t="inlineStr">
        <is>
          <t>10G SFP+</t>
        </is>
      </c>
      <c r="D746" t="n">
        <v>10000</v>
      </c>
      <c r="E746" t="inlineStr">
        <is>
          <t>up</t>
        </is>
      </c>
      <c r="F746" t="inlineStr">
        <is>
          <t>Server NIC</t>
        </is>
      </c>
    </row>
    <row r="747">
      <c r="A747" t="inlineStr">
        <is>
          <t>MH-DC-001-TOR-002</t>
        </is>
      </c>
      <c r="B747" t="inlineStr">
        <is>
          <t>Te0/0/0/19</t>
        </is>
      </c>
      <c r="C747" t="inlineStr">
        <is>
          <t>10G SFP+</t>
        </is>
      </c>
      <c r="D747" t="n">
        <v>10000</v>
      </c>
      <c r="E747" t="inlineStr">
        <is>
          <t>up</t>
        </is>
      </c>
      <c r="F747" t="inlineStr">
        <is>
          <t>Server NIC</t>
        </is>
      </c>
    </row>
    <row r="748">
      <c r="A748" t="inlineStr">
        <is>
          <t>MH-DC-001-TOR-002</t>
        </is>
      </c>
      <c r="B748" t="inlineStr">
        <is>
          <t>Te0/0/0/20</t>
        </is>
      </c>
      <c r="C748" t="inlineStr">
        <is>
          <t>10G SFP+</t>
        </is>
      </c>
      <c r="D748" t="n">
        <v>10000</v>
      </c>
      <c r="E748" t="inlineStr">
        <is>
          <t>admin-down</t>
        </is>
      </c>
    </row>
    <row r="749">
      <c r="A749" t="inlineStr">
        <is>
          <t>MH-DC-001-TOR-002</t>
        </is>
      </c>
      <c r="B749" t="inlineStr">
        <is>
          <t>Te0/0/0/21</t>
        </is>
      </c>
      <c r="C749" t="inlineStr">
        <is>
          <t>10G SFP+</t>
        </is>
      </c>
      <c r="D749" t="n">
        <v>10000</v>
      </c>
      <c r="E749" t="inlineStr">
        <is>
          <t>admin-down</t>
        </is>
      </c>
    </row>
    <row r="750">
      <c r="A750" t="inlineStr">
        <is>
          <t>MH-DC-001-TOR-002</t>
        </is>
      </c>
      <c r="B750" t="inlineStr">
        <is>
          <t>Te0/0/0/22</t>
        </is>
      </c>
      <c r="C750" t="inlineStr">
        <is>
          <t>10G SFP+</t>
        </is>
      </c>
      <c r="D750" t="n">
        <v>10000</v>
      </c>
      <c r="E750" t="inlineStr">
        <is>
          <t>up</t>
        </is>
      </c>
      <c r="F750" t="inlineStr">
        <is>
          <t>Server NIC</t>
        </is>
      </c>
    </row>
    <row r="751">
      <c r="A751" t="inlineStr">
        <is>
          <t>MH-DC-001-TOR-002</t>
        </is>
      </c>
      <c r="B751" t="inlineStr">
        <is>
          <t>Te0/0/0/23</t>
        </is>
      </c>
      <c r="C751" t="inlineStr">
        <is>
          <t>10G SFP+</t>
        </is>
      </c>
      <c r="D751" t="n">
        <v>10000</v>
      </c>
      <c r="E751" t="inlineStr">
        <is>
          <t>admin-down</t>
        </is>
      </c>
    </row>
    <row r="752">
      <c r="A752" t="inlineStr">
        <is>
          <t>MH-DC-001-TOR-002</t>
        </is>
      </c>
      <c r="B752" t="inlineStr">
        <is>
          <t>Hu0/0/1/0</t>
        </is>
      </c>
      <c r="C752" t="inlineStr">
        <is>
          <t>100G QSFP28</t>
        </is>
      </c>
      <c r="D752" t="n">
        <v>100000</v>
      </c>
      <c r="E752" t="inlineStr">
        <is>
          <t>admin-down</t>
        </is>
      </c>
    </row>
    <row r="753">
      <c r="A753" t="inlineStr">
        <is>
          <t>MH-DC-001-TOR-002</t>
        </is>
      </c>
      <c r="B753" t="inlineStr">
        <is>
          <t>Hu0/0/1/1</t>
        </is>
      </c>
      <c r="C753" t="inlineStr">
        <is>
          <t>100G QSFP28</t>
        </is>
      </c>
      <c r="D753" t="n">
        <v>100000</v>
      </c>
      <c r="E753" t="inlineStr">
        <is>
          <t>admin-down</t>
        </is>
      </c>
    </row>
    <row r="754">
      <c r="A754" t="inlineStr">
        <is>
          <t>MH-DC-001-TOR-003</t>
        </is>
      </c>
      <c r="B754" t="inlineStr">
        <is>
          <t>xe-0/0/0</t>
        </is>
      </c>
      <c r="C754" t="inlineStr">
        <is>
          <t>10G SFP+</t>
        </is>
      </c>
      <c r="D754" t="n">
        <v>10000</v>
      </c>
      <c r="E754" t="inlineStr">
        <is>
          <t>up</t>
        </is>
      </c>
      <c r="F754" t="inlineStr">
        <is>
          <t>Access to MH-DC-001-MMR-SW-03</t>
        </is>
      </c>
      <c r="G754" t="inlineStr">
        <is>
          <t>SFP-10G-LR</t>
        </is>
      </c>
    </row>
    <row r="755">
      <c r="A755" t="inlineStr">
        <is>
          <t>MH-DC-001-TOR-003</t>
        </is>
      </c>
      <c r="B755" t="inlineStr">
        <is>
          <t>xe-0/0/1</t>
        </is>
      </c>
      <c r="C755" t="inlineStr">
        <is>
          <t>10G SFP+</t>
        </is>
      </c>
      <c r="D755" t="n">
        <v>10000</v>
      </c>
      <c r="E755" t="inlineStr">
        <is>
          <t>up</t>
        </is>
      </c>
      <c r="F755" t="inlineStr">
        <is>
          <t>Access to MH-DC-001-MMR-SW-04</t>
        </is>
      </c>
      <c r="G755" t="inlineStr">
        <is>
          <t>SFP-10G-LR</t>
        </is>
      </c>
    </row>
    <row r="756">
      <c r="A756" t="inlineStr">
        <is>
          <t>MH-DC-001-TOR-003</t>
        </is>
      </c>
      <c r="B756" t="inlineStr">
        <is>
          <t>xe-0/0/2</t>
        </is>
      </c>
      <c r="C756" t="inlineStr">
        <is>
          <t>10G SFP+</t>
        </is>
      </c>
      <c r="D756" t="n">
        <v>10000</v>
      </c>
      <c r="E756" t="inlineStr">
        <is>
          <t>up</t>
        </is>
      </c>
      <c r="F756" t="inlineStr">
        <is>
          <t>Access to MH-DC-001-JMP-01</t>
        </is>
      </c>
      <c r="G756" t="inlineStr">
        <is>
          <t>SFP-10G-LR</t>
        </is>
      </c>
    </row>
    <row r="757">
      <c r="A757" t="inlineStr">
        <is>
          <t>MH-DC-001-TOR-003</t>
        </is>
      </c>
      <c r="B757" t="inlineStr">
        <is>
          <t>xe-0/0/3</t>
        </is>
      </c>
      <c r="C757" t="inlineStr">
        <is>
          <t>10G SFP+</t>
        </is>
      </c>
      <c r="D757" t="n">
        <v>10000</v>
      </c>
      <c r="E757" t="inlineStr">
        <is>
          <t>up</t>
        </is>
      </c>
      <c r="F757" t="inlineStr">
        <is>
          <t>Server NIC</t>
        </is>
      </c>
    </row>
    <row r="758">
      <c r="A758" t="inlineStr">
        <is>
          <t>MH-DC-001-TOR-003</t>
        </is>
      </c>
      <c r="B758" t="inlineStr">
        <is>
          <t>xe-0/0/4</t>
        </is>
      </c>
      <c r="C758" t="inlineStr">
        <is>
          <t>10G SFP+</t>
        </is>
      </c>
      <c r="D758" t="n">
        <v>10000</v>
      </c>
      <c r="E758" t="inlineStr">
        <is>
          <t>up</t>
        </is>
      </c>
      <c r="F758" t="inlineStr">
        <is>
          <t>Access to MH-DC-001-JMP-02</t>
        </is>
      </c>
      <c r="G758" t="inlineStr">
        <is>
          <t>SFP-10G-LR</t>
        </is>
      </c>
    </row>
    <row r="759">
      <c r="A759" t="inlineStr">
        <is>
          <t>MH-DC-001-TOR-003</t>
        </is>
      </c>
      <c r="B759" t="inlineStr">
        <is>
          <t>xe-0/0/5</t>
        </is>
      </c>
      <c r="C759" t="inlineStr">
        <is>
          <t>10G SFP+</t>
        </is>
      </c>
      <c r="D759" t="n">
        <v>10000</v>
      </c>
      <c r="E759" t="inlineStr">
        <is>
          <t>up</t>
        </is>
      </c>
      <c r="F759" t="inlineStr">
        <is>
          <t>Access to MH-DC-001-BKP-01</t>
        </is>
      </c>
      <c r="G759" t="inlineStr">
        <is>
          <t>SFP-10G-LR</t>
        </is>
      </c>
    </row>
    <row r="760">
      <c r="A760" t="inlineStr">
        <is>
          <t>MH-DC-001-TOR-003</t>
        </is>
      </c>
      <c r="B760" t="inlineStr">
        <is>
          <t>xe-0/0/6</t>
        </is>
      </c>
      <c r="C760" t="inlineStr">
        <is>
          <t>10G SFP+</t>
        </is>
      </c>
      <c r="D760" t="n">
        <v>10000</v>
      </c>
      <c r="E760" t="inlineStr">
        <is>
          <t>up</t>
        </is>
      </c>
      <c r="F760" t="inlineStr">
        <is>
          <t>Server NIC</t>
        </is>
      </c>
    </row>
    <row r="761">
      <c r="A761" t="inlineStr">
        <is>
          <t>MH-DC-001-TOR-003</t>
        </is>
      </c>
      <c r="B761" t="inlineStr">
        <is>
          <t>xe-0/0/7</t>
        </is>
      </c>
      <c r="C761" t="inlineStr">
        <is>
          <t>10G SFP+</t>
        </is>
      </c>
      <c r="D761" t="n">
        <v>10000</v>
      </c>
      <c r="E761" t="inlineStr">
        <is>
          <t>up</t>
        </is>
      </c>
      <c r="F761" t="inlineStr">
        <is>
          <t>Server NIC</t>
        </is>
      </c>
    </row>
    <row r="762">
      <c r="A762" t="inlineStr">
        <is>
          <t>MH-DC-001-TOR-003</t>
        </is>
      </c>
      <c r="B762" t="inlineStr">
        <is>
          <t>xe-0/0/8</t>
        </is>
      </c>
      <c r="C762" t="inlineStr">
        <is>
          <t>10G SFP+</t>
        </is>
      </c>
      <c r="D762" t="n">
        <v>10000</v>
      </c>
      <c r="E762" t="inlineStr">
        <is>
          <t>up</t>
        </is>
      </c>
      <c r="F762" t="inlineStr">
        <is>
          <t>Server NIC</t>
        </is>
      </c>
    </row>
    <row r="763">
      <c r="A763" t="inlineStr">
        <is>
          <t>MH-DC-001-TOR-003</t>
        </is>
      </c>
      <c r="B763" t="inlineStr">
        <is>
          <t>xe-0/0/9</t>
        </is>
      </c>
      <c r="C763" t="inlineStr">
        <is>
          <t>10G SFP+</t>
        </is>
      </c>
      <c r="D763" t="n">
        <v>10000</v>
      </c>
      <c r="E763" t="inlineStr">
        <is>
          <t>up</t>
        </is>
      </c>
      <c r="F763" t="inlineStr">
        <is>
          <t>Access to MH-DC-001-DCIM-01</t>
        </is>
      </c>
      <c r="G763" t="inlineStr">
        <is>
          <t>SFP-10G-LR</t>
        </is>
      </c>
    </row>
    <row r="764">
      <c r="A764" t="inlineStr">
        <is>
          <t>MH-DC-001-TOR-003</t>
        </is>
      </c>
      <c r="B764" t="inlineStr">
        <is>
          <t>xe-0/0/10</t>
        </is>
      </c>
      <c r="C764" t="inlineStr">
        <is>
          <t>10G SFP+</t>
        </is>
      </c>
      <c r="D764" t="n">
        <v>10000</v>
      </c>
      <c r="E764" t="inlineStr">
        <is>
          <t>up</t>
        </is>
      </c>
      <c r="F764" t="inlineStr">
        <is>
          <t>Server NIC</t>
        </is>
      </c>
    </row>
    <row r="765">
      <c r="A765" t="inlineStr">
        <is>
          <t>MH-DC-001-TOR-003</t>
        </is>
      </c>
      <c r="B765" t="inlineStr">
        <is>
          <t>xe-0/0/11</t>
        </is>
      </c>
      <c r="C765" t="inlineStr">
        <is>
          <t>10G SFP+</t>
        </is>
      </c>
      <c r="D765" t="n">
        <v>10000</v>
      </c>
      <c r="E765" t="inlineStr">
        <is>
          <t>up</t>
        </is>
      </c>
      <c r="F765" t="inlineStr">
        <is>
          <t>Access to MH-DC-001-DCIM-02</t>
        </is>
      </c>
      <c r="G765" t="inlineStr">
        <is>
          <t>SFP-10G-LR</t>
        </is>
      </c>
    </row>
    <row r="766">
      <c r="A766" t="inlineStr">
        <is>
          <t>MH-DC-001-TOR-003</t>
        </is>
      </c>
      <c r="B766" t="inlineStr">
        <is>
          <t>xe-0/0/12</t>
        </is>
      </c>
      <c r="C766" t="inlineStr">
        <is>
          <t>10G SFP+</t>
        </is>
      </c>
      <c r="D766" t="n">
        <v>10000</v>
      </c>
      <c r="E766" t="inlineStr">
        <is>
          <t>up</t>
        </is>
      </c>
      <c r="F766" t="inlineStr">
        <is>
          <t>Server NIC</t>
        </is>
      </c>
    </row>
    <row r="767">
      <c r="A767" t="inlineStr">
        <is>
          <t>MH-DC-001-TOR-003</t>
        </is>
      </c>
      <c r="B767" t="inlineStr">
        <is>
          <t>xe-0/0/13</t>
        </is>
      </c>
      <c r="C767" t="inlineStr">
        <is>
          <t>10G SFP+</t>
        </is>
      </c>
      <c r="D767" t="n">
        <v>10000</v>
      </c>
      <c r="E767" t="inlineStr">
        <is>
          <t>up</t>
        </is>
      </c>
      <c r="F767" t="inlineStr">
        <is>
          <t>Access to MH-DC-001-MON-01</t>
        </is>
      </c>
      <c r="G767" t="inlineStr">
        <is>
          <t>SFP-10G-LR</t>
        </is>
      </c>
    </row>
    <row r="768">
      <c r="A768" t="inlineStr">
        <is>
          <t>MH-DC-001-TOR-003</t>
        </is>
      </c>
      <c r="B768" t="inlineStr">
        <is>
          <t>xe-0/0/14</t>
        </is>
      </c>
      <c r="C768" t="inlineStr">
        <is>
          <t>10G SFP+</t>
        </is>
      </c>
      <c r="D768" t="n">
        <v>10000</v>
      </c>
      <c r="E768" t="inlineStr">
        <is>
          <t>up</t>
        </is>
      </c>
      <c r="F768" t="inlineStr">
        <is>
          <t>Server NIC</t>
        </is>
      </c>
    </row>
    <row r="769">
      <c r="A769" t="inlineStr">
        <is>
          <t>MH-DC-001-TOR-003</t>
        </is>
      </c>
      <c r="B769" t="inlineStr">
        <is>
          <t>xe-0/0/15</t>
        </is>
      </c>
      <c r="C769" t="inlineStr">
        <is>
          <t>10G SFP+</t>
        </is>
      </c>
      <c r="D769" t="n">
        <v>10000</v>
      </c>
      <c r="E769" t="inlineStr">
        <is>
          <t>up</t>
        </is>
      </c>
      <c r="F769" t="inlineStr">
        <is>
          <t>Access to MH-DC-001-MON-02</t>
        </is>
      </c>
      <c r="G769" t="inlineStr">
        <is>
          <t>SFP-10G-LR</t>
        </is>
      </c>
    </row>
    <row r="770">
      <c r="A770" t="inlineStr">
        <is>
          <t>MH-DC-001-TOR-003</t>
        </is>
      </c>
      <c r="B770" t="inlineStr">
        <is>
          <t>xe-0/0/16</t>
        </is>
      </c>
      <c r="C770" t="inlineStr">
        <is>
          <t>10G SFP+</t>
        </is>
      </c>
      <c r="D770" t="n">
        <v>10000</v>
      </c>
      <c r="E770" t="inlineStr">
        <is>
          <t>up</t>
        </is>
      </c>
      <c r="F770" t="inlineStr">
        <is>
          <t>Server NIC</t>
        </is>
      </c>
    </row>
    <row r="771">
      <c r="A771" t="inlineStr">
        <is>
          <t>MH-DC-001-TOR-003</t>
        </is>
      </c>
      <c r="B771" t="inlineStr">
        <is>
          <t>xe-0/0/17</t>
        </is>
      </c>
      <c r="C771" t="inlineStr">
        <is>
          <t>10G SFP+</t>
        </is>
      </c>
      <c r="D771" t="n">
        <v>10000</v>
      </c>
      <c r="E771" t="inlineStr">
        <is>
          <t>admin-down</t>
        </is>
      </c>
    </row>
    <row r="772">
      <c r="A772" t="inlineStr">
        <is>
          <t>MH-DC-001-TOR-003</t>
        </is>
      </c>
      <c r="B772" t="inlineStr">
        <is>
          <t>xe-0/0/18</t>
        </is>
      </c>
      <c r="C772" t="inlineStr">
        <is>
          <t>10G SFP+</t>
        </is>
      </c>
      <c r="D772" t="n">
        <v>10000</v>
      </c>
      <c r="E772" t="inlineStr">
        <is>
          <t>up</t>
        </is>
      </c>
      <c r="F772" t="inlineStr">
        <is>
          <t>Server NIC</t>
        </is>
      </c>
    </row>
    <row r="773">
      <c r="A773" t="inlineStr">
        <is>
          <t>MH-DC-001-TOR-003</t>
        </is>
      </c>
      <c r="B773" t="inlineStr">
        <is>
          <t>xe-0/0/19</t>
        </is>
      </c>
      <c r="C773" t="inlineStr">
        <is>
          <t>10G SFP+</t>
        </is>
      </c>
      <c r="D773" t="n">
        <v>10000</v>
      </c>
      <c r="E773" t="inlineStr">
        <is>
          <t>admin-down</t>
        </is>
      </c>
    </row>
    <row r="774">
      <c r="A774" t="inlineStr">
        <is>
          <t>MH-DC-001-TOR-003</t>
        </is>
      </c>
      <c r="B774" t="inlineStr">
        <is>
          <t>xe-0/0/20</t>
        </is>
      </c>
      <c r="C774" t="inlineStr">
        <is>
          <t>10G SFP+</t>
        </is>
      </c>
      <c r="D774" t="n">
        <v>10000</v>
      </c>
      <c r="E774" t="inlineStr">
        <is>
          <t>up</t>
        </is>
      </c>
      <c r="F774" t="inlineStr">
        <is>
          <t>Server NIC</t>
        </is>
      </c>
    </row>
    <row r="775">
      <c r="A775" t="inlineStr">
        <is>
          <t>MH-DC-001-TOR-003</t>
        </is>
      </c>
      <c r="B775" t="inlineStr">
        <is>
          <t>xe-0/0/21</t>
        </is>
      </c>
      <c r="C775" t="inlineStr">
        <is>
          <t>10G SFP+</t>
        </is>
      </c>
      <c r="D775" t="n">
        <v>10000</v>
      </c>
      <c r="E775" t="inlineStr">
        <is>
          <t>up</t>
        </is>
      </c>
      <c r="F775" t="inlineStr">
        <is>
          <t>Server NIC</t>
        </is>
      </c>
    </row>
    <row r="776">
      <c r="A776" t="inlineStr">
        <is>
          <t>MH-DC-001-TOR-003</t>
        </is>
      </c>
      <c r="B776" t="inlineStr">
        <is>
          <t>xe-0/0/22</t>
        </is>
      </c>
      <c r="C776" t="inlineStr">
        <is>
          <t>10G SFP+</t>
        </is>
      </c>
      <c r="D776" t="n">
        <v>10000</v>
      </c>
      <c r="E776" t="inlineStr">
        <is>
          <t>admin-down</t>
        </is>
      </c>
    </row>
    <row r="777">
      <c r="A777" t="inlineStr">
        <is>
          <t>MH-DC-001-TOR-003</t>
        </is>
      </c>
      <c r="B777" t="inlineStr">
        <is>
          <t>xe-0/0/23</t>
        </is>
      </c>
      <c r="C777" t="inlineStr">
        <is>
          <t>10G SFP+</t>
        </is>
      </c>
      <c r="D777" t="n">
        <v>10000</v>
      </c>
      <c r="E777" t="inlineStr">
        <is>
          <t>up</t>
        </is>
      </c>
      <c r="F777" t="inlineStr">
        <is>
          <t>Server NIC</t>
        </is>
      </c>
    </row>
    <row r="778">
      <c r="A778" t="inlineStr">
        <is>
          <t>MH-DC-001-TOR-003</t>
        </is>
      </c>
      <c r="B778" t="inlineStr">
        <is>
          <t>et-0/1/0</t>
        </is>
      </c>
      <c r="C778" t="inlineStr">
        <is>
          <t>100G QSFP28</t>
        </is>
      </c>
      <c r="D778" t="n">
        <v>100000</v>
      </c>
      <c r="E778" t="inlineStr">
        <is>
          <t>admin-down</t>
        </is>
      </c>
    </row>
    <row r="779">
      <c r="A779" t="inlineStr">
        <is>
          <t>MH-DC-001-TOR-003</t>
        </is>
      </c>
      <c r="B779" t="inlineStr">
        <is>
          <t>et-0/1/1</t>
        </is>
      </c>
      <c r="C779" t="inlineStr">
        <is>
          <t>100G QSFP28</t>
        </is>
      </c>
      <c r="D779" t="n">
        <v>100000</v>
      </c>
      <c r="E779" t="inlineStr">
        <is>
          <t>admin-down</t>
        </is>
      </c>
    </row>
    <row r="780">
      <c r="A780" t="inlineStr">
        <is>
          <t>MH-DC-001-TOR-004</t>
        </is>
      </c>
      <c r="B780" t="inlineStr">
        <is>
          <t>Te0/0/0/0</t>
        </is>
      </c>
      <c r="C780" t="inlineStr">
        <is>
          <t>10G SFP+</t>
        </is>
      </c>
      <c r="D780" t="n">
        <v>10000</v>
      </c>
      <c r="E780" t="inlineStr">
        <is>
          <t>up</t>
        </is>
      </c>
      <c r="F780" t="inlineStr">
        <is>
          <t>Access to MH-DC-001-MMR-SW-04</t>
        </is>
      </c>
      <c r="G780" t="inlineStr">
        <is>
          <t>SFP-10G-LR</t>
        </is>
      </c>
    </row>
    <row r="781">
      <c r="A781" t="inlineStr">
        <is>
          <t>MH-DC-001-TOR-004</t>
        </is>
      </c>
      <c r="B781" t="inlineStr">
        <is>
          <t>Te0/0/0/1</t>
        </is>
      </c>
      <c r="C781" t="inlineStr">
        <is>
          <t>10G SFP+</t>
        </is>
      </c>
      <c r="D781" t="n">
        <v>10000</v>
      </c>
      <c r="E781" t="inlineStr">
        <is>
          <t>up</t>
        </is>
      </c>
      <c r="F781" t="inlineStr">
        <is>
          <t>Access to MH-DC-001-MMR-SW-05</t>
        </is>
      </c>
      <c r="G781" t="inlineStr">
        <is>
          <t>SFP-10G-LR</t>
        </is>
      </c>
    </row>
    <row r="782">
      <c r="A782" t="inlineStr">
        <is>
          <t>MH-DC-001-TOR-004</t>
        </is>
      </c>
      <c r="B782" t="inlineStr">
        <is>
          <t>Te0/0/0/2</t>
        </is>
      </c>
      <c r="C782" t="inlineStr">
        <is>
          <t>10G SFP+</t>
        </is>
      </c>
      <c r="D782" t="n">
        <v>10000</v>
      </c>
      <c r="E782" t="inlineStr">
        <is>
          <t>up</t>
        </is>
      </c>
      <c r="F782" t="inlineStr">
        <is>
          <t>Server NIC</t>
        </is>
      </c>
    </row>
    <row r="783">
      <c r="A783" t="inlineStr">
        <is>
          <t>MH-DC-001-TOR-004</t>
        </is>
      </c>
      <c r="B783" t="inlineStr">
        <is>
          <t>Te0/0/0/3</t>
        </is>
      </c>
      <c r="C783" t="inlineStr">
        <is>
          <t>10G SFP+</t>
        </is>
      </c>
      <c r="D783" t="n">
        <v>10000</v>
      </c>
      <c r="E783" t="inlineStr">
        <is>
          <t>up</t>
        </is>
      </c>
      <c r="F783" t="inlineStr">
        <is>
          <t>Access to MH-DC-001-JMP-01</t>
        </is>
      </c>
      <c r="G783" t="inlineStr">
        <is>
          <t>SFP-10G-LR</t>
        </is>
      </c>
    </row>
    <row r="784">
      <c r="A784" t="inlineStr">
        <is>
          <t>MH-DC-001-TOR-004</t>
        </is>
      </c>
      <c r="B784" t="inlineStr">
        <is>
          <t>Te0/0/0/4</t>
        </is>
      </c>
      <c r="C784" t="inlineStr">
        <is>
          <t>10G SFP+</t>
        </is>
      </c>
      <c r="D784" t="n">
        <v>10000</v>
      </c>
      <c r="E784" t="inlineStr">
        <is>
          <t>up</t>
        </is>
      </c>
      <c r="F784" t="inlineStr">
        <is>
          <t>Server NIC</t>
        </is>
      </c>
    </row>
    <row r="785">
      <c r="A785" t="inlineStr">
        <is>
          <t>MH-DC-001-TOR-004</t>
        </is>
      </c>
      <c r="B785" t="inlineStr">
        <is>
          <t>Te0/0/0/5</t>
        </is>
      </c>
      <c r="C785" t="inlineStr">
        <is>
          <t>10G SFP+</t>
        </is>
      </c>
      <c r="D785" t="n">
        <v>10000</v>
      </c>
      <c r="E785" t="inlineStr">
        <is>
          <t>up</t>
        </is>
      </c>
      <c r="F785" t="inlineStr">
        <is>
          <t>Server NIC</t>
        </is>
      </c>
    </row>
    <row r="786">
      <c r="A786" t="inlineStr">
        <is>
          <t>MH-DC-001-TOR-004</t>
        </is>
      </c>
      <c r="B786" t="inlineStr">
        <is>
          <t>Te0/0/0/6</t>
        </is>
      </c>
      <c r="C786" t="inlineStr">
        <is>
          <t>10G SFP+</t>
        </is>
      </c>
      <c r="D786" t="n">
        <v>10000</v>
      </c>
      <c r="E786" t="inlineStr">
        <is>
          <t>up</t>
        </is>
      </c>
      <c r="F786" t="inlineStr">
        <is>
          <t>Access to MH-DC-001-JMP-02</t>
        </is>
      </c>
      <c r="G786" t="inlineStr">
        <is>
          <t>SFP-10G-LR</t>
        </is>
      </c>
    </row>
    <row r="787">
      <c r="A787" t="inlineStr">
        <is>
          <t>MH-DC-001-TOR-004</t>
        </is>
      </c>
      <c r="B787" t="inlineStr">
        <is>
          <t>Te0/0/0/7</t>
        </is>
      </c>
      <c r="C787" t="inlineStr">
        <is>
          <t>10G SFP+</t>
        </is>
      </c>
      <c r="D787" t="n">
        <v>10000</v>
      </c>
      <c r="E787" t="inlineStr">
        <is>
          <t>up</t>
        </is>
      </c>
      <c r="F787" t="inlineStr">
        <is>
          <t>Access to MH-DC-001-BKP-01</t>
        </is>
      </c>
      <c r="G787" t="inlineStr">
        <is>
          <t>SFP-10G-LR</t>
        </is>
      </c>
    </row>
    <row r="788">
      <c r="A788" t="inlineStr">
        <is>
          <t>MH-DC-001-TOR-004</t>
        </is>
      </c>
      <c r="B788" t="inlineStr">
        <is>
          <t>Te0/0/0/8</t>
        </is>
      </c>
      <c r="C788" t="inlineStr">
        <is>
          <t>10G SFP+</t>
        </is>
      </c>
      <c r="D788" t="n">
        <v>10000</v>
      </c>
      <c r="E788" t="inlineStr">
        <is>
          <t>up</t>
        </is>
      </c>
      <c r="F788" t="inlineStr">
        <is>
          <t>Server NIC</t>
        </is>
      </c>
    </row>
    <row r="789">
      <c r="A789" t="inlineStr">
        <is>
          <t>MH-DC-001-TOR-004</t>
        </is>
      </c>
      <c r="B789" t="inlineStr">
        <is>
          <t>Te0/0/0/9</t>
        </is>
      </c>
      <c r="C789" t="inlineStr">
        <is>
          <t>10G SFP+</t>
        </is>
      </c>
      <c r="D789" t="n">
        <v>10000</v>
      </c>
      <c r="E789" t="inlineStr">
        <is>
          <t>up</t>
        </is>
      </c>
      <c r="F789" t="inlineStr">
        <is>
          <t>Server NIC</t>
        </is>
      </c>
    </row>
    <row r="790">
      <c r="A790" t="inlineStr">
        <is>
          <t>MH-DC-001-TOR-004</t>
        </is>
      </c>
      <c r="B790" t="inlineStr">
        <is>
          <t>Te0/0/0/10</t>
        </is>
      </c>
      <c r="C790" t="inlineStr">
        <is>
          <t>10G SFP+</t>
        </is>
      </c>
      <c r="D790" t="n">
        <v>10000</v>
      </c>
      <c r="E790" t="inlineStr">
        <is>
          <t>up</t>
        </is>
      </c>
      <c r="F790" t="inlineStr">
        <is>
          <t>Access to MH-DC-001-DCIM-01</t>
        </is>
      </c>
      <c r="G790" t="inlineStr">
        <is>
          <t>SFP-10G-LR</t>
        </is>
      </c>
    </row>
    <row r="791">
      <c r="A791" t="inlineStr">
        <is>
          <t>MH-DC-001-TOR-004</t>
        </is>
      </c>
      <c r="B791" t="inlineStr">
        <is>
          <t>Te0/0/0/11</t>
        </is>
      </c>
      <c r="C791" t="inlineStr">
        <is>
          <t>10G SFP+</t>
        </is>
      </c>
      <c r="D791" t="n">
        <v>10000</v>
      </c>
      <c r="E791" t="inlineStr">
        <is>
          <t>up</t>
        </is>
      </c>
      <c r="F791" t="inlineStr">
        <is>
          <t>Server NIC</t>
        </is>
      </c>
    </row>
    <row r="792">
      <c r="A792" t="inlineStr">
        <is>
          <t>MH-DC-001-TOR-004</t>
        </is>
      </c>
      <c r="B792" t="inlineStr">
        <is>
          <t>Te0/0/0/12</t>
        </is>
      </c>
      <c r="C792" t="inlineStr">
        <is>
          <t>10G SFP+</t>
        </is>
      </c>
      <c r="D792" t="n">
        <v>10000</v>
      </c>
      <c r="E792" t="inlineStr">
        <is>
          <t>up</t>
        </is>
      </c>
      <c r="F792" t="inlineStr">
        <is>
          <t>Access to MH-DC-001-DCIM-02</t>
        </is>
      </c>
      <c r="G792" t="inlineStr">
        <is>
          <t>SFP-10G-LR</t>
        </is>
      </c>
    </row>
    <row r="793">
      <c r="A793" t="inlineStr">
        <is>
          <t>MH-DC-001-TOR-004</t>
        </is>
      </c>
      <c r="B793" t="inlineStr">
        <is>
          <t>Te0/0/0/13</t>
        </is>
      </c>
      <c r="C793" t="inlineStr">
        <is>
          <t>10G SFP+</t>
        </is>
      </c>
      <c r="D793" t="n">
        <v>10000</v>
      </c>
      <c r="E793" t="inlineStr">
        <is>
          <t>up</t>
        </is>
      </c>
      <c r="F793" t="inlineStr">
        <is>
          <t>Server NIC</t>
        </is>
      </c>
    </row>
    <row r="794">
      <c r="A794" t="inlineStr">
        <is>
          <t>MH-DC-001-TOR-004</t>
        </is>
      </c>
      <c r="B794" t="inlineStr">
        <is>
          <t>Te0/0/0/14</t>
        </is>
      </c>
      <c r="C794" t="inlineStr">
        <is>
          <t>10G SFP+</t>
        </is>
      </c>
      <c r="D794" t="n">
        <v>10000</v>
      </c>
      <c r="E794" t="inlineStr">
        <is>
          <t>up</t>
        </is>
      </c>
      <c r="F794" t="inlineStr">
        <is>
          <t>Server NIC</t>
        </is>
      </c>
    </row>
    <row r="795">
      <c r="A795" t="inlineStr">
        <is>
          <t>MH-DC-001-TOR-004</t>
        </is>
      </c>
      <c r="B795" t="inlineStr">
        <is>
          <t>Te0/0/0/15</t>
        </is>
      </c>
      <c r="C795" t="inlineStr">
        <is>
          <t>10G SFP+</t>
        </is>
      </c>
      <c r="D795" t="n">
        <v>10000</v>
      </c>
      <c r="E795" t="inlineStr">
        <is>
          <t>up</t>
        </is>
      </c>
      <c r="F795" t="inlineStr">
        <is>
          <t>Server NIC</t>
        </is>
      </c>
    </row>
    <row r="796">
      <c r="A796" t="inlineStr">
        <is>
          <t>MH-DC-001-TOR-004</t>
        </is>
      </c>
      <c r="B796" t="inlineStr">
        <is>
          <t>Te0/0/0/16</t>
        </is>
      </c>
      <c r="C796" t="inlineStr">
        <is>
          <t>10G SFP+</t>
        </is>
      </c>
      <c r="D796" t="n">
        <v>10000</v>
      </c>
      <c r="E796" t="inlineStr">
        <is>
          <t>up</t>
        </is>
      </c>
      <c r="F796" t="inlineStr">
        <is>
          <t>Server NIC</t>
        </is>
      </c>
    </row>
    <row r="797">
      <c r="A797" t="inlineStr">
        <is>
          <t>MH-DC-001-TOR-004</t>
        </is>
      </c>
      <c r="B797" t="inlineStr">
        <is>
          <t>Te0/0/0/17</t>
        </is>
      </c>
      <c r="C797" t="inlineStr">
        <is>
          <t>10G SFP+</t>
        </is>
      </c>
      <c r="D797" t="n">
        <v>10000</v>
      </c>
      <c r="E797" t="inlineStr">
        <is>
          <t>up</t>
        </is>
      </c>
      <c r="F797" t="inlineStr">
        <is>
          <t>Access to MH-DC-001-MON-01</t>
        </is>
      </c>
      <c r="G797" t="inlineStr">
        <is>
          <t>SFP-10G-LR</t>
        </is>
      </c>
    </row>
    <row r="798">
      <c r="A798" t="inlineStr">
        <is>
          <t>MH-DC-001-TOR-004</t>
        </is>
      </c>
      <c r="B798" t="inlineStr">
        <is>
          <t>Te0/0/0/18</t>
        </is>
      </c>
      <c r="C798" t="inlineStr">
        <is>
          <t>10G SFP+</t>
        </is>
      </c>
      <c r="D798" t="n">
        <v>10000</v>
      </c>
      <c r="E798" t="inlineStr">
        <is>
          <t>up</t>
        </is>
      </c>
      <c r="F798" t="inlineStr">
        <is>
          <t>Server NIC</t>
        </is>
      </c>
    </row>
    <row r="799">
      <c r="A799" t="inlineStr">
        <is>
          <t>MH-DC-001-TOR-004</t>
        </is>
      </c>
      <c r="B799" t="inlineStr">
        <is>
          <t>Te0/0/0/19</t>
        </is>
      </c>
      <c r="C799" t="inlineStr">
        <is>
          <t>10G SFP+</t>
        </is>
      </c>
      <c r="D799" t="n">
        <v>10000</v>
      </c>
      <c r="E799" t="inlineStr">
        <is>
          <t>up</t>
        </is>
      </c>
      <c r="F799" t="inlineStr">
        <is>
          <t>Server NIC</t>
        </is>
      </c>
    </row>
    <row r="800">
      <c r="A800" t="inlineStr">
        <is>
          <t>MH-DC-001-TOR-004</t>
        </is>
      </c>
      <c r="B800" t="inlineStr">
        <is>
          <t>Te0/0/0/20</t>
        </is>
      </c>
      <c r="C800" t="inlineStr">
        <is>
          <t>10G SFP+</t>
        </is>
      </c>
      <c r="D800" t="n">
        <v>10000</v>
      </c>
      <c r="E800" t="inlineStr">
        <is>
          <t>up</t>
        </is>
      </c>
      <c r="F800" t="inlineStr">
        <is>
          <t>Server NIC</t>
        </is>
      </c>
    </row>
    <row r="801">
      <c r="A801" t="inlineStr">
        <is>
          <t>MH-DC-001-TOR-004</t>
        </is>
      </c>
      <c r="B801" t="inlineStr">
        <is>
          <t>Te0/0/0/21</t>
        </is>
      </c>
      <c r="C801" t="inlineStr">
        <is>
          <t>10G SFP+</t>
        </is>
      </c>
      <c r="D801" t="n">
        <v>10000</v>
      </c>
      <c r="E801" t="inlineStr">
        <is>
          <t>up</t>
        </is>
      </c>
      <c r="F801" t="inlineStr">
        <is>
          <t>Server NIC</t>
        </is>
      </c>
    </row>
    <row r="802">
      <c r="A802" t="inlineStr">
        <is>
          <t>MH-DC-001-TOR-004</t>
        </is>
      </c>
      <c r="B802" t="inlineStr">
        <is>
          <t>Te0/0/0/22</t>
        </is>
      </c>
      <c r="C802" t="inlineStr">
        <is>
          <t>10G SFP+</t>
        </is>
      </c>
      <c r="D802" t="n">
        <v>10000</v>
      </c>
      <c r="E802" t="inlineStr">
        <is>
          <t>up</t>
        </is>
      </c>
      <c r="F802" t="inlineStr">
        <is>
          <t>Server NIC</t>
        </is>
      </c>
    </row>
    <row r="803">
      <c r="A803" t="inlineStr">
        <is>
          <t>MH-DC-001-TOR-004</t>
        </is>
      </c>
      <c r="B803" t="inlineStr">
        <is>
          <t>Te0/0/0/23</t>
        </is>
      </c>
      <c r="C803" t="inlineStr">
        <is>
          <t>10G SFP+</t>
        </is>
      </c>
      <c r="D803" t="n">
        <v>10000</v>
      </c>
      <c r="E803" t="inlineStr">
        <is>
          <t>up</t>
        </is>
      </c>
      <c r="F803" t="inlineStr">
        <is>
          <t>Access to MH-DC-001-MON-02</t>
        </is>
      </c>
      <c r="G803" t="inlineStr">
        <is>
          <t>SFP-10G-LR</t>
        </is>
      </c>
    </row>
    <row r="804">
      <c r="A804" t="inlineStr">
        <is>
          <t>MH-DC-001-TOR-004</t>
        </is>
      </c>
      <c r="B804" t="inlineStr">
        <is>
          <t>Hu0/0/1/0</t>
        </is>
      </c>
      <c r="C804" t="inlineStr">
        <is>
          <t>100G QSFP28</t>
        </is>
      </c>
      <c r="D804" t="n">
        <v>100000</v>
      </c>
      <c r="E804" t="inlineStr">
        <is>
          <t>admin-down</t>
        </is>
      </c>
    </row>
    <row r="805">
      <c r="A805" t="inlineStr">
        <is>
          <t>MH-DC-001-TOR-004</t>
        </is>
      </c>
      <c r="B805" t="inlineStr">
        <is>
          <t>Hu0/0/1/1</t>
        </is>
      </c>
      <c r="C805" t="inlineStr">
        <is>
          <t>100G QSFP28</t>
        </is>
      </c>
      <c r="D805" t="n">
        <v>100000</v>
      </c>
      <c r="E805" t="inlineStr">
        <is>
          <t>admin-down</t>
        </is>
      </c>
    </row>
    <row r="806">
      <c r="A806" t="inlineStr">
        <is>
          <t>MH-DC-001-TOR-005</t>
        </is>
      </c>
      <c r="B806" t="inlineStr">
        <is>
          <t>xe-0/0/0</t>
        </is>
      </c>
      <c r="C806" t="inlineStr">
        <is>
          <t>10G SFP+</t>
        </is>
      </c>
      <c r="D806" t="n">
        <v>10000</v>
      </c>
      <c r="E806" t="inlineStr">
        <is>
          <t>up</t>
        </is>
      </c>
      <c r="F806" t="inlineStr">
        <is>
          <t>Access to MH-DC-001-MMR-SW-05</t>
        </is>
      </c>
      <c r="G806" t="inlineStr">
        <is>
          <t>SFP-10G-LR</t>
        </is>
      </c>
    </row>
    <row r="807">
      <c r="A807" t="inlineStr">
        <is>
          <t>MH-DC-001-TOR-005</t>
        </is>
      </c>
      <c r="B807" t="inlineStr">
        <is>
          <t>xe-0/0/1</t>
        </is>
      </c>
      <c r="C807" t="inlineStr">
        <is>
          <t>10G SFP+</t>
        </is>
      </c>
      <c r="D807" t="n">
        <v>10000</v>
      </c>
      <c r="E807" t="inlineStr">
        <is>
          <t>up</t>
        </is>
      </c>
      <c r="F807" t="inlineStr">
        <is>
          <t>Access to MH-DC-001-MMR-SW-06</t>
        </is>
      </c>
      <c r="G807" t="inlineStr">
        <is>
          <t>SFP-10G-LR</t>
        </is>
      </c>
    </row>
    <row r="808">
      <c r="A808" t="inlineStr">
        <is>
          <t>MH-DC-001-TOR-005</t>
        </is>
      </c>
      <c r="B808" t="inlineStr">
        <is>
          <t>xe-0/0/2</t>
        </is>
      </c>
      <c r="C808" t="inlineStr">
        <is>
          <t>10G SFP+</t>
        </is>
      </c>
      <c r="D808" t="n">
        <v>10000</v>
      </c>
      <c r="E808" t="inlineStr">
        <is>
          <t>reserved</t>
        </is>
      </c>
    </row>
    <row r="809">
      <c r="A809" t="inlineStr">
        <is>
          <t>MH-DC-001-TOR-005</t>
        </is>
      </c>
      <c r="B809" t="inlineStr">
        <is>
          <t>xe-0/0/3</t>
        </is>
      </c>
      <c r="C809" t="inlineStr">
        <is>
          <t>10G SFP+</t>
        </is>
      </c>
      <c r="D809" t="n">
        <v>10000</v>
      </c>
      <c r="E809" t="inlineStr">
        <is>
          <t>admin-down</t>
        </is>
      </c>
    </row>
    <row r="810">
      <c r="A810" t="inlineStr">
        <is>
          <t>MH-DC-001-TOR-005</t>
        </is>
      </c>
      <c r="B810" t="inlineStr">
        <is>
          <t>xe-0/0/4</t>
        </is>
      </c>
      <c r="C810" t="inlineStr">
        <is>
          <t>10G SFP+</t>
        </is>
      </c>
      <c r="D810" t="n">
        <v>10000</v>
      </c>
      <c r="E810" t="inlineStr">
        <is>
          <t>up</t>
        </is>
      </c>
      <c r="F810" t="inlineStr">
        <is>
          <t>Server NIC</t>
        </is>
      </c>
    </row>
    <row r="811">
      <c r="A811" t="inlineStr">
        <is>
          <t>MH-DC-001-TOR-005</t>
        </is>
      </c>
      <c r="B811" t="inlineStr">
        <is>
          <t>xe-0/0/5</t>
        </is>
      </c>
      <c r="C811" t="inlineStr">
        <is>
          <t>10G SFP+</t>
        </is>
      </c>
      <c r="D811" t="n">
        <v>10000</v>
      </c>
      <c r="E811" t="inlineStr">
        <is>
          <t>admin-down</t>
        </is>
      </c>
    </row>
    <row r="812">
      <c r="A812" t="inlineStr">
        <is>
          <t>MH-DC-001-TOR-005</t>
        </is>
      </c>
      <c r="B812" t="inlineStr">
        <is>
          <t>xe-0/0/6</t>
        </is>
      </c>
      <c r="C812" t="inlineStr">
        <is>
          <t>10G SFP+</t>
        </is>
      </c>
      <c r="D812" t="n">
        <v>10000</v>
      </c>
      <c r="E812" t="inlineStr">
        <is>
          <t>admin-down</t>
        </is>
      </c>
    </row>
    <row r="813">
      <c r="A813" t="inlineStr">
        <is>
          <t>MH-DC-001-TOR-005</t>
        </is>
      </c>
      <c r="B813" t="inlineStr">
        <is>
          <t>xe-0/0/7</t>
        </is>
      </c>
      <c r="C813" t="inlineStr">
        <is>
          <t>10G SFP+</t>
        </is>
      </c>
      <c r="D813" t="n">
        <v>10000</v>
      </c>
      <c r="E813" t="inlineStr">
        <is>
          <t>up</t>
        </is>
      </c>
      <c r="F813" t="inlineStr">
        <is>
          <t>Server NIC</t>
        </is>
      </c>
    </row>
    <row r="814">
      <c r="A814" t="inlineStr">
        <is>
          <t>MH-DC-001-TOR-005</t>
        </is>
      </c>
      <c r="B814" t="inlineStr">
        <is>
          <t>xe-0/0/8</t>
        </is>
      </c>
      <c r="C814" t="inlineStr">
        <is>
          <t>10G SFP+</t>
        </is>
      </c>
      <c r="D814" t="n">
        <v>10000</v>
      </c>
      <c r="E814" t="inlineStr">
        <is>
          <t>up</t>
        </is>
      </c>
      <c r="F814" t="inlineStr">
        <is>
          <t>Server NIC</t>
        </is>
      </c>
    </row>
    <row r="815">
      <c r="A815" t="inlineStr">
        <is>
          <t>MH-DC-001-TOR-005</t>
        </is>
      </c>
      <c r="B815" t="inlineStr">
        <is>
          <t>xe-0/0/9</t>
        </is>
      </c>
      <c r="C815" t="inlineStr">
        <is>
          <t>10G SFP+</t>
        </is>
      </c>
      <c r="D815" t="n">
        <v>10000</v>
      </c>
      <c r="E815" t="inlineStr">
        <is>
          <t>up</t>
        </is>
      </c>
      <c r="F815" t="inlineStr">
        <is>
          <t>Server NIC</t>
        </is>
      </c>
    </row>
    <row r="816">
      <c r="A816" t="inlineStr">
        <is>
          <t>MH-DC-001-TOR-005</t>
        </is>
      </c>
      <c r="B816" t="inlineStr">
        <is>
          <t>xe-0/0/10</t>
        </is>
      </c>
      <c r="C816" t="inlineStr">
        <is>
          <t>10G SFP+</t>
        </is>
      </c>
      <c r="D816" t="n">
        <v>10000</v>
      </c>
      <c r="E816" t="inlineStr">
        <is>
          <t>admin-down</t>
        </is>
      </c>
    </row>
    <row r="817">
      <c r="A817" t="inlineStr">
        <is>
          <t>MH-DC-001-TOR-005</t>
        </is>
      </c>
      <c r="B817" t="inlineStr">
        <is>
          <t>xe-0/0/11</t>
        </is>
      </c>
      <c r="C817" t="inlineStr">
        <is>
          <t>10G SFP+</t>
        </is>
      </c>
      <c r="D817" t="n">
        <v>10000</v>
      </c>
      <c r="E817" t="inlineStr">
        <is>
          <t>up</t>
        </is>
      </c>
      <c r="F817" t="inlineStr">
        <is>
          <t>Server NIC</t>
        </is>
      </c>
    </row>
    <row r="818">
      <c r="A818" t="inlineStr">
        <is>
          <t>MH-DC-001-TOR-005</t>
        </is>
      </c>
      <c r="B818" t="inlineStr">
        <is>
          <t>xe-0/0/12</t>
        </is>
      </c>
      <c r="C818" t="inlineStr">
        <is>
          <t>10G SFP+</t>
        </is>
      </c>
      <c r="D818" t="n">
        <v>10000</v>
      </c>
      <c r="E818" t="inlineStr">
        <is>
          <t>admin-down</t>
        </is>
      </c>
    </row>
    <row r="819">
      <c r="A819" t="inlineStr">
        <is>
          <t>MH-DC-001-TOR-005</t>
        </is>
      </c>
      <c r="B819" t="inlineStr">
        <is>
          <t>xe-0/0/13</t>
        </is>
      </c>
      <c r="C819" t="inlineStr">
        <is>
          <t>10G SFP+</t>
        </is>
      </c>
      <c r="D819" t="n">
        <v>10000</v>
      </c>
      <c r="E819" t="inlineStr">
        <is>
          <t>up</t>
        </is>
      </c>
      <c r="F819" t="inlineStr">
        <is>
          <t>Server NIC</t>
        </is>
      </c>
    </row>
    <row r="820">
      <c r="A820" t="inlineStr">
        <is>
          <t>MH-DC-001-TOR-005</t>
        </is>
      </c>
      <c r="B820" t="inlineStr">
        <is>
          <t>xe-0/0/14</t>
        </is>
      </c>
      <c r="C820" t="inlineStr">
        <is>
          <t>10G SFP+</t>
        </is>
      </c>
      <c r="D820" t="n">
        <v>10000</v>
      </c>
      <c r="E820" t="inlineStr">
        <is>
          <t>admin-down</t>
        </is>
      </c>
    </row>
    <row r="821">
      <c r="A821" t="inlineStr">
        <is>
          <t>MH-DC-001-TOR-005</t>
        </is>
      </c>
      <c r="B821" t="inlineStr">
        <is>
          <t>xe-0/0/15</t>
        </is>
      </c>
      <c r="C821" t="inlineStr">
        <is>
          <t>10G SFP+</t>
        </is>
      </c>
      <c r="D821" t="n">
        <v>10000</v>
      </c>
      <c r="E821" t="inlineStr">
        <is>
          <t>up</t>
        </is>
      </c>
      <c r="F821" t="inlineStr">
        <is>
          <t>Server NIC</t>
        </is>
      </c>
    </row>
    <row r="822">
      <c r="A822" t="inlineStr">
        <is>
          <t>MH-DC-001-TOR-005</t>
        </is>
      </c>
      <c r="B822" t="inlineStr">
        <is>
          <t>xe-0/0/16</t>
        </is>
      </c>
      <c r="C822" t="inlineStr">
        <is>
          <t>10G SFP+</t>
        </is>
      </c>
      <c r="D822" t="n">
        <v>10000</v>
      </c>
      <c r="E822" t="inlineStr">
        <is>
          <t>admin-down</t>
        </is>
      </c>
    </row>
    <row r="823">
      <c r="A823" t="inlineStr">
        <is>
          <t>MH-DC-001-TOR-005</t>
        </is>
      </c>
      <c r="B823" t="inlineStr">
        <is>
          <t>xe-0/0/17</t>
        </is>
      </c>
      <c r="C823" t="inlineStr">
        <is>
          <t>10G SFP+</t>
        </is>
      </c>
      <c r="D823" t="n">
        <v>10000</v>
      </c>
      <c r="E823" t="inlineStr">
        <is>
          <t>up</t>
        </is>
      </c>
      <c r="F823" t="inlineStr">
        <is>
          <t>Server NIC</t>
        </is>
      </c>
    </row>
    <row r="824">
      <c r="A824" t="inlineStr">
        <is>
          <t>MH-DC-001-TOR-005</t>
        </is>
      </c>
      <c r="B824" t="inlineStr">
        <is>
          <t>xe-0/0/18</t>
        </is>
      </c>
      <c r="C824" t="inlineStr">
        <is>
          <t>10G SFP+</t>
        </is>
      </c>
      <c r="D824" t="n">
        <v>10000</v>
      </c>
      <c r="E824" t="inlineStr">
        <is>
          <t>up</t>
        </is>
      </c>
      <c r="F824" t="inlineStr">
        <is>
          <t>Server NIC</t>
        </is>
      </c>
    </row>
    <row r="825">
      <c r="A825" t="inlineStr">
        <is>
          <t>MH-DC-001-TOR-005</t>
        </is>
      </c>
      <c r="B825" t="inlineStr">
        <is>
          <t>xe-0/0/19</t>
        </is>
      </c>
      <c r="C825" t="inlineStr">
        <is>
          <t>10G SFP+</t>
        </is>
      </c>
      <c r="D825" t="n">
        <v>10000</v>
      </c>
      <c r="E825" t="inlineStr">
        <is>
          <t>up</t>
        </is>
      </c>
      <c r="F825" t="inlineStr">
        <is>
          <t>Server NIC</t>
        </is>
      </c>
    </row>
    <row r="826">
      <c r="A826" t="inlineStr">
        <is>
          <t>MH-DC-001-TOR-005</t>
        </is>
      </c>
      <c r="B826" t="inlineStr">
        <is>
          <t>xe-0/0/20</t>
        </is>
      </c>
      <c r="C826" t="inlineStr">
        <is>
          <t>10G SFP+</t>
        </is>
      </c>
      <c r="D826" t="n">
        <v>10000</v>
      </c>
      <c r="E826" t="inlineStr">
        <is>
          <t>reserved</t>
        </is>
      </c>
    </row>
    <row r="827">
      <c r="A827" t="inlineStr">
        <is>
          <t>MH-DC-001-TOR-005</t>
        </is>
      </c>
      <c r="B827" t="inlineStr">
        <is>
          <t>xe-0/0/21</t>
        </is>
      </c>
      <c r="C827" t="inlineStr">
        <is>
          <t>10G SFP+</t>
        </is>
      </c>
      <c r="D827" t="n">
        <v>10000</v>
      </c>
      <c r="E827" t="inlineStr">
        <is>
          <t>up</t>
        </is>
      </c>
      <c r="F827" t="inlineStr">
        <is>
          <t>Server NIC</t>
        </is>
      </c>
    </row>
    <row r="828">
      <c r="A828" t="inlineStr">
        <is>
          <t>MH-DC-001-TOR-005</t>
        </is>
      </c>
      <c r="B828" t="inlineStr">
        <is>
          <t>xe-0/0/22</t>
        </is>
      </c>
      <c r="C828" t="inlineStr">
        <is>
          <t>10G SFP+</t>
        </is>
      </c>
      <c r="D828" t="n">
        <v>10000</v>
      </c>
      <c r="E828" t="inlineStr">
        <is>
          <t>admin-down</t>
        </is>
      </c>
    </row>
    <row r="829">
      <c r="A829" t="inlineStr">
        <is>
          <t>MH-DC-001-TOR-005</t>
        </is>
      </c>
      <c r="B829" t="inlineStr">
        <is>
          <t>xe-0/0/23</t>
        </is>
      </c>
      <c r="C829" t="inlineStr">
        <is>
          <t>10G SFP+</t>
        </is>
      </c>
      <c r="D829" t="n">
        <v>10000</v>
      </c>
      <c r="E829" t="inlineStr">
        <is>
          <t>up</t>
        </is>
      </c>
      <c r="F829" t="inlineStr">
        <is>
          <t>Server NIC</t>
        </is>
      </c>
    </row>
    <row r="830">
      <c r="A830" t="inlineStr">
        <is>
          <t>MH-DC-001-TOR-005</t>
        </is>
      </c>
      <c r="B830" t="inlineStr">
        <is>
          <t>et-0/1/0</t>
        </is>
      </c>
      <c r="C830" t="inlineStr">
        <is>
          <t>100G QSFP28</t>
        </is>
      </c>
      <c r="D830" t="n">
        <v>100000</v>
      </c>
      <c r="E830" t="inlineStr">
        <is>
          <t>admin-down</t>
        </is>
      </c>
    </row>
    <row r="831">
      <c r="A831" t="inlineStr">
        <is>
          <t>MH-DC-001-TOR-005</t>
        </is>
      </c>
      <c r="B831" t="inlineStr">
        <is>
          <t>et-0/1/1</t>
        </is>
      </c>
      <c r="C831" t="inlineStr">
        <is>
          <t>100G QSFP28</t>
        </is>
      </c>
      <c r="D831" t="n">
        <v>100000</v>
      </c>
      <c r="E831" t="inlineStr">
        <is>
          <t>admin-down</t>
        </is>
      </c>
    </row>
    <row r="832">
      <c r="A832" t="inlineStr">
        <is>
          <t>MH-DC-001-TOR-006</t>
        </is>
      </c>
      <c r="B832" t="inlineStr">
        <is>
          <t>Ethernet1</t>
        </is>
      </c>
      <c r="C832" t="inlineStr">
        <is>
          <t>10G SFP+</t>
        </is>
      </c>
      <c r="D832" t="n">
        <v>10000</v>
      </c>
      <c r="E832" t="inlineStr">
        <is>
          <t>up</t>
        </is>
      </c>
      <c r="F832" t="inlineStr">
        <is>
          <t>Access to MH-DC-001-MMR-SW-06</t>
        </is>
      </c>
      <c r="G832" t="inlineStr">
        <is>
          <t>SFP-10G-LR</t>
        </is>
      </c>
    </row>
    <row r="833">
      <c r="A833" t="inlineStr">
        <is>
          <t>MH-DC-001-TOR-006</t>
        </is>
      </c>
      <c r="B833" t="inlineStr">
        <is>
          <t>Ethernet2</t>
        </is>
      </c>
      <c r="C833" t="inlineStr">
        <is>
          <t>10G SFP+</t>
        </is>
      </c>
      <c r="D833" t="n">
        <v>10000</v>
      </c>
      <c r="E833" t="inlineStr">
        <is>
          <t>up</t>
        </is>
      </c>
      <c r="F833" t="inlineStr">
        <is>
          <t>Access to MH-DC-001-MMR-SW-07</t>
        </is>
      </c>
      <c r="G833" t="inlineStr">
        <is>
          <t>SFP-10G-LR</t>
        </is>
      </c>
    </row>
    <row r="834">
      <c r="A834" t="inlineStr">
        <is>
          <t>MH-DC-001-TOR-006</t>
        </is>
      </c>
      <c r="B834" t="inlineStr">
        <is>
          <t>Ethernet3</t>
        </is>
      </c>
      <c r="C834" t="inlineStr">
        <is>
          <t>10G SFP+</t>
        </is>
      </c>
      <c r="D834" t="n">
        <v>10000</v>
      </c>
      <c r="E834" t="inlineStr">
        <is>
          <t>admin-down</t>
        </is>
      </c>
    </row>
    <row r="835">
      <c r="A835" t="inlineStr">
        <is>
          <t>MH-DC-001-TOR-006</t>
        </is>
      </c>
      <c r="B835" t="inlineStr">
        <is>
          <t>Ethernet4</t>
        </is>
      </c>
      <c r="C835" t="inlineStr">
        <is>
          <t>10G SFP+</t>
        </is>
      </c>
      <c r="D835" t="n">
        <v>10000</v>
      </c>
      <c r="E835" t="inlineStr">
        <is>
          <t>up</t>
        </is>
      </c>
      <c r="F835" t="inlineStr">
        <is>
          <t>Server NIC</t>
        </is>
      </c>
    </row>
    <row r="836">
      <c r="A836" t="inlineStr">
        <is>
          <t>MH-DC-001-TOR-006</t>
        </is>
      </c>
      <c r="B836" t="inlineStr">
        <is>
          <t>Ethernet5</t>
        </is>
      </c>
      <c r="C836" t="inlineStr">
        <is>
          <t>10G SFP+</t>
        </is>
      </c>
      <c r="D836" t="n">
        <v>10000</v>
      </c>
      <c r="E836" t="inlineStr">
        <is>
          <t>admin-down</t>
        </is>
      </c>
    </row>
    <row r="837">
      <c r="A837" t="inlineStr">
        <is>
          <t>MH-DC-001-TOR-006</t>
        </is>
      </c>
      <c r="B837" t="inlineStr">
        <is>
          <t>Ethernet6</t>
        </is>
      </c>
      <c r="C837" t="inlineStr">
        <is>
          <t>10G SFP+</t>
        </is>
      </c>
      <c r="D837" t="n">
        <v>10000</v>
      </c>
      <c r="E837" t="inlineStr">
        <is>
          <t>up</t>
        </is>
      </c>
      <c r="F837" t="inlineStr">
        <is>
          <t>Server NIC</t>
        </is>
      </c>
    </row>
    <row r="838">
      <c r="A838" t="inlineStr">
        <is>
          <t>MH-DC-001-TOR-006</t>
        </is>
      </c>
      <c r="B838" t="inlineStr">
        <is>
          <t>Ethernet7</t>
        </is>
      </c>
      <c r="C838" t="inlineStr">
        <is>
          <t>10G SFP+</t>
        </is>
      </c>
      <c r="D838" t="n">
        <v>10000</v>
      </c>
      <c r="E838" t="inlineStr">
        <is>
          <t>admin-down</t>
        </is>
      </c>
    </row>
    <row r="839">
      <c r="A839" t="inlineStr">
        <is>
          <t>MH-DC-001-TOR-006</t>
        </is>
      </c>
      <c r="B839" t="inlineStr">
        <is>
          <t>Ethernet8</t>
        </is>
      </c>
      <c r="C839" t="inlineStr">
        <is>
          <t>10G SFP+</t>
        </is>
      </c>
      <c r="D839" t="n">
        <v>10000</v>
      </c>
      <c r="E839" t="inlineStr">
        <is>
          <t>admin-down</t>
        </is>
      </c>
    </row>
    <row r="840">
      <c r="A840" t="inlineStr">
        <is>
          <t>MH-DC-001-TOR-006</t>
        </is>
      </c>
      <c r="B840" t="inlineStr">
        <is>
          <t>Ethernet9</t>
        </is>
      </c>
      <c r="C840" t="inlineStr">
        <is>
          <t>10G SFP+</t>
        </is>
      </c>
      <c r="D840" t="n">
        <v>10000</v>
      </c>
      <c r="E840" t="inlineStr">
        <is>
          <t>up</t>
        </is>
      </c>
      <c r="F840" t="inlineStr">
        <is>
          <t>Server NIC</t>
        </is>
      </c>
    </row>
    <row r="841">
      <c r="A841" t="inlineStr">
        <is>
          <t>MH-DC-001-TOR-006</t>
        </is>
      </c>
      <c r="B841" t="inlineStr">
        <is>
          <t>Ethernet10</t>
        </is>
      </c>
      <c r="C841" t="inlineStr">
        <is>
          <t>10G SFP+</t>
        </is>
      </c>
      <c r="D841" t="n">
        <v>10000</v>
      </c>
      <c r="E841" t="inlineStr">
        <is>
          <t>admin-down</t>
        </is>
      </c>
    </row>
    <row r="842">
      <c r="A842" t="inlineStr">
        <is>
          <t>MH-DC-001-TOR-006</t>
        </is>
      </c>
      <c r="B842" t="inlineStr">
        <is>
          <t>Ethernet11</t>
        </is>
      </c>
      <c r="C842" t="inlineStr">
        <is>
          <t>10G SFP+</t>
        </is>
      </c>
      <c r="D842" t="n">
        <v>10000</v>
      </c>
      <c r="E842" t="inlineStr">
        <is>
          <t>up</t>
        </is>
      </c>
      <c r="F842" t="inlineStr">
        <is>
          <t>Server NIC</t>
        </is>
      </c>
    </row>
    <row r="843">
      <c r="A843" t="inlineStr">
        <is>
          <t>MH-DC-001-TOR-006</t>
        </is>
      </c>
      <c r="B843" t="inlineStr">
        <is>
          <t>Ethernet12</t>
        </is>
      </c>
      <c r="C843" t="inlineStr">
        <is>
          <t>10G SFP+</t>
        </is>
      </c>
      <c r="D843" t="n">
        <v>10000</v>
      </c>
      <c r="E843" t="inlineStr">
        <is>
          <t>admin-down</t>
        </is>
      </c>
    </row>
    <row r="844">
      <c r="A844" t="inlineStr">
        <is>
          <t>MH-DC-001-TOR-006</t>
        </is>
      </c>
      <c r="B844" t="inlineStr">
        <is>
          <t>Ethernet13</t>
        </is>
      </c>
      <c r="C844" t="inlineStr">
        <is>
          <t>10G SFP+</t>
        </is>
      </c>
      <c r="D844" t="n">
        <v>10000</v>
      </c>
      <c r="E844" t="inlineStr">
        <is>
          <t>up</t>
        </is>
      </c>
      <c r="F844" t="inlineStr">
        <is>
          <t>Server NIC</t>
        </is>
      </c>
    </row>
    <row r="845">
      <c r="A845" t="inlineStr">
        <is>
          <t>MH-DC-001-TOR-006</t>
        </is>
      </c>
      <c r="B845" t="inlineStr">
        <is>
          <t>Ethernet14</t>
        </is>
      </c>
      <c r="C845" t="inlineStr">
        <is>
          <t>10G SFP+</t>
        </is>
      </c>
      <c r="D845" t="n">
        <v>10000</v>
      </c>
      <c r="E845" t="inlineStr">
        <is>
          <t>up</t>
        </is>
      </c>
      <c r="F845" t="inlineStr">
        <is>
          <t>Server NIC</t>
        </is>
      </c>
    </row>
    <row r="846">
      <c r="A846" t="inlineStr">
        <is>
          <t>MH-DC-001-TOR-006</t>
        </is>
      </c>
      <c r="B846" t="inlineStr">
        <is>
          <t>Ethernet15</t>
        </is>
      </c>
      <c r="C846" t="inlineStr">
        <is>
          <t>10G SFP+</t>
        </is>
      </c>
      <c r="D846" t="n">
        <v>10000</v>
      </c>
      <c r="E846" t="inlineStr">
        <is>
          <t>up</t>
        </is>
      </c>
      <c r="F846" t="inlineStr">
        <is>
          <t>Server NIC</t>
        </is>
      </c>
    </row>
    <row r="847">
      <c r="A847" t="inlineStr">
        <is>
          <t>MH-DC-001-TOR-006</t>
        </is>
      </c>
      <c r="B847" t="inlineStr">
        <is>
          <t>Ethernet16</t>
        </is>
      </c>
      <c r="C847" t="inlineStr">
        <is>
          <t>10G SFP+</t>
        </is>
      </c>
      <c r="D847" t="n">
        <v>10000</v>
      </c>
      <c r="E847" t="inlineStr">
        <is>
          <t>up</t>
        </is>
      </c>
      <c r="F847" t="inlineStr">
        <is>
          <t>Server NIC</t>
        </is>
      </c>
    </row>
    <row r="848">
      <c r="A848" t="inlineStr">
        <is>
          <t>MH-DC-001-TOR-006</t>
        </is>
      </c>
      <c r="B848" t="inlineStr">
        <is>
          <t>Ethernet17</t>
        </is>
      </c>
      <c r="C848" t="inlineStr">
        <is>
          <t>10G SFP+</t>
        </is>
      </c>
      <c r="D848" t="n">
        <v>10000</v>
      </c>
      <c r="E848" t="inlineStr">
        <is>
          <t>up</t>
        </is>
      </c>
      <c r="F848" t="inlineStr">
        <is>
          <t>Server NIC</t>
        </is>
      </c>
    </row>
    <row r="849">
      <c r="A849" t="inlineStr">
        <is>
          <t>MH-DC-001-TOR-006</t>
        </is>
      </c>
      <c r="B849" t="inlineStr">
        <is>
          <t>Ethernet18</t>
        </is>
      </c>
      <c r="C849" t="inlineStr">
        <is>
          <t>10G SFP+</t>
        </is>
      </c>
      <c r="D849" t="n">
        <v>10000</v>
      </c>
      <c r="E849" t="inlineStr">
        <is>
          <t>up</t>
        </is>
      </c>
      <c r="F849" t="inlineStr">
        <is>
          <t>Server NIC</t>
        </is>
      </c>
    </row>
    <row r="850">
      <c r="A850" t="inlineStr">
        <is>
          <t>MH-DC-001-TOR-006</t>
        </is>
      </c>
      <c r="B850" t="inlineStr">
        <is>
          <t>Ethernet19</t>
        </is>
      </c>
      <c r="C850" t="inlineStr">
        <is>
          <t>10G SFP+</t>
        </is>
      </c>
      <c r="D850" t="n">
        <v>10000</v>
      </c>
      <c r="E850" t="inlineStr">
        <is>
          <t>admin-down</t>
        </is>
      </c>
    </row>
    <row r="851">
      <c r="A851" t="inlineStr">
        <is>
          <t>MH-DC-001-TOR-006</t>
        </is>
      </c>
      <c r="B851" t="inlineStr">
        <is>
          <t>Ethernet20</t>
        </is>
      </c>
      <c r="C851" t="inlineStr">
        <is>
          <t>10G SFP+</t>
        </is>
      </c>
      <c r="D851" t="n">
        <v>10000</v>
      </c>
      <c r="E851" t="inlineStr">
        <is>
          <t>up</t>
        </is>
      </c>
      <c r="F851" t="inlineStr">
        <is>
          <t>Server NIC</t>
        </is>
      </c>
    </row>
    <row r="852">
      <c r="A852" t="inlineStr">
        <is>
          <t>MH-DC-001-TOR-006</t>
        </is>
      </c>
      <c r="B852" t="inlineStr">
        <is>
          <t>Ethernet21</t>
        </is>
      </c>
      <c r="C852" t="inlineStr">
        <is>
          <t>10G SFP+</t>
        </is>
      </c>
      <c r="D852" t="n">
        <v>10000</v>
      </c>
      <c r="E852" t="inlineStr">
        <is>
          <t>up</t>
        </is>
      </c>
      <c r="F852" t="inlineStr">
        <is>
          <t>Server NIC</t>
        </is>
      </c>
    </row>
    <row r="853">
      <c r="A853" t="inlineStr">
        <is>
          <t>MH-DC-001-TOR-006</t>
        </is>
      </c>
      <c r="B853" t="inlineStr">
        <is>
          <t>Ethernet22</t>
        </is>
      </c>
      <c r="C853" t="inlineStr">
        <is>
          <t>10G SFP+</t>
        </is>
      </c>
      <c r="D853" t="n">
        <v>10000</v>
      </c>
      <c r="E853" t="inlineStr">
        <is>
          <t>up</t>
        </is>
      </c>
      <c r="F853" t="inlineStr">
        <is>
          <t>Server NIC</t>
        </is>
      </c>
    </row>
    <row r="854">
      <c r="A854" t="inlineStr">
        <is>
          <t>MH-DC-001-TOR-006</t>
        </is>
      </c>
      <c r="B854" t="inlineStr">
        <is>
          <t>Ethernet23</t>
        </is>
      </c>
      <c r="C854" t="inlineStr">
        <is>
          <t>10G SFP+</t>
        </is>
      </c>
      <c r="D854" t="n">
        <v>10000</v>
      </c>
      <c r="E854" t="inlineStr">
        <is>
          <t>up</t>
        </is>
      </c>
      <c r="F854" t="inlineStr">
        <is>
          <t>Server NIC</t>
        </is>
      </c>
    </row>
    <row r="855">
      <c r="A855" t="inlineStr">
        <is>
          <t>MH-DC-001-TOR-006</t>
        </is>
      </c>
      <c r="B855" t="inlineStr">
        <is>
          <t>Ethernet24</t>
        </is>
      </c>
      <c r="C855" t="inlineStr">
        <is>
          <t>10G SFP+</t>
        </is>
      </c>
      <c r="D855" t="n">
        <v>10000</v>
      </c>
      <c r="E855" t="inlineStr">
        <is>
          <t>admin-down</t>
        </is>
      </c>
    </row>
    <row r="856">
      <c r="A856" t="inlineStr">
        <is>
          <t>MH-DC-001-TOR-006</t>
        </is>
      </c>
      <c r="B856" t="inlineStr">
        <is>
          <t>Ethernet49/1</t>
        </is>
      </c>
      <c r="C856" t="inlineStr">
        <is>
          <t>100G QSFP28</t>
        </is>
      </c>
      <c r="D856" t="n">
        <v>100000</v>
      </c>
      <c r="E856" t="inlineStr">
        <is>
          <t>admin-down</t>
        </is>
      </c>
    </row>
    <row r="857">
      <c r="A857" t="inlineStr">
        <is>
          <t>MH-DC-001-TOR-006</t>
        </is>
      </c>
      <c r="B857" t="inlineStr">
        <is>
          <t>Ethernet49/2</t>
        </is>
      </c>
      <c r="C857" t="inlineStr">
        <is>
          <t>100G QSFP28</t>
        </is>
      </c>
      <c r="D857" t="n">
        <v>100000</v>
      </c>
      <c r="E857" t="inlineStr">
        <is>
          <t>admin-down</t>
        </is>
      </c>
    </row>
    <row r="858">
      <c r="A858" t="inlineStr">
        <is>
          <t>MH-DC-001-BMS-01</t>
        </is>
      </c>
      <c r="B858" t="inlineStr">
        <is>
          <t>eth0</t>
        </is>
      </c>
      <c r="C858" t="inlineStr">
        <is>
          <t>10G SFP+</t>
        </is>
      </c>
      <c r="D858" t="n">
        <v>10000</v>
      </c>
      <c r="E858" t="inlineStr">
        <is>
          <t>up</t>
        </is>
      </c>
      <c r="F858" t="inlineStr">
        <is>
          <t>Access to MH-DC-001-TOR-001</t>
        </is>
      </c>
      <c r="G858" t="inlineStr">
        <is>
          <t>SFP-10G-LR</t>
        </is>
      </c>
    </row>
    <row r="859">
      <c r="A859" t="inlineStr">
        <is>
          <t>MH-DC-001-BMS-01</t>
        </is>
      </c>
      <c r="B859" t="inlineStr">
        <is>
          <t>eth1</t>
        </is>
      </c>
      <c r="C859" t="inlineStr">
        <is>
          <t>10G SFP+</t>
        </is>
      </c>
      <c r="D859" t="n">
        <v>10000</v>
      </c>
      <c r="E859" t="inlineStr">
        <is>
          <t>up</t>
        </is>
      </c>
      <c r="F859" t="inlineStr">
        <is>
          <t>Access to MH-DC-001-TOR-002</t>
        </is>
      </c>
      <c r="G859" t="inlineStr">
        <is>
          <t>SFP-10G-LR</t>
        </is>
      </c>
    </row>
    <row r="860">
      <c r="A860" t="inlineStr">
        <is>
          <t>MH-DC-001-BMS-02</t>
        </is>
      </c>
      <c r="B860" t="inlineStr">
        <is>
          <t>eth0</t>
        </is>
      </c>
      <c r="C860" t="inlineStr">
        <is>
          <t>10G SFP+</t>
        </is>
      </c>
      <c r="D860" t="n">
        <v>10000</v>
      </c>
      <c r="E860" t="inlineStr">
        <is>
          <t>up</t>
        </is>
      </c>
      <c r="F860" t="inlineStr">
        <is>
          <t>Access to MH-DC-001-TOR-001</t>
        </is>
      </c>
      <c r="G860" t="inlineStr">
        <is>
          <t>SFP-10G-LR</t>
        </is>
      </c>
    </row>
    <row r="861">
      <c r="A861" t="inlineStr">
        <is>
          <t>MH-DC-001-BMS-02</t>
        </is>
      </c>
      <c r="B861" t="inlineStr">
        <is>
          <t>eth1</t>
        </is>
      </c>
      <c r="C861" t="inlineStr">
        <is>
          <t>10G SFP+</t>
        </is>
      </c>
      <c r="D861" t="n">
        <v>10000</v>
      </c>
      <c r="E861" t="inlineStr">
        <is>
          <t>up</t>
        </is>
      </c>
      <c r="F861" t="inlineStr">
        <is>
          <t>Access to MH-DC-001-TOR-002</t>
        </is>
      </c>
      <c r="G861" t="inlineStr">
        <is>
          <t>SFP-10G-LR</t>
        </is>
      </c>
    </row>
    <row r="862">
      <c r="A862" t="inlineStr">
        <is>
          <t>MH-DC-001-ACS-01</t>
        </is>
      </c>
      <c r="B862" t="inlineStr">
        <is>
          <t>eth0</t>
        </is>
      </c>
      <c r="C862" t="inlineStr">
        <is>
          <t>10G SFP+</t>
        </is>
      </c>
      <c r="D862" t="n">
        <v>10000</v>
      </c>
      <c r="E862" t="inlineStr">
        <is>
          <t>up</t>
        </is>
      </c>
      <c r="F862" t="inlineStr">
        <is>
          <t>Access to MH-DC-001-TOR-001</t>
        </is>
      </c>
      <c r="G862" t="inlineStr">
        <is>
          <t>SFP-10G-LR</t>
        </is>
      </c>
    </row>
    <row r="863">
      <c r="A863" t="inlineStr">
        <is>
          <t>MH-DC-001-ACS-01</t>
        </is>
      </c>
      <c r="B863" t="inlineStr">
        <is>
          <t>eth1</t>
        </is>
      </c>
      <c r="C863" t="inlineStr">
        <is>
          <t>10G SFP+</t>
        </is>
      </c>
      <c r="D863" t="n">
        <v>10000</v>
      </c>
      <c r="E863" t="inlineStr">
        <is>
          <t>up</t>
        </is>
      </c>
      <c r="F863" t="inlineStr">
        <is>
          <t>Access to MH-DC-001-TOR-002</t>
        </is>
      </c>
      <c r="G863" t="inlineStr">
        <is>
          <t>SFP-10G-LR</t>
        </is>
      </c>
    </row>
    <row r="864">
      <c r="A864" t="inlineStr">
        <is>
          <t>MH-DC-001-NVR-01</t>
        </is>
      </c>
      <c r="B864" t="inlineStr">
        <is>
          <t>eth0</t>
        </is>
      </c>
      <c r="C864" t="inlineStr">
        <is>
          <t>10G SFP+</t>
        </is>
      </c>
      <c r="D864" t="n">
        <v>10000</v>
      </c>
      <c r="E864" t="inlineStr">
        <is>
          <t>up</t>
        </is>
      </c>
      <c r="F864" t="inlineStr">
        <is>
          <t>Access to MH-DC-001-TOR-001</t>
        </is>
      </c>
      <c r="G864" t="inlineStr">
        <is>
          <t>SFP-10G-LR</t>
        </is>
      </c>
    </row>
    <row r="865">
      <c r="A865" t="inlineStr">
        <is>
          <t>MH-DC-001-NVR-01</t>
        </is>
      </c>
      <c r="B865" t="inlineStr">
        <is>
          <t>eth1</t>
        </is>
      </c>
      <c r="C865" t="inlineStr">
        <is>
          <t>10G SFP+</t>
        </is>
      </c>
      <c r="D865" t="n">
        <v>10000</v>
      </c>
      <c r="E865" t="inlineStr">
        <is>
          <t>up</t>
        </is>
      </c>
      <c r="F865" t="inlineStr">
        <is>
          <t>Access to MH-DC-001-TOR-002</t>
        </is>
      </c>
      <c r="G865" t="inlineStr">
        <is>
          <t>SFP-10G-LR</t>
        </is>
      </c>
    </row>
    <row r="866">
      <c r="A866" t="inlineStr">
        <is>
          <t>MH-DC-001-NVR-02</t>
        </is>
      </c>
      <c r="B866" t="inlineStr">
        <is>
          <t>eth0</t>
        </is>
      </c>
      <c r="C866" t="inlineStr">
        <is>
          <t>10G SFP+</t>
        </is>
      </c>
      <c r="D866" t="n">
        <v>10000</v>
      </c>
      <c r="E866" t="inlineStr">
        <is>
          <t>up</t>
        </is>
      </c>
      <c r="F866" t="inlineStr">
        <is>
          <t>Access to MH-DC-001-TOR-001</t>
        </is>
      </c>
      <c r="G866" t="inlineStr">
        <is>
          <t>SFP-10G-LR</t>
        </is>
      </c>
    </row>
    <row r="867">
      <c r="A867" t="inlineStr">
        <is>
          <t>MH-DC-001-NVR-02</t>
        </is>
      </c>
      <c r="B867" t="inlineStr">
        <is>
          <t>eth1</t>
        </is>
      </c>
      <c r="C867" t="inlineStr">
        <is>
          <t>10G SFP+</t>
        </is>
      </c>
      <c r="D867" t="n">
        <v>10000</v>
      </c>
      <c r="E867" t="inlineStr">
        <is>
          <t>up</t>
        </is>
      </c>
      <c r="F867" t="inlineStr">
        <is>
          <t>Access to MH-DC-001-TOR-002</t>
        </is>
      </c>
      <c r="G867" t="inlineStr">
        <is>
          <t>SFP-10G-LR</t>
        </is>
      </c>
    </row>
    <row r="868">
      <c r="A868" t="inlineStr">
        <is>
          <t>MH-DC-001-JMP-01</t>
        </is>
      </c>
      <c r="B868" t="inlineStr">
        <is>
          <t>eth0</t>
        </is>
      </c>
      <c r="C868" t="inlineStr">
        <is>
          <t>10G SFP+</t>
        </is>
      </c>
      <c r="D868" t="n">
        <v>10000</v>
      </c>
      <c r="E868" t="inlineStr">
        <is>
          <t>up</t>
        </is>
      </c>
      <c r="F868" t="inlineStr">
        <is>
          <t>Access to MH-DC-001-TOR-003</t>
        </is>
      </c>
      <c r="G868" t="inlineStr">
        <is>
          <t>SFP-10G-LR</t>
        </is>
      </c>
    </row>
    <row r="869">
      <c r="A869" t="inlineStr">
        <is>
          <t>MH-DC-001-JMP-01</t>
        </is>
      </c>
      <c r="B869" t="inlineStr">
        <is>
          <t>eth1</t>
        </is>
      </c>
      <c r="C869" t="inlineStr">
        <is>
          <t>10G SFP+</t>
        </is>
      </c>
      <c r="D869" t="n">
        <v>10000</v>
      </c>
      <c r="E869" t="inlineStr">
        <is>
          <t>up</t>
        </is>
      </c>
      <c r="F869" t="inlineStr">
        <is>
          <t>Access to MH-DC-001-TOR-004</t>
        </is>
      </c>
      <c r="G869" t="inlineStr">
        <is>
          <t>SFP-10G-LR</t>
        </is>
      </c>
    </row>
    <row r="870">
      <c r="A870" t="inlineStr">
        <is>
          <t>MH-DC-001-JMP-02</t>
        </is>
      </c>
      <c r="B870" t="inlineStr">
        <is>
          <t>eth0</t>
        </is>
      </c>
      <c r="C870" t="inlineStr">
        <is>
          <t>10G SFP+</t>
        </is>
      </c>
      <c r="D870" t="n">
        <v>10000</v>
      </c>
      <c r="E870" t="inlineStr">
        <is>
          <t>up</t>
        </is>
      </c>
      <c r="F870" t="inlineStr">
        <is>
          <t>Access to MH-DC-001-TOR-003</t>
        </is>
      </c>
      <c r="G870" t="inlineStr">
        <is>
          <t>SFP-10G-LR</t>
        </is>
      </c>
    </row>
    <row r="871">
      <c r="A871" t="inlineStr">
        <is>
          <t>MH-DC-001-JMP-02</t>
        </is>
      </c>
      <c r="B871" t="inlineStr">
        <is>
          <t>eth1</t>
        </is>
      </c>
      <c r="C871" t="inlineStr">
        <is>
          <t>10G SFP+</t>
        </is>
      </c>
      <c r="D871" t="n">
        <v>10000</v>
      </c>
      <c r="E871" t="inlineStr">
        <is>
          <t>up</t>
        </is>
      </c>
      <c r="F871" t="inlineStr">
        <is>
          <t>Access to MH-DC-001-TOR-004</t>
        </is>
      </c>
      <c r="G871" t="inlineStr">
        <is>
          <t>SFP-10G-LR</t>
        </is>
      </c>
    </row>
    <row r="872">
      <c r="A872" t="inlineStr">
        <is>
          <t>MH-DC-001-BKP-01</t>
        </is>
      </c>
      <c r="B872" t="inlineStr">
        <is>
          <t>eth0</t>
        </is>
      </c>
      <c r="C872" t="inlineStr">
        <is>
          <t>10G SFP+</t>
        </is>
      </c>
      <c r="D872" t="n">
        <v>10000</v>
      </c>
      <c r="E872" t="inlineStr">
        <is>
          <t>up</t>
        </is>
      </c>
      <c r="F872" t="inlineStr">
        <is>
          <t>Access to MH-DC-001-TOR-003</t>
        </is>
      </c>
      <c r="G872" t="inlineStr">
        <is>
          <t>SFP-10G-LR</t>
        </is>
      </c>
    </row>
    <row r="873">
      <c r="A873" t="inlineStr">
        <is>
          <t>MH-DC-001-BKP-01</t>
        </is>
      </c>
      <c r="B873" t="inlineStr">
        <is>
          <t>eth1</t>
        </is>
      </c>
      <c r="C873" t="inlineStr">
        <is>
          <t>10G SFP+</t>
        </is>
      </c>
      <c r="D873" t="n">
        <v>10000</v>
      </c>
      <c r="E873" t="inlineStr">
        <is>
          <t>up</t>
        </is>
      </c>
      <c r="F873" t="inlineStr">
        <is>
          <t>Access to MH-DC-001-TOR-004</t>
        </is>
      </c>
      <c r="G873" t="inlineStr">
        <is>
          <t>SFP-10G-LR</t>
        </is>
      </c>
    </row>
    <row r="874">
      <c r="A874" t="inlineStr">
        <is>
          <t>MH-DC-001-DCIM-01</t>
        </is>
      </c>
      <c r="B874" t="inlineStr">
        <is>
          <t>eth0</t>
        </is>
      </c>
      <c r="C874" t="inlineStr">
        <is>
          <t>10G SFP+</t>
        </is>
      </c>
      <c r="D874" t="n">
        <v>10000</v>
      </c>
      <c r="E874" t="inlineStr">
        <is>
          <t>up</t>
        </is>
      </c>
      <c r="F874" t="inlineStr">
        <is>
          <t>Access to MH-DC-001-TOR-003</t>
        </is>
      </c>
      <c r="G874" t="inlineStr">
        <is>
          <t>SFP-10G-LR</t>
        </is>
      </c>
    </row>
    <row r="875">
      <c r="A875" t="inlineStr">
        <is>
          <t>MH-DC-001-DCIM-01</t>
        </is>
      </c>
      <c r="B875" t="inlineStr">
        <is>
          <t>eth1</t>
        </is>
      </c>
      <c r="C875" t="inlineStr">
        <is>
          <t>10G SFP+</t>
        </is>
      </c>
      <c r="D875" t="n">
        <v>10000</v>
      </c>
      <c r="E875" t="inlineStr">
        <is>
          <t>up</t>
        </is>
      </c>
      <c r="F875" t="inlineStr">
        <is>
          <t>Access to MH-DC-001-TOR-004</t>
        </is>
      </c>
      <c r="G875" t="inlineStr">
        <is>
          <t>SFP-10G-LR</t>
        </is>
      </c>
    </row>
    <row r="876">
      <c r="A876" t="inlineStr">
        <is>
          <t>MH-DC-001-DCIM-02</t>
        </is>
      </c>
      <c r="B876" t="inlineStr">
        <is>
          <t>eth0</t>
        </is>
      </c>
      <c r="C876" t="inlineStr">
        <is>
          <t>10G SFP+</t>
        </is>
      </c>
      <c r="D876" t="n">
        <v>10000</v>
      </c>
      <c r="E876" t="inlineStr">
        <is>
          <t>up</t>
        </is>
      </c>
      <c r="F876" t="inlineStr">
        <is>
          <t>Access to MH-DC-001-TOR-003</t>
        </is>
      </c>
      <c r="G876" t="inlineStr">
        <is>
          <t>SFP-10G-LR</t>
        </is>
      </c>
    </row>
    <row r="877">
      <c r="A877" t="inlineStr">
        <is>
          <t>MH-DC-001-DCIM-02</t>
        </is>
      </c>
      <c r="B877" t="inlineStr">
        <is>
          <t>eth1</t>
        </is>
      </c>
      <c r="C877" t="inlineStr">
        <is>
          <t>10G SFP+</t>
        </is>
      </c>
      <c r="D877" t="n">
        <v>10000</v>
      </c>
      <c r="E877" t="inlineStr">
        <is>
          <t>up</t>
        </is>
      </c>
      <c r="F877" t="inlineStr">
        <is>
          <t>Access to MH-DC-001-TOR-004</t>
        </is>
      </c>
      <c r="G877" t="inlineStr">
        <is>
          <t>SFP-10G-LR</t>
        </is>
      </c>
    </row>
    <row r="878">
      <c r="A878" t="inlineStr">
        <is>
          <t>MH-DC-001-MON-01</t>
        </is>
      </c>
      <c r="B878" t="inlineStr">
        <is>
          <t>eth0</t>
        </is>
      </c>
      <c r="C878" t="inlineStr">
        <is>
          <t>10G SFP+</t>
        </is>
      </c>
      <c r="D878" t="n">
        <v>10000</v>
      </c>
      <c r="E878" t="inlineStr">
        <is>
          <t>up</t>
        </is>
      </c>
      <c r="F878" t="inlineStr">
        <is>
          <t>Access to MH-DC-001-TOR-003</t>
        </is>
      </c>
      <c r="G878" t="inlineStr">
        <is>
          <t>SFP-10G-LR</t>
        </is>
      </c>
    </row>
    <row r="879">
      <c r="A879" t="inlineStr">
        <is>
          <t>MH-DC-001-MON-01</t>
        </is>
      </c>
      <c r="B879" t="inlineStr">
        <is>
          <t>eth1</t>
        </is>
      </c>
      <c r="C879" t="inlineStr">
        <is>
          <t>10G SFP+</t>
        </is>
      </c>
      <c r="D879" t="n">
        <v>10000</v>
      </c>
      <c r="E879" t="inlineStr">
        <is>
          <t>up</t>
        </is>
      </c>
      <c r="F879" t="inlineStr">
        <is>
          <t>Access to MH-DC-001-TOR-004</t>
        </is>
      </c>
      <c r="G879" t="inlineStr">
        <is>
          <t>SFP-10G-LR</t>
        </is>
      </c>
    </row>
    <row r="880">
      <c r="A880" t="inlineStr">
        <is>
          <t>MH-DC-001-MON-02</t>
        </is>
      </c>
      <c r="B880" t="inlineStr">
        <is>
          <t>eth0</t>
        </is>
      </c>
      <c r="C880" t="inlineStr">
        <is>
          <t>10G SFP+</t>
        </is>
      </c>
      <c r="D880" t="n">
        <v>10000</v>
      </c>
      <c r="E880" t="inlineStr">
        <is>
          <t>up</t>
        </is>
      </c>
      <c r="F880" t="inlineStr">
        <is>
          <t>Access to MH-DC-001-TOR-003</t>
        </is>
      </c>
      <c r="G880" t="inlineStr">
        <is>
          <t>SFP-10G-LR</t>
        </is>
      </c>
    </row>
    <row r="881">
      <c r="A881" t="inlineStr">
        <is>
          <t>MH-DC-001-MON-02</t>
        </is>
      </c>
      <c r="B881" t="inlineStr">
        <is>
          <t>eth1</t>
        </is>
      </c>
      <c r="C881" t="inlineStr">
        <is>
          <t>10G SFP+</t>
        </is>
      </c>
      <c r="D881" t="n">
        <v>10000</v>
      </c>
      <c r="E881" t="inlineStr">
        <is>
          <t>up</t>
        </is>
      </c>
      <c r="F881" t="inlineStr">
        <is>
          <t>Access to MH-DC-001-TOR-004</t>
        </is>
      </c>
      <c r="G881" t="inlineStr">
        <is>
          <t>SFP-10G-LR</t>
        </is>
      </c>
    </row>
    <row r="882">
      <c r="A882" t="inlineStr">
        <is>
          <t>MH-DC-002-PE-T4-01</t>
        </is>
      </c>
      <c r="B882" t="inlineStr">
        <is>
          <t>xe-0/0/0</t>
        </is>
      </c>
      <c r="C882" t="inlineStr">
        <is>
          <t>10G SFP+</t>
        </is>
      </c>
      <c r="D882" t="n">
        <v>10000</v>
      </c>
      <c r="E882" t="inlineStr">
        <is>
          <t>admin-down</t>
        </is>
      </c>
    </row>
    <row r="883">
      <c r="A883" t="inlineStr">
        <is>
          <t>MH-DC-002-PE-T4-01</t>
        </is>
      </c>
      <c r="B883" t="inlineStr">
        <is>
          <t>xe-0/0/1</t>
        </is>
      </c>
      <c r="C883" t="inlineStr">
        <is>
          <t>10G SFP+</t>
        </is>
      </c>
      <c r="D883" t="n">
        <v>10000</v>
      </c>
      <c r="E883" t="inlineStr">
        <is>
          <t>up</t>
        </is>
      </c>
      <c r="F883" t="inlineStr">
        <is>
          <t>Backhaul to PB-DC-012</t>
        </is>
      </c>
      <c r="G883" t="inlineStr">
        <is>
          <t>SFP-10G-LR</t>
        </is>
      </c>
    </row>
    <row r="884">
      <c r="A884" t="inlineStr">
        <is>
          <t>MH-DC-002-PE-T4-01</t>
        </is>
      </c>
      <c r="B884" t="inlineStr">
        <is>
          <t>xe-0/0/2</t>
        </is>
      </c>
      <c r="C884" t="inlineStr">
        <is>
          <t>10G SFP+</t>
        </is>
      </c>
      <c r="D884" t="n">
        <v>10000</v>
      </c>
      <c r="E884" t="inlineStr">
        <is>
          <t>up</t>
        </is>
      </c>
      <c r="F884" t="inlineStr">
        <is>
          <t>Backhaul to KL-DC-024</t>
        </is>
      </c>
      <c r="G884" t="inlineStr">
        <is>
          <t>SFP-10G-LR</t>
        </is>
      </c>
    </row>
    <row r="885">
      <c r="A885" t="inlineStr">
        <is>
          <t>MH-DC-002-PE-T4-01</t>
        </is>
      </c>
      <c r="B885" t="inlineStr">
        <is>
          <t>xe-0/0/3</t>
        </is>
      </c>
      <c r="C885" t="inlineStr">
        <is>
          <t>10G SFP+</t>
        </is>
      </c>
      <c r="D885" t="n">
        <v>10000</v>
      </c>
      <c r="E885" t="inlineStr">
        <is>
          <t>up</t>
        </is>
      </c>
      <c r="F885" t="inlineStr">
        <is>
          <t>Backhaul to MP-DC-014</t>
        </is>
      </c>
      <c r="G885" t="inlineStr">
        <is>
          <t>SFP-10G-LR</t>
        </is>
      </c>
    </row>
    <row r="886">
      <c r="A886" t="inlineStr">
        <is>
          <t>MH-DC-002-PE-T4-01</t>
        </is>
      </c>
      <c r="B886" t="inlineStr">
        <is>
          <t>xe-0/0/4</t>
        </is>
      </c>
      <c r="C886" t="inlineStr">
        <is>
          <t>10G SFP+</t>
        </is>
      </c>
      <c r="D886" t="n">
        <v>10000</v>
      </c>
      <c r="E886" t="inlineStr">
        <is>
          <t>up</t>
        </is>
      </c>
      <c r="F886" t="inlineStr">
        <is>
          <t>Backhaul to KL-DC-024</t>
        </is>
      </c>
      <c r="G886" t="inlineStr">
        <is>
          <t>SFP-10G-LR</t>
        </is>
      </c>
    </row>
    <row r="887">
      <c r="A887" t="inlineStr">
        <is>
          <t>MH-DC-002-PE-T4-01</t>
        </is>
      </c>
      <c r="B887" t="inlineStr">
        <is>
          <t>xe-0/0/5</t>
        </is>
      </c>
      <c r="C887" t="inlineStr">
        <is>
          <t>10G SFP+</t>
        </is>
      </c>
      <c r="D887" t="n">
        <v>10000</v>
      </c>
      <c r="E887" t="inlineStr">
        <is>
          <t>up</t>
        </is>
      </c>
      <c r="F887" t="inlineStr">
        <is>
          <t>Backhaul to RJ-DC-015</t>
        </is>
      </c>
      <c r="G887" t="inlineStr">
        <is>
          <t>SFP-10G-LR</t>
        </is>
      </c>
    </row>
    <row r="888">
      <c r="A888" t="inlineStr">
        <is>
          <t>MH-DC-002-PE-T4-01</t>
        </is>
      </c>
      <c r="B888" t="inlineStr">
        <is>
          <t>xe-0/0/6</t>
        </is>
      </c>
      <c r="C888" t="inlineStr">
        <is>
          <t>10G SFP+</t>
        </is>
      </c>
      <c r="D888" t="n">
        <v>10000</v>
      </c>
      <c r="E888" t="inlineStr">
        <is>
          <t>up</t>
        </is>
      </c>
      <c r="F888" t="inlineStr">
        <is>
          <t>Uplink to MH-DC-002-AGG-R01</t>
        </is>
      </c>
      <c r="G888" t="inlineStr">
        <is>
          <t>SFP-10G-LR</t>
        </is>
      </c>
    </row>
    <row r="889">
      <c r="A889" t="inlineStr">
        <is>
          <t>MH-DC-002-PE-T4-01</t>
        </is>
      </c>
      <c r="B889" t="inlineStr">
        <is>
          <t>xe-0/0/7</t>
        </is>
      </c>
      <c r="C889" t="inlineStr">
        <is>
          <t>10G SFP+</t>
        </is>
      </c>
      <c r="D889" t="n">
        <v>10000</v>
      </c>
      <c r="E889" t="inlineStr">
        <is>
          <t>admin-down</t>
        </is>
      </c>
    </row>
    <row r="890">
      <c r="A890" t="inlineStr">
        <is>
          <t>MH-DC-002-PE-T4-01</t>
        </is>
      </c>
      <c r="B890" t="inlineStr">
        <is>
          <t>xe-0/0/8</t>
        </is>
      </c>
      <c r="C890" t="inlineStr">
        <is>
          <t>10G SFP+</t>
        </is>
      </c>
      <c r="D890" t="n">
        <v>10000</v>
      </c>
      <c r="E890" t="inlineStr">
        <is>
          <t>admin-down</t>
        </is>
      </c>
    </row>
    <row r="891">
      <c r="A891" t="inlineStr">
        <is>
          <t>MH-DC-002-PE-T4-01</t>
        </is>
      </c>
      <c r="B891" t="inlineStr">
        <is>
          <t>xe-0/0/9</t>
        </is>
      </c>
      <c r="C891" t="inlineStr">
        <is>
          <t>10G SFP+</t>
        </is>
      </c>
      <c r="D891" t="n">
        <v>10000</v>
      </c>
      <c r="E891" t="inlineStr">
        <is>
          <t>admin-down</t>
        </is>
      </c>
    </row>
    <row r="892">
      <c r="A892" t="inlineStr">
        <is>
          <t>MH-DC-002-PE-T4-01</t>
        </is>
      </c>
      <c r="B892" t="inlineStr">
        <is>
          <t>xe-0/0/10</t>
        </is>
      </c>
      <c r="C892" t="inlineStr">
        <is>
          <t>10G SFP+</t>
        </is>
      </c>
      <c r="D892" t="n">
        <v>10000</v>
      </c>
      <c r="E892" t="inlineStr">
        <is>
          <t>admin-down</t>
        </is>
      </c>
    </row>
    <row r="893">
      <c r="A893" t="inlineStr">
        <is>
          <t>MH-DC-002-PE-T4-01</t>
        </is>
      </c>
      <c r="B893" t="inlineStr">
        <is>
          <t>xe-0/0/11</t>
        </is>
      </c>
      <c r="C893" t="inlineStr">
        <is>
          <t>10G SFP+</t>
        </is>
      </c>
      <c r="D893" t="n">
        <v>10000</v>
      </c>
      <c r="E893" t="inlineStr">
        <is>
          <t>admin-down</t>
        </is>
      </c>
    </row>
    <row r="894">
      <c r="A894" t="inlineStr">
        <is>
          <t>MH-DC-002-PE-T4-01</t>
        </is>
      </c>
      <c r="B894" t="inlineStr">
        <is>
          <t>et-0/1/0</t>
        </is>
      </c>
      <c r="C894" t="inlineStr">
        <is>
          <t>100G QSFP28</t>
        </is>
      </c>
      <c r="D894" t="n">
        <v>100000</v>
      </c>
      <c r="E894" t="inlineStr">
        <is>
          <t>up</t>
        </is>
      </c>
      <c r="F894" t="inlineStr">
        <is>
          <t>Fabric to MH-DC-002-PE-T4-02</t>
        </is>
      </c>
      <c r="G894" t="inlineStr">
        <is>
          <t>QSFP28-100G-LR4</t>
        </is>
      </c>
    </row>
    <row r="895">
      <c r="A895" t="inlineStr">
        <is>
          <t>MH-DC-002-PE-T4-01</t>
        </is>
      </c>
      <c r="B895" t="inlineStr">
        <is>
          <t>et-0/1/1</t>
        </is>
      </c>
      <c r="C895" t="inlineStr">
        <is>
          <t>100G QSFP28</t>
        </is>
      </c>
      <c r="D895" t="n">
        <v>100000</v>
      </c>
      <c r="E895" t="inlineStr">
        <is>
          <t>up</t>
        </is>
      </c>
      <c r="F895" t="inlineStr">
        <is>
          <t>Fabric to MH-DC-002-PE-T4-03</t>
        </is>
      </c>
      <c r="G895" t="inlineStr">
        <is>
          <t>QSFP28-100G-LR4</t>
        </is>
      </c>
    </row>
    <row r="896">
      <c r="A896" t="inlineStr">
        <is>
          <t>MH-DC-002-PE-T4-01</t>
        </is>
      </c>
      <c r="B896" t="inlineStr">
        <is>
          <t>et-0/1/2</t>
        </is>
      </c>
      <c r="C896" t="inlineStr">
        <is>
          <t>100G QSFP28</t>
        </is>
      </c>
      <c r="D896" t="n">
        <v>100000</v>
      </c>
      <c r="E896" t="inlineStr">
        <is>
          <t>up</t>
        </is>
      </c>
      <c r="F896" t="inlineStr">
        <is>
          <t>Fabric to MH-DC-002-PE-T4-04</t>
        </is>
      </c>
      <c r="G896" t="inlineStr">
        <is>
          <t>QSFP28-100G-LR4</t>
        </is>
      </c>
    </row>
    <row r="897">
      <c r="A897" t="inlineStr">
        <is>
          <t>MH-DC-002-PE-T4-01</t>
        </is>
      </c>
      <c r="B897" t="inlineStr">
        <is>
          <t>et-0/1/3</t>
        </is>
      </c>
      <c r="C897" t="inlineStr">
        <is>
          <t>100G QSFP28</t>
        </is>
      </c>
      <c r="D897" t="n">
        <v>100000</v>
      </c>
      <c r="E897" t="inlineStr">
        <is>
          <t>admin-down</t>
        </is>
      </c>
    </row>
    <row r="898">
      <c r="A898" t="inlineStr">
        <is>
          <t>MH-DC-002-PE-T4-01</t>
        </is>
      </c>
      <c r="B898" t="inlineStr">
        <is>
          <t>ge-0/2/0</t>
        </is>
      </c>
      <c r="C898" t="inlineStr">
        <is>
          <t>1G copper</t>
        </is>
      </c>
      <c r="D898" t="n">
        <v>1000</v>
      </c>
      <c r="E898" t="inlineStr">
        <is>
          <t>reserved</t>
        </is>
      </c>
    </row>
    <row r="899">
      <c r="A899" t="inlineStr">
        <is>
          <t>MH-DC-002-PE-T4-01</t>
        </is>
      </c>
      <c r="B899" t="inlineStr">
        <is>
          <t>ge-0/2/1</t>
        </is>
      </c>
      <c r="C899" t="inlineStr">
        <is>
          <t>1G copper</t>
        </is>
      </c>
      <c r="D899" t="n">
        <v>1000</v>
      </c>
      <c r="E899" t="inlineStr">
        <is>
          <t>admin-down</t>
        </is>
      </c>
    </row>
    <row r="900">
      <c r="A900" t="inlineStr">
        <is>
          <t>MH-DC-002-PE-T4-01</t>
        </is>
      </c>
      <c r="B900" t="inlineStr">
        <is>
          <t>ge-0/2/2</t>
        </is>
      </c>
      <c r="C900" t="inlineStr">
        <is>
          <t>1G copper</t>
        </is>
      </c>
      <c r="D900" t="n">
        <v>1000</v>
      </c>
      <c r="E900" t="inlineStr">
        <is>
          <t>admin-down</t>
        </is>
      </c>
    </row>
    <row r="901">
      <c r="A901" t="inlineStr">
        <is>
          <t>MH-DC-002-PE-T4-01</t>
        </is>
      </c>
      <c r="B901" t="inlineStr">
        <is>
          <t>ge-0/2/3</t>
        </is>
      </c>
      <c r="C901" t="inlineStr">
        <is>
          <t>1G copper</t>
        </is>
      </c>
      <c r="D901" t="n">
        <v>1000</v>
      </c>
      <c r="E901" t="inlineStr">
        <is>
          <t>admin-down</t>
        </is>
      </c>
    </row>
    <row r="902">
      <c r="A902" t="inlineStr">
        <is>
          <t>MH-DC-002-PE-T4-01</t>
        </is>
      </c>
      <c r="B902" t="inlineStr">
        <is>
          <t>ge-0/2/4</t>
        </is>
      </c>
      <c r="C902" t="inlineStr">
        <is>
          <t>1G copper</t>
        </is>
      </c>
      <c r="D902" t="n">
        <v>1000</v>
      </c>
      <c r="E902" t="inlineStr">
        <is>
          <t>admin-down</t>
        </is>
      </c>
    </row>
    <row r="903">
      <c r="A903" t="inlineStr">
        <is>
          <t>MH-DC-002-PE-T4-01</t>
        </is>
      </c>
      <c r="B903" t="inlineStr">
        <is>
          <t>ge-0/2/5</t>
        </is>
      </c>
      <c r="C903" t="inlineStr">
        <is>
          <t>1G copper</t>
        </is>
      </c>
      <c r="D903" t="n">
        <v>1000</v>
      </c>
      <c r="E903" t="inlineStr">
        <is>
          <t>admin-down</t>
        </is>
      </c>
    </row>
    <row r="904">
      <c r="A904" t="inlineStr">
        <is>
          <t>MH-DC-002-PE-T4-01</t>
        </is>
      </c>
      <c r="B904" t="inlineStr">
        <is>
          <t>ge-0/2/6</t>
        </is>
      </c>
      <c r="C904" t="inlineStr">
        <is>
          <t>1G copper</t>
        </is>
      </c>
      <c r="D904" t="n">
        <v>1000</v>
      </c>
      <c r="E904" t="inlineStr">
        <is>
          <t>admin-down</t>
        </is>
      </c>
    </row>
    <row r="905">
      <c r="A905" t="inlineStr">
        <is>
          <t>MH-DC-002-PE-T4-01</t>
        </is>
      </c>
      <c r="B905" t="inlineStr">
        <is>
          <t>ge-0/2/7</t>
        </is>
      </c>
      <c r="C905" t="inlineStr">
        <is>
          <t>1G copper</t>
        </is>
      </c>
      <c r="D905" t="n">
        <v>1000</v>
      </c>
      <c r="E905" t="inlineStr">
        <is>
          <t>admin-down</t>
        </is>
      </c>
    </row>
    <row r="906">
      <c r="A906" t="inlineStr">
        <is>
          <t>MH-DC-002-PE-T4-01</t>
        </is>
      </c>
      <c r="B906" t="inlineStr">
        <is>
          <t>ge-0/2/8</t>
        </is>
      </c>
      <c r="C906" t="inlineStr">
        <is>
          <t>1G copper</t>
        </is>
      </c>
      <c r="D906" t="n">
        <v>1000</v>
      </c>
      <c r="E906" t="inlineStr">
        <is>
          <t>admin-down</t>
        </is>
      </c>
    </row>
    <row r="907">
      <c r="A907" t="inlineStr">
        <is>
          <t>MH-DC-002-PE-T4-01</t>
        </is>
      </c>
      <c r="B907" t="inlineStr">
        <is>
          <t>ge-0/2/9</t>
        </is>
      </c>
      <c r="C907" t="inlineStr">
        <is>
          <t>1G copper</t>
        </is>
      </c>
      <c r="D907" t="n">
        <v>1000</v>
      </c>
      <c r="E907" t="inlineStr">
        <is>
          <t>admin-down</t>
        </is>
      </c>
    </row>
    <row r="908">
      <c r="A908" t="inlineStr">
        <is>
          <t>MH-DC-002-PE-T4-01</t>
        </is>
      </c>
      <c r="B908" t="inlineStr">
        <is>
          <t>ge-0/2/10</t>
        </is>
      </c>
      <c r="C908" t="inlineStr">
        <is>
          <t>1G copper</t>
        </is>
      </c>
      <c r="D908" t="n">
        <v>1000</v>
      </c>
      <c r="E908" t="inlineStr">
        <is>
          <t>admin-down</t>
        </is>
      </c>
    </row>
    <row r="909">
      <c r="A909" t="inlineStr">
        <is>
          <t>MH-DC-002-PE-T4-01</t>
        </is>
      </c>
      <c r="B909" t="inlineStr">
        <is>
          <t>ge-0/2/11</t>
        </is>
      </c>
      <c r="C909" t="inlineStr">
        <is>
          <t>1G copper</t>
        </is>
      </c>
      <c r="D909" t="n">
        <v>1000</v>
      </c>
      <c r="E909" t="inlineStr">
        <is>
          <t>admin-down</t>
        </is>
      </c>
    </row>
    <row r="910">
      <c r="A910" t="inlineStr">
        <is>
          <t>MH-DC-002-PE-T4-01</t>
        </is>
      </c>
      <c r="B910" t="inlineStr">
        <is>
          <t>ge-0/2/12</t>
        </is>
      </c>
      <c r="C910" t="inlineStr">
        <is>
          <t>1G copper</t>
        </is>
      </c>
      <c r="D910" t="n">
        <v>1000</v>
      </c>
      <c r="E910" t="inlineStr">
        <is>
          <t>admin-down</t>
        </is>
      </c>
    </row>
    <row r="911">
      <c r="A911" t="inlineStr">
        <is>
          <t>MH-DC-002-PE-T4-01</t>
        </is>
      </c>
      <c r="B911" t="inlineStr">
        <is>
          <t>ge-0/2/13</t>
        </is>
      </c>
      <c r="C911" t="inlineStr">
        <is>
          <t>1G copper</t>
        </is>
      </c>
      <c r="D911" t="n">
        <v>1000</v>
      </c>
      <c r="E911" t="inlineStr">
        <is>
          <t>admin-down</t>
        </is>
      </c>
    </row>
    <row r="912">
      <c r="A912" t="inlineStr">
        <is>
          <t>MH-DC-002-PE-T4-01</t>
        </is>
      </c>
      <c r="B912" t="inlineStr">
        <is>
          <t>ge-0/2/14</t>
        </is>
      </c>
      <c r="C912" t="inlineStr">
        <is>
          <t>1G copper</t>
        </is>
      </c>
      <c r="D912" t="n">
        <v>1000</v>
      </c>
      <c r="E912" t="inlineStr">
        <is>
          <t>admin-down</t>
        </is>
      </c>
    </row>
    <row r="913">
      <c r="A913" t="inlineStr">
        <is>
          <t>MH-DC-002-PE-T4-01</t>
        </is>
      </c>
      <c r="B913" t="inlineStr">
        <is>
          <t>ge-0/2/15</t>
        </is>
      </c>
      <c r="C913" t="inlineStr">
        <is>
          <t>1G copper</t>
        </is>
      </c>
      <c r="D913" t="n">
        <v>1000</v>
      </c>
      <c r="E913" t="inlineStr">
        <is>
          <t>admin-down</t>
        </is>
      </c>
    </row>
    <row r="914">
      <c r="A914" t="inlineStr">
        <is>
          <t>MH-DC-002-PE-T4-02</t>
        </is>
      </c>
      <c r="B914" t="inlineStr">
        <is>
          <t>xe-0/0/0</t>
        </is>
      </c>
      <c r="C914" t="inlineStr">
        <is>
          <t>10G SFP+</t>
        </is>
      </c>
      <c r="D914" t="n">
        <v>10000</v>
      </c>
      <c r="E914" t="inlineStr">
        <is>
          <t>admin-down</t>
        </is>
      </c>
    </row>
    <row r="915">
      <c r="A915" t="inlineStr">
        <is>
          <t>MH-DC-002-PE-T4-02</t>
        </is>
      </c>
      <c r="B915" t="inlineStr">
        <is>
          <t>xe-0/0/1</t>
        </is>
      </c>
      <c r="C915" t="inlineStr">
        <is>
          <t>10G SFP+</t>
        </is>
      </c>
      <c r="D915" t="n">
        <v>10000</v>
      </c>
      <c r="E915" t="inlineStr">
        <is>
          <t>up</t>
        </is>
      </c>
      <c r="F915" t="inlineStr">
        <is>
          <t>Backhaul to PB-DC-012</t>
        </is>
      </c>
      <c r="G915" t="inlineStr">
        <is>
          <t>SFP-10G-LR</t>
        </is>
      </c>
    </row>
    <row r="916">
      <c r="A916" t="inlineStr">
        <is>
          <t>MH-DC-002-PE-T4-02</t>
        </is>
      </c>
      <c r="B916" t="inlineStr">
        <is>
          <t>xe-0/0/2</t>
        </is>
      </c>
      <c r="C916" t="inlineStr">
        <is>
          <t>10G SFP+</t>
        </is>
      </c>
      <c r="D916" t="n">
        <v>10000</v>
      </c>
      <c r="E916" t="inlineStr">
        <is>
          <t>up</t>
        </is>
      </c>
      <c r="F916" t="inlineStr">
        <is>
          <t>Backhaul to OD-DC-018</t>
        </is>
      </c>
      <c r="G916" t="inlineStr">
        <is>
          <t>SFP-10G-LR</t>
        </is>
      </c>
    </row>
    <row r="917">
      <c r="A917" t="inlineStr">
        <is>
          <t>MH-DC-002-PE-T4-02</t>
        </is>
      </c>
      <c r="B917" t="inlineStr">
        <is>
          <t>xe-0/0/3</t>
        </is>
      </c>
      <c r="C917" t="inlineStr">
        <is>
          <t>10G SFP+</t>
        </is>
      </c>
      <c r="D917" t="n">
        <v>10000</v>
      </c>
      <c r="E917" t="inlineStr">
        <is>
          <t>up</t>
        </is>
      </c>
      <c r="F917" t="inlineStr">
        <is>
          <t>Backhaul to OD-DC-018</t>
        </is>
      </c>
      <c r="G917" t="inlineStr">
        <is>
          <t>SFP-10G-LR</t>
        </is>
      </c>
    </row>
    <row r="918">
      <c r="A918" t="inlineStr">
        <is>
          <t>MH-DC-002-PE-T4-02</t>
        </is>
      </c>
      <c r="B918" t="inlineStr">
        <is>
          <t>xe-0/0/4</t>
        </is>
      </c>
      <c r="C918" t="inlineStr">
        <is>
          <t>10G SFP+</t>
        </is>
      </c>
      <c r="D918" t="n">
        <v>10000</v>
      </c>
      <c r="E918" t="inlineStr">
        <is>
          <t>up</t>
        </is>
      </c>
      <c r="F918" t="inlineStr">
        <is>
          <t>Backhaul to KA-DC-020</t>
        </is>
      </c>
      <c r="G918" t="inlineStr">
        <is>
          <t>SFP-10G-LR</t>
        </is>
      </c>
    </row>
    <row r="919">
      <c r="A919" t="inlineStr">
        <is>
          <t>MH-DC-002-PE-T4-02</t>
        </is>
      </c>
      <c r="B919" t="inlineStr">
        <is>
          <t>xe-0/0/5</t>
        </is>
      </c>
      <c r="C919" t="inlineStr">
        <is>
          <t>10G SFP+</t>
        </is>
      </c>
      <c r="D919" t="n">
        <v>10000</v>
      </c>
      <c r="E919" t="inlineStr">
        <is>
          <t>up</t>
        </is>
      </c>
      <c r="F919" t="inlineStr">
        <is>
          <t>Backhaul to UP-DC-007</t>
        </is>
      </c>
      <c r="G919" t="inlineStr">
        <is>
          <t>SFP-10G-LR</t>
        </is>
      </c>
    </row>
    <row r="920">
      <c r="A920" t="inlineStr">
        <is>
          <t>MH-DC-002-PE-T4-02</t>
        </is>
      </c>
      <c r="B920" t="inlineStr">
        <is>
          <t>xe-0/0/6</t>
        </is>
      </c>
      <c r="C920" t="inlineStr">
        <is>
          <t>10G SFP+</t>
        </is>
      </c>
      <c r="D920" t="n">
        <v>10000</v>
      </c>
      <c r="E920" t="inlineStr">
        <is>
          <t>up</t>
        </is>
      </c>
      <c r="F920" t="inlineStr">
        <is>
          <t>Uplink to MH-DC-002-AGG-R01</t>
        </is>
      </c>
      <c r="G920" t="inlineStr">
        <is>
          <t>SFP-10G-LR</t>
        </is>
      </c>
    </row>
    <row r="921">
      <c r="A921" t="inlineStr">
        <is>
          <t>MH-DC-002-PE-T4-02</t>
        </is>
      </c>
      <c r="B921" t="inlineStr">
        <is>
          <t>xe-0/0/7</t>
        </is>
      </c>
      <c r="C921" t="inlineStr">
        <is>
          <t>10G SFP+</t>
        </is>
      </c>
      <c r="D921" t="n">
        <v>10000</v>
      </c>
      <c r="E921" t="inlineStr">
        <is>
          <t>up</t>
        </is>
      </c>
      <c r="F921" t="inlineStr">
        <is>
          <t>Uplink to MH-DC-002-AGG-R02</t>
        </is>
      </c>
      <c r="G921" t="inlineStr">
        <is>
          <t>SFP-10G-LR</t>
        </is>
      </c>
    </row>
    <row r="922">
      <c r="A922" t="inlineStr">
        <is>
          <t>MH-DC-002-PE-T4-02</t>
        </is>
      </c>
      <c r="B922" t="inlineStr">
        <is>
          <t>xe-0/0/8</t>
        </is>
      </c>
      <c r="C922" t="inlineStr">
        <is>
          <t>10G SFP+</t>
        </is>
      </c>
      <c r="D922" t="n">
        <v>10000</v>
      </c>
      <c r="E922" t="inlineStr">
        <is>
          <t>admin-down</t>
        </is>
      </c>
    </row>
    <row r="923">
      <c r="A923" t="inlineStr">
        <is>
          <t>MH-DC-002-PE-T4-02</t>
        </is>
      </c>
      <c r="B923" t="inlineStr">
        <is>
          <t>xe-0/0/9</t>
        </is>
      </c>
      <c r="C923" t="inlineStr">
        <is>
          <t>10G SFP+</t>
        </is>
      </c>
      <c r="D923" t="n">
        <v>10000</v>
      </c>
      <c r="E923" t="inlineStr">
        <is>
          <t>admin-down</t>
        </is>
      </c>
    </row>
    <row r="924">
      <c r="A924" t="inlineStr">
        <is>
          <t>MH-DC-002-PE-T4-02</t>
        </is>
      </c>
      <c r="B924" t="inlineStr">
        <is>
          <t>xe-0/0/10</t>
        </is>
      </c>
      <c r="C924" t="inlineStr">
        <is>
          <t>10G SFP+</t>
        </is>
      </c>
      <c r="D924" t="n">
        <v>10000</v>
      </c>
      <c r="E924" t="inlineStr">
        <is>
          <t>admin-down</t>
        </is>
      </c>
    </row>
    <row r="925">
      <c r="A925" t="inlineStr">
        <is>
          <t>MH-DC-002-PE-T4-02</t>
        </is>
      </c>
      <c r="B925" t="inlineStr">
        <is>
          <t>xe-0/0/11</t>
        </is>
      </c>
      <c r="C925" t="inlineStr">
        <is>
          <t>10G SFP+</t>
        </is>
      </c>
      <c r="D925" t="n">
        <v>10000</v>
      </c>
      <c r="E925" t="inlineStr">
        <is>
          <t>admin-down</t>
        </is>
      </c>
    </row>
    <row r="926">
      <c r="A926" t="inlineStr">
        <is>
          <t>MH-DC-002-PE-T4-02</t>
        </is>
      </c>
      <c r="B926" t="inlineStr">
        <is>
          <t>et-0/1/0</t>
        </is>
      </c>
      <c r="C926" t="inlineStr">
        <is>
          <t>100G QSFP28</t>
        </is>
      </c>
      <c r="D926" t="n">
        <v>100000</v>
      </c>
      <c r="E926" t="inlineStr">
        <is>
          <t>up</t>
        </is>
      </c>
      <c r="F926" t="inlineStr">
        <is>
          <t>Fabric to MH-DC-002-PE-T4-01</t>
        </is>
      </c>
      <c r="G926" t="inlineStr">
        <is>
          <t>QSFP28-100G-LR4</t>
        </is>
      </c>
    </row>
    <row r="927">
      <c r="A927" t="inlineStr">
        <is>
          <t>MH-DC-002-PE-T4-02</t>
        </is>
      </c>
      <c r="B927" t="inlineStr">
        <is>
          <t>et-0/1/1</t>
        </is>
      </c>
      <c r="C927" t="inlineStr">
        <is>
          <t>100G QSFP28</t>
        </is>
      </c>
      <c r="D927" t="n">
        <v>100000</v>
      </c>
      <c r="E927" t="inlineStr">
        <is>
          <t>up</t>
        </is>
      </c>
      <c r="F927" t="inlineStr">
        <is>
          <t>Fabric to MH-DC-002-PE-T4-03</t>
        </is>
      </c>
      <c r="G927" t="inlineStr">
        <is>
          <t>QSFP28-100G-LR4</t>
        </is>
      </c>
    </row>
    <row r="928">
      <c r="A928" t="inlineStr">
        <is>
          <t>MH-DC-002-PE-T4-02</t>
        </is>
      </c>
      <c r="B928" t="inlineStr">
        <is>
          <t>et-0/1/2</t>
        </is>
      </c>
      <c r="C928" t="inlineStr">
        <is>
          <t>100G QSFP28</t>
        </is>
      </c>
      <c r="D928" t="n">
        <v>100000</v>
      </c>
      <c r="E928" t="inlineStr">
        <is>
          <t>up</t>
        </is>
      </c>
      <c r="F928" t="inlineStr">
        <is>
          <t>Fabric to MH-DC-002-PE-T4-04</t>
        </is>
      </c>
      <c r="G928" t="inlineStr">
        <is>
          <t>QSFP28-100G-LR4</t>
        </is>
      </c>
    </row>
    <row r="929">
      <c r="A929" t="inlineStr">
        <is>
          <t>MH-DC-002-PE-T4-02</t>
        </is>
      </c>
      <c r="B929" t="inlineStr">
        <is>
          <t>et-0/1/3</t>
        </is>
      </c>
      <c r="C929" t="inlineStr">
        <is>
          <t>100G QSFP28</t>
        </is>
      </c>
      <c r="D929" t="n">
        <v>100000</v>
      </c>
      <c r="E929" t="inlineStr">
        <is>
          <t>admin-down</t>
        </is>
      </c>
    </row>
    <row r="930">
      <c r="A930" t="inlineStr">
        <is>
          <t>MH-DC-002-PE-T4-02</t>
        </is>
      </c>
      <c r="B930" t="inlineStr">
        <is>
          <t>ge-0/2/0</t>
        </is>
      </c>
      <c r="C930" t="inlineStr">
        <is>
          <t>1G copper</t>
        </is>
      </c>
      <c r="D930" t="n">
        <v>1000</v>
      </c>
      <c r="E930" t="inlineStr">
        <is>
          <t>admin-down</t>
        </is>
      </c>
    </row>
    <row r="931">
      <c r="A931" t="inlineStr">
        <is>
          <t>MH-DC-002-PE-T4-02</t>
        </is>
      </c>
      <c r="B931" t="inlineStr">
        <is>
          <t>ge-0/2/1</t>
        </is>
      </c>
      <c r="C931" t="inlineStr">
        <is>
          <t>1G copper</t>
        </is>
      </c>
      <c r="D931" t="n">
        <v>1000</v>
      </c>
      <c r="E931" t="inlineStr">
        <is>
          <t>reserved</t>
        </is>
      </c>
    </row>
    <row r="932">
      <c r="A932" t="inlineStr">
        <is>
          <t>MH-DC-002-PE-T4-02</t>
        </is>
      </c>
      <c r="B932" t="inlineStr">
        <is>
          <t>ge-0/2/2</t>
        </is>
      </c>
      <c r="C932" t="inlineStr">
        <is>
          <t>1G copper</t>
        </is>
      </c>
      <c r="D932" t="n">
        <v>1000</v>
      </c>
      <c r="E932" t="inlineStr">
        <is>
          <t>admin-down</t>
        </is>
      </c>
    </row>
    <row r="933">
      <c r="A933" t="inlineStr">
        <is>
          <t>MH-DC-002-PE-T4-02</t>
        </is>
      </c>
      <c r="B933" t="inlineStr">
        <is>
          <t>ge-0/2/3</t>
        </is>
      </c>
      <c r="C933" t="inlineStr">
        <is>
          <t>1G copper</t>
        </is>
      </c>
      <c r="D933" t="n">
        <v>1000</v>
      </c>
      <c r="E933" t="inlineStr">
        <is>
          <t>reserved</t>
        </is>
      </c>
    </row>
    <row r="934">
      <c r="A934" t="inlineStr">
        <is>
          <t>MH-DC-002-PE-T4-02</t>
        </is>
      </c>
      <c r="B934" t="inlineStr">
        <is>
          <t>ge-0/2/4</t>
        </is>
      </c>
      <c r="C934" t="inlineStr">
        <is>
          <t>1G copper</t>
        </is>
      </c>
      <c r="D934" t="n">
        <v>1000</v>
      </c>
      <c r="E934" t="inlineStr">
        <is>
          <t>admin-down</t>
        </is>
      </c>
    </row>
    <row r="935">
      <c r="A935" t="inlineStr">
        <is>
          <t>MH-DC-002-PE-T4-02</t>
        </is>
      </c>
      <c r="B935" t="inlineStr">
        <is>
          <t>ge-0/2/5</t>
        </is>
      </c>
      <c r="C935" t="inlineStr">
        <is>
          <t>1G copper</t>
        </is>
      </c>
      <c r="D935" t="n">
        <v>1000</v>
      </c>
      <c r="E935" t="inlineStr">
        <is>
          <t>admin-down</t>
        </is>
      </c>
    </row>
    <row r="936">
      <c r="A936" t="inlineStr">
        <is>
          <t>MH-DC-002-PE-T4-02</t>
        </is>
      </c>
      <c r="B936" t="inlineStr">
        <is>
          <t>ge-0/2/6</t>
        </is>
      </c>
      <c r="C936" t="inlineStr">
        <is>
          <t>1G copper</t>
        </is>
      </c>
      <c r="D936" t="n">
        <v>1000</v>
      </c>
      <c r="E936" t="inlineStr">
        <is>
          <t>admin-down</t>
        </is>
      </c>
    </row>
    <row r="937">
      <c r="A937" t="inlineStr">
        <is>
          <t>MH-DC-002-PE-T4-02</t>
        </is>
      </c>
      <c r="B937" t="inlineStr">
        <is>
          <t>ge-0/2/7</t>
        </is>
      </c>
      <c r="C937" t="inlineStr">
        <is>
          <t>1G copper</t>
        </is>
      </c>
      <c r="D937" t="n">
        <v>1000</v>
      </c>
      <c r="E937" t="inlineStr">
        <is>
          <t>admin-down</t>
        </is>
      </c>
    </row>
    <row r="938">
      <c r="A938" t="inlineStr">
        <is>
          <t>MH-DC-002-PE-T4-02</t>
        </is>
      </c>
      <c r="B938" t="inlineStr">
        <is>
          <t>ge-0/2/8</t>
        </is>
      </c>
      <c r="C938" t="inlineStr">
        <is>
          <t>1G copper</t>
        </is>
      </c>
      <c r="D938" t="n">
        <v>1000</v>
      </c>
      <c r="E938" t="inlineStr">
        <is>
          <t>admin-down</t>
        </is>
      </c>
    </row>
    <row r="939">
      <c r="A939" t="inlineStr">
        <is>
          <t>MH-DC-002-PE-T4-02</t>
        </is>
      </c>
      <c r="B939" t="inlineStr">
        <is>
          <t>ge-0/2/9</t>
        </is>
      </c>
      <c r="C939" t="inlineStr">
        <is>
          <t>1G copper</t>
        </is>
      </c>
      <c r="D939" t="n">
        <v>1000</v>
      </c>
      <c r="E939" t="inlineStr">
        <is>
          <t>admin-down</t>
        </is>
      </c>
    </row>
    <row r="940">
      <c r="A940" t="inlineStr">
        <is>
          <t>MH-DC-002-PE-T4-02</t>
        </is>
      </c>
      <c r="B940" t="inlineStr">
        <is>
          <t>ge-0/2/10</t>
        </is>
      </c>
      <c r="C940" t="inlineStr">
        <is>
          <t>1G copper</t>
        </is>
      </c>
      <c r="D940" t="n">
        <v>1000</v>
      </c>
      <c r="E940" t="inlineStr">
        <is>
          <t>admin-down</t>
        </is>
      </c>
    </row>
    <row r="941">
      <c r="A941" t="inlineStr">
        <is>
          <t>MH-DC-002-PE-T4-02</t>
        </is>
      </c>
      <c r="B941" t="inlineStr">
        <is>
          <t>ge-0/2/11</t>
        </is>
      </c>
      <c r="C941" t="inlineStr">
        <is>
          <t>1G copper</t>
        </is>
      </c>
      <c r="D941" t="n">
        <v>1000</v>
      </c>
      <c r="E941" t="inlineStr">
        <is>
          <t>admin-down</t>
        </is>
      </c>
    </row>
    <row r="942">
      <c r="A942" t="inlineStr">
        <is>
          <t>MH-DC-002-PE-T4-02</t>
        </is>
      </c>
      <c r="B942" t="inlineStr">
        <is>
          <t>ge-0/2/12</t>
        </is>
      </c>
      <c r="C942" t="inlineStr">
        <is>
          <t>1G copper</t>
        </is>
      </c>
      <c r="D942" t="n">
        <v>1000</v>
      </c>
      <c r="E942" t="inlineStr">
        <is>
          <t>reserved</t>
        </is>
      </c>
    </row>
    <row r="943">
      <c r="A943" t="inlineStr">
        <is>
          <t>MH-DC-002-PE-T4-02</t>
        </is>
      </c>
      <c r="B943" t="inlineStr">
        <is>
          <t>ge-0/2/13</t>
        </is>
      </c>
      <c r="C943" t="inlineStr">
        <is>
          <t>1G copper</t>
        </is>
      </c>
      <c r="D943" t="n">
        <v>1000</v>
      </c>
      <c r="E943" t="inlineStr">
        <is>
          <t>admin-down</t>
        </is>
      </c>
    </row>
    <row r="944">
      <c r="A944" t="inlineStr">
        <is>
          <t>MH-DC-002-PE-T4-02</t>
        </is>
      </c>
      <c r="B944" t="inlineStr">
        <is>
          <t>ge-0/2/14</t>
        </is>
      </c>
      <c r="C944" t="inlineStr">
        <is>
          <t>1G copper</t>
        </is>
      </c>
      <c r="D944" t="n">
        <v>1000</v>
      </c>
      <c r="E944" t="inlineStr">
        <is>
          <t>admin-down</t>
        </is>
      </c>
    </row>
    <row r="945">
      <c r="A945" t="inlineStr">
        <is>
          <t>MH-DC-002-PE-T4-02</t>
        </is>
      </c>
      <c r="B945" t="inlineStr">
        <is>
          <t>ge-0/2/15</t>
        </is>
      </c>
      <c r="C945" t="inlineStr">
        <is>
          <t>1G copper</t>
        </is>
      </c>
      <c r="D945" t="n">
        <v>1000</v>
      </c>
      <c r="E945" t="inlineStr">
        <is>
          <t>admin-down</t>
        </is>
      </c>
    </row>
    <row r="946">
      <c r="A946" t="inlineStr">
        <is>
          <t>MH-DC-002-PE-T4-03</t>
        </is>
      </c>
      <c r="B946" t="inlineStr">
        <is>
          <t>Te0/0/0/0</t>
        </is>
      </c>
      <c r="C946" t="inlineStr">
        <is>
          <t>10G SFP+</t>
        </is>
      </c>
      <c r="D946" t="n">
        <v>10000</v>
      </c>
      <c r="E946" t="inlineStr">
        <is>
          <t>admin-down</t>
        </is>
      </c>
    </row>
    <row r="947">
      <c r="A947" t="inlineStr">
        <is>
          <t>MH-DC-002-PE-T4-03</t>
        </is>
      </c>
      <c r="B947" t="inlineStr">
        <is>
          <t>Te0/0/0/1</t>
        </is>
      </c>
      <c r="C947" t="inlineStr">
        <is>
          <t>10G SFP+</t>
        </is>
      </c>
      <c r="D947" t="n">
        <v>10000</v>
      </c>
      <c r="E947" t="inlineStr">
        <is>
          <t>up</t>
        </is>
      </c>
      <c r="F947" t="inlineStr">
        <is>
          <t>Backhaul to DL-DC-009</t>
        </is>
      </c>
      <c r="G947" t="inlineStr">
        <is>
          <t>SFP-10G-LR</t>
        </is>
      </c>
    </row>
    <row r="948">
      <c r="A948" t="inlineStr">
        <is>
          <t>MH-DC-002-PE-T4-03</t>
        </is>
      </c>
      <c r="B948" t="inlineStr">
        <is>
          <t>Te0/0/0/2</t>
        </is>
      </c>
      <c r="C948" t="inlineStr">
        <is>
          <t>10G SFP+</t>
        </is>
      </c>
      <c r="D948" t="n">
        <v>10000</v>
      </c>
      <c r="E948" t="inlineStr">
        <is>
          <t>up</t>
        </is>
      </c>
      <c r="F948" t="inlineStr">
        <is>
          <t>Backhaul to DL-DC-009</t>
        </is>
      </c>
      <c r="G948" t="inlineStr">
        <is>
          <t>SFP-10G-LR</t>
        </is>
      </c>
    </row>
    <row r="949">
      <c r="A949" t="inlineStr">
        <is>
          <t>MH-DC-002-PE-T4-03</t>
        </is>
      </c>
      <c r="B949" t="inlineStr">
        <is>
          <t>Te0/0/0/3</t>
        </is>
      </c>
      <c r="C949" t="inlineStr">
        <is>
          <t>10G SFP+</t>
        </is>
      </c>
      <c r="D949" t="n">
        <v>10000</v>
      </c>
      <c r="E949" t="inlineStr">
        <is>
          <t>up</t>
        </is>
      </c>
      <c r="F949" t="inlineStr">
        <is>
          <t>Backhaul to TN-DC-022</t>
        </is>
      </c>
      <c r="G949" t="inlineStr">
        <is>
          <t>SFP-10G-LR</t>
        </is>
      </c>
    </row>
    <row r="950">
      <c r="A950" t="inlineStr">
        <is>
          <t>MH-DC-002-PE-T4-03</t>
        </is>
      </c>
      <c r="B950" t="inlineStr">
        <is>
          <t>Te0/0/0/4</t>
        </is>
      </c>
      <c r="C950" t="inlineStr">
        <is>
          <t>10G SFP+</t>
        </is>
      </c>
      <c r="D950" t="n">
        <v>10000</v>
      </c>
      <c r="E950" t="inlineStr">
        <is>
          <t>up</t>
        </is>
      </c>
      <c r="F950" t="inlineStr">
        <is>
          <t>Backhaul to UP-DC-006</t>
        </is>
      </c>
      <c r="G950" t="inlineStr">
        <is>
          <t>SFP-10G-LR</t>
        </is>
      </c>
    </row>
    <row r="951">
      <c r="A951" t="inlineStr">
        <is>
          <t>MH-DC-002-PE-T4-03</t>
        </is>
      </c>
      <c r="B951" t="inlineStr">
        <is>
          <t>Te0/0/0/5</t>
        </is>
      </c>
      <c r="C951" t="inlineStr">
        <is>
          <t>10G SFP+</t>
        </is>
      </c>
      <c r="D951" t="n">
        <v>10000</v>
      </c>
      <c r="E951" t="inlineStr">
        <is>
          <t>up</t>
        </is>
      </c>
      <c r="F951" t="inlineStr">
        <is>
          <t>Backhaul to UP-DC-007</t>
        </is>
      </c>
      <c r="G951" t="inlineStr">
        <is>
          <t>SFP-10G-LR</t>
        </is>
      </c>
    </row>
    <row r="952">
      <c r="A952" t="inlineStr">
        <is>
          <t>MH-DC-002-PE-T4-03</t>
        </is>
      </c>
      <c r="B952" t="inlineStr">
        <is>
          <t>Te0/0/0/6</t>
        </is>
      </c>
      <c r="C952" t="inlineStr">
        <is>
          <t>10G SFP+</t>
        </is>
      </c>
      <c r="D952" t="n">
        <v>10000</v>
      </c>
      <c r="E952" t="inlineStr">
        <is>
          <t>up</t>
        </is>
      </c>
      <c r="F952" t="inlineStr">
        <is>
          <t>Uplink to MH-DC-002-AGG-R02</t>
        </is>
      </c>
      <c r="G952" t="inlineStr">
        <is>
          <t>SFP-10G-LR</t>
        </is>
      </c>
    </row>
    <row r="953">
      <c r="A953" t="inlineStr">
        <is>
          <t>MH-DC-002-PE-T4-03</t>
        </is>
      </c>
      <c r="B953" t="inlineStr">
        <is>
          <t>Te0/0/0/7</t>
        </is>
      </c>
      <c r="C953" t="inlineStr">
        <is>
          <t>10G SFP+</t>
        </is>
      </c>
      <c r="D953" t="n">
        <v>10000</v>
      </c>
      <c r="E953" t="inlineStr">
        <is>
          <t>admin-down</t>
        </is>
      </c>
    </row>
    <row r="954">
      <c r="A954" t="inlineStr">
        <is>
          <t>MH-DC-002-PE-T4-03</t>
        </is>
      </c>
      <c r="B954" t="inlineStr">
        <is>
          <t>Te0/0/0/8</t>
        </is>
      </c>
      <c r="C954" t="inlineStr">
        <is>
          <t>10G SFP+</t>
        </is>
      </c>
      <c r="D954" t="n">
        <v>10000</v>
      </c>
      <c r="E954" t="inlineStr">
        <is>
          <t>admin-down</t>
        </is>
      </c>
    </row>
    <row r="955">
      <c r="A955" t="inlineStr">
        <is>
          <t>MH-DC-002-PE-T4-03</t>
        </is>
      </c>
      <c r="B955" t="inlineStr">
        <is>
          <t>Te0/0/0/9</t>
        </is>
      </c>
      <c r="C955" t="inlineStr">
        <is>
          <t>10G SFP+</t>
        </is>
      </c>
      <c r="D955" t="n">
        <v>10000</v>
      </c>
      <c r="E955" t="inlineStr">
        <is>
          <t>admin-down</t>
        </is>
      </c>
    </row>
    <row r="956">
      <c r="A956" t="inlineStr">
        <is>
          <t>MH-DC-002-PE-T4-03</t>
        </is>
      </c>
      <c r="B956" t="inlineStr">
        <is>
          <t>Te0/0/0/10</t>
        </is>
      </c>
      <c r="C956" t="inlineStr">
        <is>
          <t>10G SFP+</t>
        </is>
      </c>
      <c r="D956" t="n">
        <v>10000</v>
      </c>
      <c r="E956" t="inlineStr">
        <is>
          <t>admin-down</t>
        </is>
      </c>
    </row>
    <row r="957">
      <c r="A957" t="inlineStr">
        <is>
          <t>MH-DC-002-PE-T4-03</t>
        </is>
      </c>
      <c r="B957" t="inlineStr">
        <is>
          <t>Te0/0/0/11</t>
        </is>
      </c>
      <c r="C957" t="inlineStr">
        <is>
          <t>10G SFP+</t>
        </is>
      </c>
      <c r="D957" t="n">
        <v>10000</v>
      </c>
      <c r="E957" t="inlineStr">
        <is>
          <t>admin-down</t>
        </is>
      </c>
    </row>
    <row r="958">
      <c r="A958" t="inlineStr">
        <is>
          <t>MH-DC-002-PE-T4-03</t>
        </is>
      </c>
      <c r="B958" t="inlineStr">
        <is>
          <t>Hu0/0/1/0</t>
        </is>
      </c>
      <c r="C958" t="inlineStr">
        <is>
          <t>100G QSFP28</t>
        </is>
      </c>
      <c r="D958" t="n">
        <v>100000</v>
      </c>
      <c r="E958" t="inlineStr">
        <is>
          <t>up</t>
        </is>
      </c>
      <c r="F958" t="inlineStr">
        <is>
          <t>Fabric to MH-DC-002-PE-T4-01</t>
        </is>
      </c>
      <c r="G958" t="inlineStr">
        <is>
          <t>QSFP28-100G-LR4</t>
        </is>
      </c>
    </row>
    <row r="959">
      <c r="A959" t="inlineStr">
        <is>
          <t>MH-DC-002-PE-T4-03</t>
        </is>
      </c>
      <c r="B959" t="inlineStr">
        <is>
          <t>Hu0/0/1/1</t>
        </is>
      </c>
      <c r="C959" t="inlineStr">
        <is>
          <t>100G QSFP28</t>
        </is>
      </c>
      <c r="D959" t="n">
        <v>100000</v>
      </c>
      <c r="E959" t="inlineStr">
        <is>
          <t>up</t>
        </is>
      </c>
      <c r="F959" t="inlineStr">
        <is>
          <t>Fabric to MH-DC-002-PE-T4-02</t>
        </is>
      </c>
      <c r="G959" t="inlineStr">
        <is>
          <t>QSFP28-100G-LR4</t>
        </is>
      </c>
    </row>
    <row r="960">
      <c r="A960" t="inlineStr">
        <is>
          <t>MH-DC-002-PE-T4-03</t>
        </is>
      </c>
      <c r="B960" t="inlineStr">
        <is>
          <t>Hu0/0/1/2</t>
        </is>
      </c>
      <c r="C960" t="inlineStr">
        <is>
          <t>100G QSFP28</t>
        </is>
      </c>
      <c r="D960" t="n">
        <v>100000</v>
      </c>
      <c r="E960" t="inlineStr">
        <is>
          <t>up</t>
        </is>
      </c>
      <c r="F960" t="inlineStr">
        <is>
          <t>Fabric to MH-DC-002-PE-T4-04</t>
        </is>
      </c>
      <c r="G960" t="inlineStr">
        <is>
          <t>QSFP28-100G-LR4</t>
        </is>
      </c>
    </row>
    <row r="961">
      <c r="A961" t="inlineStr">
        <is>
          <t>MH-DC-002-PE-T4-03</t>
        </is>
      </c>
      <c r="B961" t="inlineStr">
        <is>
          <t>Hu0/0/1/3</t>
        </is>
      </c>
      <c r="C961" t="inlineStr">
        <is>
          <t>100G QSFP28</t>
        </is>
      </c>
      <c r="D961" t="n">
        <v>100000</v>
      </c>
      <c r="E961" t="inlineStr">
        <is>
          <t>admin-down</t>
        </is>
      </c>
    </row>
    <row r="962">
      <c r="A962" t="inlineStr">
        <is>
          <t>MH-DC-002-PE-T4-03</t>
        </is>
      </c>
      <c r="B962" t="inlineStr">
        <is>
          <t>Gi0/0/2/0</t>
        </is>
      </c>
      <c r="C962" t="inlineStr">
        <is>
          <t>1G copper</t>
        </is>
      </c>
      <c r="D962" t="n">
        <v>1000</v>
      </c>
      <c r="E962" t="inlineStr">
        <is>
          <t>admin-down</t>
        </is>
      </c>
    </row>
    <row r="963">
      <c r="A963" t="inlineStr">
        <is>
          <t>MH-DC-002-PE-T4-03</t>
        </is>
      </c>
      <c r="B963" t="inlineStr">
        <is>
          <t>Gi0/0/2/1</t>
        </is>
      </c>
      <c r="C963" t="inlineStr">
        <is>
          <t>1G copper</t>
        </is>
      </c>
      <c r="D963" t="n">
        <v>1000</v>
      </c>
      <c r="E963" t="inlineStr">
        <is>
          <t>admin-down</t>
        </is>
      </c>
    </row>
    <row r="964">
      <c r="A964" t="inlineStr">
        <is>
          <t>MH-DC-002-PE-T4-03</t>
        </is>
      </c>
      <c r="B964" t="inlineStr">
        <is>
          <t>Gi0/0/2/2</t>
        </is>
      </c>
      <c r="C964" t="inlineStr">
        <is>
          <t>1G copper</t>
        </is>
      </c>
      <c r="D964" t="n">
        <v>1000</v>
      </c>
      <c r="E964" t="inlineStr">
        <is>
          <t>admin-down</t>
        </is>
      </c>
    </row>
    <row r="965">
      <c r="A965" t="inlineStr">
        <is>
          <t>MH-DC-002-PE-T4-03</t>
        </is>
      </c>
      <c r="B965" t="inlineStr">
        <is>
          <t>Gi0/0/2/3</t>
        </is>
      </c>
      <c r="C965" t="inlineStr">
        <is>
          <t>1G copper</t>
        </is>
      </c>
      <c r="D965" t="n">
        <v>1000</v>
      </c>
      <c r="E965" t="inlineStr">
        <is>
          <t>admin-down</t>
        </is>
      </c>
    </row>
    <row r="966">
      <c r="A966" t="inlineStr">
        <is>
          <t>MH-DC-002-PE-T4-03</t>
        </is>
      </c>
      <c r="B966" t="inlineStr">
        <is>
          <t>Gi0/0/2/4</t>
        </is>
      </c>
      <c r="C966" t="inlineStr">
        <is>
          <t>1G copper</t>
        </is>
      </c>
      <c r="D966" t="n">
        <v>1000</v>
      </c>
      <c r="E966" t="inlineStr">
        <is>
          <t>admin-down</t>
        </is>
      </c>
    </row>
    <row r="967">
      <c r="A967" t="inlineStr">
        <is>
          <t>MH-DC-002-PE-T4-03</t>
        </is>
      </c>
      <c r="B967" t="inlineStr">
        <is>
          <t>Gi0/0/2/5</t>
        </is>
      </c>
      <c r="C967" t="inlineStr">
        <is>
          <t>1G copper</t>
        </is>
      </c>
      <c r="D967" t="n">
        <v>1000</v>
      </c>
      <c r="E967" t="inlineStr">
        <is>
          <t>admin-down</t>
        </is>
      </c>
    </row>
    <row r="968">
      <c r="A968" t="inlineStr">
        <is>
          <t>MH-DC-002-PE-T4-03</t>
        </is>
      </c>
      <c r="B968" t="inlineStr">
        <is>
          <t>Gi0/0/2/6</t>
        </is>
      </c>
      <c r="C968" t="inlineStr">
        <is>
          <t>1G copper</t>
        </is>
      </c>
      <c r="D968" t="n">
        <v>1000</v>
      </c>
      <c r="E968" t="inlineStr">
        <is>
          <t>admin-down</t>
        </is>
      </c>
    </row>
    <row r="969">
      <c r="A969" t="inlineStr">
        <is>
          <t>MH-DC-002-PE-T4-03</t>
        </is>
      </c>
      <c r="B969" t="inlineStr">
        <is>
          <t>Gi0/0/2/7</t>
        </is>
      </c>
      <c r="C969" t="inlineStr">
        <is>
          <t>1G copper</t>
        </is>
      </c>
      <c r="D969" t="n">
        <v>1000</v>
      </c>
      <c r="E969" t="inlineStr">
        <is>
          <t>admin-down</t>
        </is>
      </c>
    </row>
    <row r="970">
      <c r="A970" t="inlineStr">
        <is>
          <t>MH-DC-002-PE-T4-03</t>
        </is>
      </c>
      <c r="B970" t="inlineStr">
        <is>
          <t>Gi0/0/2/8</t>
        </is>
      </c>
      <c r="C970" t="inlineStr">
        <is>
          <t>1G copper</t>
        </is>
      </c>
      <c r="D970" t="n">
        <v>1000</v>
      </c>
      <c r="E970" t="inlineStr">
        <is>
          <t>admin-down</t>
        </is>
      </c>
    </row>
    <row r="971">
      <c r="A971" t="inlineStr">
        <is>
          <t>MH-DC-002-PE-T4-03</t>
        </is>
      </c>
      <c r="B971" t="inlineStr">
        <is>
          <t>Gi0/0/2/9</t>
        </is>
      </c>
      <c r="C971" t="inlineStr">
        <is>
          <t>1G copper</t>
        </is>
      </c>
      <c r="D971" t="n">
        <v>1000</v>
      </c>
      <c r="E971" t="inlineStr">
        <is>
          <t>admin-down</t>
        </is>
      </c>
    </row>
    <row r="972">
      <c r="A972" t="inlineStr">
        <is>
          <t>MH-DC-002-PE-T4-03</t>
        </is>
      </c>
      <c r="B972" t="inlineStr">
        <is>
          <t>Gi0/0/2/10</t>
        </is>
      </c>
      <c r="C972" t="inlineStr">
        <is>
          <t>1G copper</t>
        </is>
      </c>
      <c r="D972" t="n">
        <v>1000</v>
      </c>
      <c r="E972" t="inlineStr">
        <is>
          <t>admin-down</t>
        </is>
      </c>
    </row>
    <row r="973">
      <c r="A973" t="inlineStr">
        <is>
          <t>MH-DC-002-PE-T4-03</t>
        </is>
      </c>
      <c r="B973" t="inlineStr">
        <is>
          <t>Gi0/0/2/11</t>
        </is>
      </c>
      <c r="C973" t="inlineStr">
        <is>
          <t>1G copper</t>
        </is>
      </c>
      <c r="D973" t="n">
        <v>1000</v>
      </c>
      <c r="E973" t="inlineStr">
        <is>
          <t>admin-down</t>
        </is>
      </c>
    </row>
    <row r="974">
      <c r="A974" t="inlineStr">
        <is>
          <t>MH-DC-002-PE-T4-03</t>
        </is>
      </c>
      <c r="B974" t="inlineStr">
        <is>
          <t>Gi0/0/2/12</t>
        </is>
      </c>
      <c r="C974" t="inlineStr">
        <is>
          <t>1G copper</t>
        </is>
      </c>
      <c r="D974" t="n">
        <v>1000</v>
      </c>
      <c r="E974" t="inlineStr">
        <is>
          <t>admin-down</t>
        </is>
      </c>
    </row>
    <row r="975">
      <c r="A975" t="inlineStr">
        <is>
          <t>MH-DC-002-PE-T4-03</t>
        </is>
      </c>
      <c r="B975" t="inlineStr">
        <is>
          <t>Gi0/0/2/13</t>
        </is>
      </c>
      <c r="C975" t="inlineStr">
        <is>
          <t>1G copper</t>
        </is>
      </c>
      <c r="D975" t="n">
        <v>1000</v>
      </c>
      <c r="E975" t="inlineStr">
        <is>
          <t>admin-down</t>
        </is>
      </c>
    </row>
    <row r="976">
      <c r="A976" t="inlineStr">
        <is>
          <t>MH-DC-002-PE-T4-03</t>
        </is>
      </c>
      <c r="B976" t="inlineStr">
        <is>
          <t>Gi0/0/2/14</t>
        </is>
      </c>
      <c r="C976" t="inlineStr">
        <is>
          <t>1G copper</t>
        </is>
      </c>
      <c r="D976" t="n">
        <v>1000</v>
      </c>
      <c r="E976" t="inlineStr">
        <is>
          <t>admin-down</t>
        </is>
      </c>
    </row>
    <row r="977">
      <c r="A977" t="inlineStr">
        <is>
          <t>MH-DC-002-PE-T4-03</t>
        </is>
      </c>
      <c r="B977" t="inlineStr">
        <is>
          <t>Gi0/0/2/15</t>
        </is>
      </c>
      <c r="C977" t="inlineStr">
        <is>
          <t>1G copper</t>
        </is>
      </c>
      <c r="D977" t="n">
        <v>1000</v>
      </c>
      <c r="E977" t="inlineStr">
        <is>
          <t>admin-down</t>
        </is>
      </c>
    </row>
    <row r="978">
      <c r="A978" t="inlineStr">
        <is>
          <t>MH-DC-002-PE-T4-04</t>
        </is>
      </c>
      <c r="B978" t="inlineStr">
        <is>
          <t>Te0/0/0/0</t>
        </is>
      </c>
      <c r="C978" t="inlineStr">
        <is>
          <t>10G SFP+</t>
        </is>
      </c>
      <c r="D978" t="n">
        <v>10000</v>
      </c>
      <c r="E978" t="inlineStr">
        <is>
          <t>admin-down</t>
        </is>
      </c>
    </row>
    <row r="979">
      <c r="A979" t="inlineStr">
        <is>
          <t>MH-DC-002-PE-T4-04</t>
        </is>
      </c>
      <c r="B979" t="inlineStr">
        <is>
          <t>Te0/0/0/1</t>
        </is>
      </c>
      <c r="C979" t="inlineStr">
        <is>
          <t>10G SFP+</t>
        </is>
      </c>
      <c r="D979" t="n">
        <v>10000</v>
      </c>
      <c r="E979" t="inlineStr">
        <is>
          <t>up</t>
        </is>
      </c>
      <c r="F979" t="inlineStr">
        <is>
          <t>Backhaul to KA-DC-008</t>
        </is>
      </c>
      <c r="G979" t="inlineStr">
        <is>
          <t>SFP-10G-LR</t>
        </is>
      </c>
    </row>
    <row r="980">
      <c r="A980" t="inlineStr">
        <is>
          <t>MH-DC-002-PE-T4-04</t>
        </is>
      </c>
      <c r="B980" t="inlineStr">
        <is>
          <t>Te0/0/0/2</t>
        </is>
      </c>
      <c r="C980" t="inlineStr">
        <is>
          <t>10G SFP+</t>
        </is>
      </c>
      <c r="D980" t="n">
        <v>10000</v>
      </c>
      <c r="E980" t="inlineStr">
        <is>
          <t>up</t>
        </is>
      </c>
      <c r="F980" t="inlineStr">
        <is>
          <t>Backhaul to RJ-DC-015</t>
        </is>
      </c>
      <c r="G980" t="inlineStr">
        <is>
          <t>SFP-10G-LR</t>
        </is>
      </c>
    </row>
    <row r="981">
      <c r="A981" t="inlineStr">
        <is>
          <t>MH-DC-002-PE-T4-04</t>
        </is>
      </c>
      <c r="B981" t="inlineStr">
        <is>
          <t>Te0/0/0/3</t>
        </is>
      </c>
      <c r="C981" t="inlineStr">
        <is>
          <t>10G SFP+</t>
        </is>
      </c>
      <c r="D981" t="n">
        <v>10000</v>
      </c>
      <c r="E981" t="inlineStr">
        <is>
          <t>up</t>
        </is>
      </c>
      <c r="F981" t="inlineStr">
        <is>
          <t>Backhaul to KA-DC-020</t>
        </is>
      </c>
      <c r="G981" t="inlineStr">
        <is>
          <t>SFP-10G-LR</t>
        </is>
      </c>
    </row>
    <row r="982">
      <c r="A982" t="inlineStr">
        <is>
          <t>MH-DC-002-PE-T4-04</t>
        </is>
      </c>
      <c r="B982" t="inlineStr">
        <is>
          <t>Te0/0/0/4</t>
        </is>
      </c>
      <c r="C982" t="inlineStr">
        <is>
          <t>10G SFP+</t>
        </is>
      </c>
      <c r="D982" t="n">
        <v>10000</v>
      </c>
      <c r="E982" t="inlineStr">
        <is>
          <t>up</t>
        </is>
      </c>
      <c r="F982" t="inlineStr">
        <is>
          <t>Backhaul to KA-DC-008</t>
        </is>
      </c>
      <c r="G982" t="inlineStr">
        <is>
          <t>SFP-10G-LR</t>
        </is>
      </c>
    </row>
    <row r="983">
      <c r="A983" t="inlineStr">
        <is>
          <t>MH-DC-002-PE-T4-04</t>
        </is>
      </c>
      <c r="B983" t="inlineStr">
        <is>
          <t>Te0/0/0/5</t>
        </is>
      </c>
      <c r="C983" t="inlineStr">
        <is>
          <t>10G SFP+</t>
        </is>
      </c>
      <c r="D983" t="n">
        <v>10000</v>
      </c>
      <c r="E983" t="inlineStr">
        <is>
          <t>up</t>
        </is>
      </c>
      <c r="F983" t="inlineStr">
        <is>
          <t>Backhaul to TN-DC-022</t>
        </is>
      </c>
      <c r="G983" t="inlineStr">
        <is>
          <t>SFP-10G-LR</t>
        </is>
      </c>
    </row>
    <row r="984">
      <c r="A984" t="inlineStr">
        <is>
          <t>MH-DC-002-PE-T4-04</t>
        </is>
      </c>
      <c r="B984" t="inlineStr">
        <is>
          <t>Te0/0/0/6</t>
        </is>
      </c>
      <c r="C984" t="inlineStr">
        <is>
          <t>10G SFP+</t>
        </is>
      </c>
      <c r="D984" t="n">
        <v>10000</v>
      </c>
      <c r="E984" t="inlineStr">
        <is>
          <t>admin-down</t>
        </is>
      </c>
    </row>
    <row r="985">
      <c r="A985" t="inlineStr">
        <is>
          <t>MH-DC-002-PE-T4-04</t>
        </is>
      </c>
      <c r="B985" t="inlineStr">
        <is>
          <t>Te0/0/0/7</t>
        </is>
      </c>
      <c r="C985" t="inlineStr">
        <is>
          <t>10G SFP+</t>
        </is>
      </c>
      <c r="D985" t="n">
        <v>10000</v>
      </c>
      <c r="E985" t="inlineStr">
        <is>
          <t>admin-down</t>
        </is>
      </c>
    </row>
    <row r="986">
      <c r="A986" t="inlineStr">
        <is>
          <t>MH-DC-002-PE-T4-04</t>
        </is>
      </c>
      <c r="B986" t="inlineStr">
        <is>
          <t>Te0/0/0/8</t>
        </is>
      </c>
      <c r="C986" t="inlineStr">
        <is>
          <t>10G SFP+</t>
        </is>
      </c>
      <c r="D986" t="n">
        <v>10000</v>
      </c>
      <c r="E986" t="inlineStr">
        <is>
          <t>admin-down</t>
        </is>
      </c>
    </row>
    <row r="987">
      <c r="A987" t="inlineStr">
        <is>
          <t>MH-DC-002-PE-T4-04</t>
        </is>
      </c>
      <c r="B987" t="inlineStr">
        <is>
          <t>Te0/0/0/9</t>
        </is>
      </c>
      <c r="C987" t="inlineStr">
        <is>
          <t>10G SFP+</t>
        </is>
      </c>
      <c r="D987" t="n">
        <v>10000</v>
      </c>
      <c r="E987" t="inlineStr">
        <is>
          <t>admin-down</t>
        </is>
      </c>
    </row>
    <row r="988">
      <c r="A988" t="inlineStr">
        <is>
          <t>MH-DC-002-PE-T4-04</t>
        </is>
      </c>
      <c r="B988" t="inlineStr">
        <is>
          <t>Te0/0/0/10</t>
        </is>
      </c>
      <c r="C988" t="inlineStr">
        <is>
          <t>10G SFP+</t>
        </is>
      </c>
      <c r="D988" t="n">
        <v>10000</v>
      </c>
      <c r="E988" t="inlineStr">
        <is>
          <t>admin-down</t>
        </is>
      </c>
    </row>
    <row r="989">
      <c r="A989" t="inlineStr">
        <is>
          <t>MH-DC-002-PE-T4-04</t>
        </is>
      </c>
      <c r="B989" t="inlineStr">
        <is>
          <t>Te0/0/0/11</t>
        </is>
      </c>
      <c r="C989" t="inlineStr">
        <is>
          <t>10G SFP+</t>
        </is>
      </c>
      <c r="D989" t="n">
        <v>10000</v>
      </c>
      <c r="E989" t="inlineStr">
        <is>
          <t>admin-down</t>
        </is>
      </c>
    </row>
    <row r="990">
      <c r="A990" t="inlineStr">
        <is>
          <t>MH-DC-002-PE-T4-04</t>
        </is>
      </c>
      <c r="B990" t="inlineStr">
        <is>
          <t>Hu0/0/1/0</t>
        </is>
      </c>
      <c r="C990" t="inlineStr">
        <is>
          <t>100G QSFP28</t>
        </is>
      </c>
      <c r="D990" t="n">
        <v>100000</v>
      </c>
      <c r="E990" t="inlineStr">
        <is>
          <t>up</t>
        </is>
      </c>
      <c r="F990" t="inlineStr">
        <is>
          <t>Fabric to MH-DC-002-PE-T4-01</t>
        </is>
      </c>
      <c r="G990" t="inlineStr">
        <is>
          <t>QSFP28-100G-LR4</t>
        </is>
      </c>
    </row>
    <row r="991">
      <c r="A991" t="inlineStr">
        <is>
          <t>MH-DC-002-PE-T4-04</t>
        </is>
      </c>
      <c r="B991" t="inlineStr">
        <is>
          <t>Hu0/0/1/1</t>
        </is>
      </c>
      <c r="C991" t="inlineStr">
        <is>
          <t>100G QSFP28</t>
        </is>
      </c>
      <c r="D991" t="n">
        <v>100000</v>
      </c>
      <c r="E991" t="inlineStr">
        <is>
          <t>up</t>
        </is>
      </c>
      <c r="F991" t="inlineStr">
        <is>
          <t>Fabric to MH-DC-002-PE-T4-02</t>
        </is>
      </c>
      <c r="G991" t="inlineStr">
        <is>
          <t>QSFP28-100G-LR4</t>
        </is>
      </c>
    </row>
    <row r="992">
      <c r="A992" t="inlineStr">
        <is>
          <t>MH-DC-002-PE-T4-04</t>
        </is>
      </c>
      <c r="B992" t="inlineStr">
        <is>
          <t>Hu0/0/1/2</t>
        </is>
      </c>
      <c r="C992" t="inlineStr">
        <is>
          <t>100G QSFP28</t>
        </is>
      </c>
      <c r="D992" t="n">
        <v>100000</v>
      </c>
      <c r="E992" t="inlineStr">
        <is>
          <t>up</t>
        </is>
      </c>
      <c r="F992" t="inlineStr">
        <is>
          <t>Fabric to MH-DC-002-PE-T4-03</t>
        </is>
      </c>
      <c r="G992" t="inlineStr">
        <is>
          <t>QSFP28-100G-LR4</t>
        </is>
      </c>
    </row>
    <row r="993">
      <c r="A993" t="inlineStr">
        <is>
          <t>MH-DC-002-PE-T4-04</t>
        </is>
      </c>
      <c r="B993" t="inlineStr">
        <is>
          <t>Hu0/0/1/3</t>
        </is>
      </c>
      <c r="C993" t="inlineStr">
        <is>
          <t>100G QSFP28</t>
        </is>
      </c>
      <c r="D993" t="n">
        <v>100000</v>
      </c>
      <c r="E993" t="inlineStr">
        <is>
          <t>admin-down</t>
        </is>
      </c>
    </row>
    <row r="994">
      <c r="A994" t="inlineStr">
        <is>
          <t>MH-DC-002-PE-T4-04</t>
        </is>
      </c>
      <c r="B994" t="inlineStr">
        <is>
          <t>Gi0/0/2/0</t>
        </is>
      </c>
      <c r="C994" t="inlineStr">
        <is>
          <t>1G copper</t>
        </is>
      </c>
      <c r="D994" t="n">
        <v>1000</v>
      </c>
      <c r="E994" t="inlineStr">
        <is>
          <t>admin-down</t>
        </is>
      </c>
    </row>
    <row r="995">
      <c r="A995" t="inlineStr">
        <is>
          <t>MH-DC-002-PE-T4-04</t>
        </is>
      </c>
      <c r="B995" t="inlineStr">
        <is>
          <t>Gi0/0/2/1</t>
        </is>
      </c>
      <c r="C995" t="inlineStr">
        <is>
          <t>1G copper</t>
        </is>
      </c>
      <c r="D995" t="n">
        <v>1000</v>
      </c>
      <c r="E995" t="inlineStr">
        <is>
          <t>admin-down</t>
        </is>
      </c>
    </row>
    <row r="996">
      <c r="A996" t="inlineStr">
        <is>
          <t>MH-DC-002-PE-T4-04</t>
        </is>
      </c>
      <c r="B996" t="inlineStr">
        <is>
          <t>Gi0/0/2/2</t>
        </is>
      </c>
      <c r="C996" t="inlineStr">
        <is>
          <t>1G copper</t>
        </is>
      </c>
      <c r="D996" t="n">
        <v>1000</v>
      </c>
      <c r="E996" t="inlineStr">
        <is>
          <t>admin-down</t>
        </is>
      </c>
    </row>
    <row r="997">
      <c r="A997" t="inlineStr">
        <is>
          <t>MH-DC-002-PE-T4-04</t>
        </is>
      </c>
      <c r="B997" t="inlineStr">
        <is>
          <t>Gi0/0/2/3</t>
        </is>
      </c>
      <c r="C997" t="inlineStr">
        <is>
          <t>1G copper</t>
        </is>
      </c>
      <c r="D997" t="n">
        <v>1000</v>
      </c>
      <c r="E997" t="inlineStr">
        <is>
          <t>admin-down</t>
        </is>
      </c>
    </row>
    <row r="998">
      <c r="A998" t="inlineStr">
        <is>
          <t>MH-DC-002-PE-T4-04</t>
        </is>
      </c>
      <c r="B998" t="inlineStr">
        <is>
          <t>Gi0/0/2/4</t>
        </is>
      </c>
      <c r="C998" t="inlineStr">
        <is>
          <t>1G copper</t>
        </is>
      </c>
      <c r="D998" t="n">
        <v>1000</v>
      </c>
      <c r="E998" t="inlineStr">
        <is>
          <t>admin-down</t>
        </is>
      </c>
    </row>
    <row r="999">
      <c r="A999" t="inlineStr">
        <is>
          <t>MH-DC-002-PE-T4-04</t>
        </is>
      </c>
      <c r="B999" t="inlineStr">
        <is>
          <t>Gi0/0/2/5</t>
        </is>
      </c>
      <c r="C999" t="inlineStr">
        <is>
          <t>1G copper</t>
        </is>
      </c>
      <c r="D999" t="n">
        <v>1000</v>
      </c>
      <c r="E999" t="inlineStr">
        <is>
          <t>admin-down</t>
        </is>
      </c>
    </row>
    <row r="1000">
      <c r="A1000" t="inlineStr">
        <is>
          <t>MH-DC-002-PE-T4-04</t>
        </is>
      </c>
      <c r="B1000" t="inlineStr">
        <is>
          <t>Gi0/0/2/6</t>
        </is>
      </c>
      <c r="C1000" t="inlineStr">
        <is>
          <t>1G copper</t>
        </is>
      </c>
      <c r="D1000" t="n">
        <v>1000</v>
      </c>
      <c r="E1000" t="inlineStr">
        <is>
          <t>admin-down</t>
        </is>
      </c>
    </row>
    <row r="1001">
      <c r="A1001" t="inlineStr">
        <is>
          <t>MH-DC-002-PE-T4-04</t>
        </is>
      </c>
      <c r="B1001" t="inlineStr">
        <is>
          <t>Gi0/0/2/7</t>
        </is>
      </c>
      <c r="C1001" t="inlineStr">
        <is>
          <t>1G copper</t>
        </is>
      </c>
      <c r="D1001" t="n">
        <v>1000</v>
      </c>
      <c r="E1001" t="inlineStr">
        <is>
          <t>admin-down</t>
        </is>
      </c>
    </row>
    <row r="1002">
      <c r="A1002" t="inlineStr">
        <is>
          <t>MH-DC-002-PE-T4-04</t>
        </is>
      </c>
      <c r="B1002" t="inlineStr">
        <is>
          <t>Gi0/0/2/8</t>
        </is>
      </c>
      <c r="C1002" t="inlineStr">
        <is>
          <t>1G copper</t>
        </is>
      </c>
      <c r="D1002" t="n">
        <v>1000</v>
      </c>
      <c r="E1002" t="inlineStr">
        <is>
          <t>admin-down</t>
        </is>
      </c>
    </row>
    <row r="1003">
      <c r="A1003" t="inlineStr">
        <is>
          <t>MH-DC-002-PE-T4-04</t>
        </is>
      </c>
      <c r="B1003" t="inlineStr">
        <is>
          <t>Gi0/0/2/9</t>
        </is>
      </c>
      <c r="C1003" t="inlineStr">
        <is>
          <t>1G copper</t>
        </is>
      </c>
      <c r="D1003" t="n">
        <v>1000</v>
      </c>
      <c r="E1003" t="inlineStr">
        <is>
          <t>admin-down</t>
        </is>
      </c>
    </row>
    <row r="1004">
      <c r="A1004" t="inlineStr">
        <is>
          <t>MH-DC-002-PE-T4-04</t>
        </is>
      </c>
      <c r="B1004" t="inlineStr">
        <is>
          <t>Gi0/0/2/10</t>
        </is>
      </c>
      <c r="C1004" t="inlineStr">
        <is>
          <t>1G copper</t>
        </is>
      </c>
      <c r="D1004" t="n">
        <v>1000</v>
      </c>
      <c r="E1004" t="inlineStr">
        <is>
          <t>admin-down</t>
        </is>
      </c>
    </row>
    <row r="1005">
      <c r="A1005" t="inlineStr">
        <is>
          <t>MH-DC-002-PE-T4-04</t>
        </is>
      </c>
      <c r="B1005" t="inlineStr">
        <is>
          <t>Gi0/0/2/11</t>
        </is>
      </c>
      <c r="C1005" t="inlineStr">
        <is>
          <t>1G copper</t>
        </is>
      </c>
      <c r="D1005" t="n">
        <v>1000</v>
      </c>
      <c r="E1005" t="inlineStr">
        <is>
          <t>admin-down</t>
        </is>
      </c>
    </row>
    <row r="1006">
      <c r="A1006" t="inlineStr">
        <is>
          <t>MH-DC-002-PE-T4-04</t>
        </is>
      </c>
      <c r="B1006" t="inlineStr">
        <is>
          <t>Gi0/0/2/12</t>
        </is>
      </c>
      <c r="C1006" t="inlineStr">
        <is>
          <t>1G copper</t>
        </is>
      </c>
      <c r="D1006" t="n">
        <v>1000</v>
      </c>
      <c r="E1006" t="inlineStr">
        <is>
          <t>admin-down</t>
        </is>
      </c>
    </row>
    <row r="1007">
      <c r="A1007" t="inlineStr">
        <is>
          <t>MH-DC-002-PE-T4-04</t>
        </is>
      </c>
      <c r="B1007" t="inlineStr">
        <is>
          <t>Gi0/0/2/13</t>
        </is>
      </c>
      <c r="C1007" t="inlineStr">
        <is>
          <t>1G copper</t>
        </is>
      </c>
      <c r="D1007" t="n">
        <v>1000</v>
      </c>
      <c r="E1007" t="inlineStr">
        <is>
          <t>admin-down</t>
        </is>
      </c>
    </row>
    <row r="1008">
      <c r="A1008" t="inlineStr">
        <is>
          <t>MH-DC-002-PE-T4-04</t>
        </is>
      </c>
      <c r="B1008" t="inlineStr">
        <is>
          <t>Gi0/0/2/14</t>
        </is>
      </c>
      <c r="C1008" t="inlineStr">
        <is>
          <t>1G copper</t>
        </is>
      </c>
      <c r="D1008" t="n">
        <v>1000</v>
      </c>
      <c r="E1008" t="inlineStr">
        <is>
          <t>admin-down</t>
        </is>
      </c>
    </row>
    <row r="1009">
      <c r="A1009" t="inlineStr">
        <is>
          <t>MH-DC-002-PE-T4-04</t>
        </is>
      </c>
      <c r="B1009" t="inlineStr">
        <is>
          <t>Gi0/0/2/15</t>
        </is>
      </c>
      <c r="C1009" t="inlineStr">
        <is>
          <t>1G copper</t>
        </is>
      </c>
      <c r="D1009" t="n">
        <v>1000</v>
      </c>
      <c r="E1009" t="inlineStr">
        <is>
          <t>admin-down</t>
        </is>
      </c>
    </row>
    <row r="1010">
      <c r="A1010" t="inlineStr">
        <is>
          <t>MH-DC-002-FW-01</t>
        </is>
      </c>
      <c r="B1010" t="inlineStr">
        <is>
          <t>port1</t>
        </is>
      </c>
      <c r="C1010" t="inlineStr">
        <is>
          <t>10G SFP+</t>
        </is>
      </c>
      <c r="D1010" t="n">
        <v>10000</v>
      </c>
      <c r="E1010" t="inlineStr">
        <is>
          <t>up</t>
        </is>
      </c>
      <c r="F1010" t="inlineStr">
        <is>
          <t>Uplink to MH-DC-002-AGG-R01</t>
        </is>
      </c>
      <c r="G1010" t="inlineStr">
        <is>
          <t>SFP-10G-LR</t>
        </is>
      </c>
    </row>
    <row r="1011">
      <c r="A1011" t="inlineStr">
        <is>
          <t>MH-DC-002-FW-01</t>
        </is>
      </c>
      <c r="B1011" t="inlineStr">
        <is>
          <t>port2</t>
        </is>
      </c>
      <c r="C1011" t="inlineStr">
        <is>
          <t>10G SFP+</t>
        </is>
      </c>
      <c r="D1011" t="n">
        <v>10000</v>
      </c>
      <c r="E1011" t="inlineStr">
        <is>
          <t>up</t>
        </is>
      </c>
      <c r="F1011" t="inlineStr">
        <is>
          <t>Uplink to MH-DC-002-AGG-R02</t>
        </is>
      </c>
      <c r="G1011" t="inlineStr">
        <is>
          <t>SFP-10G-LR</t>
        </is>
      </c>
    </row>
    <row r="1012">
      <c r="A1012" t="inlineStr">
        <is>
          <t>MH-DC-002-FW-01</t>
        </is>
      </c>
      <c r="B1012" t="inlineStr">
        <is>
          <t>port3</t>
        </is>
      </c>
      <c r="C1012" t="inlineStr">
        <is>
          <t>10G SFP+</t>
        </is>
      </c>
      <c r="D1012" t="n">
        <v>10000</v>
      </c>
      <c r="E1012" t="inlineStr">
        <is>
          <t>admin-down</t>
        </is>
      </c>
    </row>
    <row r="1013">
      <c r="A1013" t="inlineStr">
        <is>
          <t>MH-DC-002-FW-01</t>
        </is>
      </c>
      <c r="B1013" t="inlineStr">
        <is>
          <t>port4</t>
        </is>
      </c>
      <c r="C1013" t="inlineStr">
        <is>
          <t>10G SFP+</t>
        </is>
      </c>
      <c r="D1013" t="n">
        <v>10000</v>
      </c>
      <c r="E1013" t="inlineStr">
        <is>
          <t>admin-down</t>
        </is>
      </c>
    </row>
    <row r="1014">
      <c r="A1014" t="inlineStr">
        <is>
          <t>MH-DC-002-FW-01</t>
        </is>
      </c>
      <c r="B1014" t="inlineStr">
        <is>
          <t>port5</t>
        </is>
      </c>
      <c r="C1014" t="inlineStr">
        <is>
          <t>10G SFP+</t>
        </is>
      </c>
      <c r="D1014" t="n">
        <v>10000</v>
      </c>
      <c r="E1014" t="inlineStr">
        <is>
          <t>admin-down</t>
        </is>
      </c>
    </row>
    <row r="1015">
      <c r="A1015" t="inlineStr">
        <is>
          <t>MH-DC-002-FW-01</t>
        </is>
      </c>
      <c r="B1015" t="inlineStr">
        <is>
          <t>port6</t>
        </is>
      </c>
      <c r="C1015" t="inlineStr">
        <is>
          <t>10G SFP+</t>
        </is>
      </c>
      <c r="D1015" t="n">
        <v>10000</v>
      </c>
      <c r="E1015" t="inlineStr">
        <is>
          <t>admin-down</t>
        </is>
      </c>
    </row>
    <row r="1016">
      <c r="A1016" t="inlineStr">
        <is>
          <t>MH-DC-002-FW-01</t>
        </is>
      </c>
      <c r="B1016" t="inlineStr">
        <is>
          <t>port7</t>
        </is>
      </c>
      <c r="C1016" t="inlineStr">
        <is>
          <t>10G SFP+</t>
        </is>
      </c>
      <c r="D1016" t="n">
        <v>10000</v>
      </c>
      <c r="E1016" t="inlineStr">
        <is>
          <t>admin-down</t>
        </is>
      </c>
    </row>
    <row r="1017">
      <c r="A1017" t="inlineStr">
        <is>
          <t>MH-DC-002-FW-01</t>
        </is>
      </c>
      <c r="B1017" t="inlineStr">
        <is>
          <t>port8</t>
        </is>
      </c>
      <c r="C1017" t="inlineStr">
        <is>
          <t>10G SFP+</t>
        </is>
      </c>
      <c r="D1017" t="n">
        <v>10000</v>
      </c>
      <c r="E1017" t="inlineStr">
        <is>
          <t>admin-down</t>
        </is>
      </c>
    </row>
    <row r="1018">
      <c r="A1018" t="inlineStr">
        <is>
          <t>MH-DC-002-OLA-01</t>
        </is>
      </c>
      <c r="B1018" t="inlineStr">
        <is>
          <t>1/2/c1</t>
        </is>
      </c>
      <c r="C1018" t="inlineStr">
        <is>
          <t>100G QSFP28</t>
        </is>
      </c>
      <c r="D1018" t="n">
        <v>100000</v>
      </c>
      <c r="E1018" t="inlineStr">
        <is>
          <t>up</t>
        </is>
      </c>
      <c r="F1018" t="inlineStr">
        <is>
          <t>Uplink to MH-DC-002-AGG-R01</t>
        </is>
      </c>
      <c r="G1018" t="inlineStr">
        <is>
          <t>QSFP28-100G-LR4</t>
        </is>
      </c>
    </row>
    <row r="1019">
      <c r="A1019" t="inlineStr">
        <is>
          <t>MH-DC-002-OLA-01</t>
        </is>
      </c>
      <c r="B1019" t="inlineStr">
        <is>
          <t>1/2/c2</t>
        </is>
      </c>
      <c r="C1019" t="inlineStr">
        <is>
          <t>100G QSFP28</t>
        </is>
      </c>
      <c r="D1019" t="n">
        <v>100000</v>
      </c>
      <c r="E1019" t="inlineStr">
        <is>
          <t>reserved</t>
        </is>
      </c>
    </row>
    <row r="1020">
      <c r="A1020" t="inlineStr">
        <is>
          <t>MH-DC-002-OLA-01</t>
        </is>
      </c>
      <c r="B1020" t="inlineStr">
        <is>
          <t>1/2/c3</t>
        </is>
      </c>
      <c r="C1020" t="inlineStr">
        <is>
          <t>100G QSFP28</t>
        </is>
      </c>
      <c r="D1020" t="n">
        <v>100000</v>
      </c>
      <c r="E1020" t="inlineStr">
        <is>
          <t>admin-down</t>
        </is>
      </c>
    </row>
    <row r="1021">
      <c r="A1021" t="inlineStr">
        <is>
          <t>MH-DC-002-OLA-01</t>
        </is>
      </c>
      <c r="B1021" t="inlineStr">
        <is>
          <t>1/2/c4</t>
        </is>
      </c>
      <c r="C1021" t="inlineStr">
        <is>
          <t>100G QSFP28</t>
        </is>
      </c>
      <c r="D1021" t="n">
        <v>100000</v>
      </c>
      <c r="E1021" t="inlineStr">
        <is>
          <t>admin-down</t>
        </is>
      </c>
    </row>
    <row r="1022">
      <c r="A1022" t="inlineStr">
        <is>
          <t>MH-DC-002-OLA-01</t>
        </is>
      </c>
      <c r="B1022" t="inlineStr">
        <is>
          <t>1/2/c5</t>
        </is>
      </c>
      <c r="C1022" t="inlineStr">
        <is>
          <t>100G QSFP28</t>
        </is>
      </c>
      <c r="D1022" t="n">
        <v>100000</v>
      </c>
      <c r="E1022" t="inlineStr">
        <is>
          <t>admin-down</t>
        </is>
      </c>
    </row>
    <row r="1023">
      <c r="A1023" t="inlineStr">
        <is>
          <t>MH-DC-002-OLA-01</t>
        </is>
      </c>
      <c r="B1023" t="inlineStr">
        <is>
          <t>1/2/c6</t>
        </is>
      </c>
      <c r="C1023" t="inlineStr">
        <is>
          <t>100G QSFP28</t>
        </is>
      </c>
      <c r="D1023" t="n">
        <v>100000</v>
      </c>
      <c r="E1023" t="inlineStr">
        <is>
          <t>admin-down</t>
        </is>
      </c>
    </row>
    <row r="1024">
      <c r="A1024" t="inlineStr">
        <is>
          <t>MH-DC-002-OLA-01</t>
        </is>
      </c>
      <c r="B1024" t="inlineStr">
        <is>
          <t>1/2/c7</t>
        </is>
      </c>
      <c r="C1024" t="inlineStr">
        <is>
          <t>100G QSFP28</t>
        </is>
      </c>
      <c r="D1024" t="n">
        <v>100000</v>
      </c>
      <c r="E1024" t="inlineStr">
        <is>
          <t>admin-down</t>
        </is>
      </c>
    </row>
    <row r="1025">
      <c r="A1025" t="inlineStr">
        <is>
          <t>MH-DC-002-OLA-01</t>
        </is>
      </c>
      <c r="B1025" t="inlineStr">
        <is>
          <t>1/2/c8</t>
        </is>
      </c>
      <c r="C1025" t="inlineStr">
        <is>
          <t>100G QSFP28</t>
        </is>
      </c>
      <c r="D1025" t="n">
        <v>100000</v>
      </c>
      <c r="E1025" t="inlineStr">
        <is>
          <t>admin-down</t>
        </is>
      </c>
    </row>
    <row r="1026">
      <c r="A1026" t="inlineStr">
        <is>
          <t>MH-DC-002-AGG-R01</t>
        </is>
      </c>
      <c r="B1026" t="inlineStr">
        <is>
          <t>xe-0/0/0</t>
        </is>
      </c>
      <c r="C1026" t="inlineStr">
        <is>
          <t>10G SFP+</t>
        </is>
      </c>
      <c r="D1026" t="n">
        <v>10000</v>
      </c>
      <c r="E1026" t="inlineStr">
        <is>
          <t>up</t>
        </is>
      </c>
      <c r="F1026" t="inlineStr">
        <is>
          <t>Uplink to MH-DC-002-FW-01</t>
        </is>
      </c>
      <c r="G1026" t="inlineStr">
        <is>
          <t>SFP-10G-LR</t>
        </is>
      </c>
    </row>
    <row r="1027">
      <c r="A1027" t="inlineStr">
        <is>
          <t>MH-DC-002-AGG-R01</t>
        </is>
      </c>
      <c r="B1027" t="inlineStr">
        <is>
          <t>xe-0/0/1</t>
        </is>
      </c>
      <c r="C1027" t="inlineStr">
        <is>
          <t>10G SFP+</t>
        </is>
      </c>
      <c r="D1027" t="n">
        <v>10000</v>
      </c>
      <c r="E1027" t="inlineStr">
        <is>
          <t>up</t>
        </is>
      </c>
      <c r="F1027" t="inlineStr">
        <is>
          <t>Uplink to MH-DC-002-MMR-SW-01</t>
        </is>
      </c>
      <c r="G1027" t="inlineStr">
        <is>
          <t>SFP-10G-LR</t>
        </is>
      </c>
    </row>
    <row r="1028">
      <c r="A1028" t="inlineStr">
        <is>
          <t>MH-DC-002-AGG-R01</t>
        </is>
      </c>
      <c r="B1028" t="inlineStr">
        <is>
          <t>xe-0/0/2</t>
        </is>
      </c>
      <c r="C1028" t="inlineStr">
        <is>
          <t>10G SFP+</t>
        </is>
      </c>
      <c r="D1028" t="n">
        <v>10000</v>
      </c>
      <c r="E1028" t="inlineStr">
        <is>
          <t>up</t>
        </is>
      </c>
      <c r="F1028" t="inlineStr">
        <is>
          <t>Uplink to MH-DC-002-MMR-SW-02</t>
        </is>
      </c>
      <c r="G1028" t="inlineStr">
        <is>
          <t>SFP-10G-LR</t>
        </is>
      </c>
    </row>
    <row r="1029">
      <c r="A1029" t="inlineStr">
        <is>
          <t>MH-DC-002-AGG-R01</t>
        </is>
      </c>
      <c r="B1029" t="inlineStr">
        <is>
          <t>xe-0/0/3</t>
        </is>
      </c>
      <c r="C1029" t="inlineStr">
        <is>
          <t>10G SFP+</t>
        </is>
      </c>
      <c r="D1029" t="n">
        <v>10000</v>
      </c>
      <c r="E1029" t="inlineStr">
        <is>
          <t>up</t>
        </is>
      </c>
      <c r="F1029" t="inlineStr">
        <is>
          <t>Uplink to MH-DC-002-MMR-SW-03</t>
        </is>
      </c>
      <c r="G1029" t="inlineStr">
        <is>
          <t>SFP-10G-LR</t>
        </is>
      </c>
    </row>
    <row r="1030">
      <c r="A1030" t="inlineStr">
        <is>
          <t>MH-DC-002-AGG-R01</t>
        </is>
      </c>
      <c r="B1030" t="inlineStr">
        <is>
          <t>xe-0/0/4</t>
        </is>
      </c>
      <c r="C1030" t="inlineStr">
        <is>
          <t>10G SFP+</t>
        </is>
      </c>
      <c r="D1030" t="n">
        <v>10000</v>
      </c>
      <c r="E1030" t="inlineStr">
        <is>
          <t>up</t>
        </is>
      </c>
      <c r="F1030" t="inlineStr">
        <is>
          <t>Uplink to MH-DC-002-MMR-SW-04</t>
        </is>
      </c>
      <c r="G1030" t="inlineStr">
        <is>
          <t>SFP-10G-LR</t>
        </is>
      </c>
    </row>
    <row r="1031">
      <c r="A1031" t="inlineStr">
        <is>
          <t>MH-DC-002-AGG-R01</t>
        </is>
      </c>
      <c r="B1031" t="inlineStr">
        <is>
          <t>xe-0/0/5</t>
        </is>
      </c>
      <c r="C1031" t="inlineStr">
        <is>
          <t>10G SFP+</t>
        </is>
      </c>
      <c r="D1031" t="n">
        <v>10000</v>
      </c>
      <c r="E1031" t="inlineStr">
        <is>
          <t>admin-down</t>
        </is>
      </c>
    </row>
    <row r="1032">
      <c r="A1032" t="inlineStr">
        <is>
          <t>MH-DC-002-AGG-R01</t>
        </is>
      </c>
      <c r="B1032" t="inlineStr">
        <is>
          <t>xe-0/0/6</t>
        </is>
      </c>
      <c r="C1032" t="inlineStr">
        <is>
          <t>10G SFP+</t>
        </is>
      </c>
      <c r="D1032" t="n">
        <v>10000</v>
      </c>
      <c r="E1032" t="inlineStr">
        <is>
          <t>admin-down</t>
        </is>
      </c>
    </row>
    <row r="1033">
      <c r="A1033" t="inlineStr">
        <is>
          <t>MH-DC-002-AGG-R01</t>
        </is>
      </c>
      <c r="B1033" t="inlineStr">
        <is>
          <t>xe-0/0/7</t>
        </is>
      </c>
      <c r="C1033" t="inlineStr">
        <is>
          <t>10G SFP+</t>
        </is>
      </c>
      <c r="D1033" t="n">
        <v>10000</v>
      </c>
      <c r="E1033" t="inlineStr">
        <is>
          <t>admin-down</t>
        </is>
      </c>
    </row>
    <row r="1034">
      <c r="A1034" t="inlineStr">
        <is>
          <t>MH-DC-002-AGG-R01</t>
        </is>
      </c>
      <c r="B1034" t="inlineStr">
        <is>
          <t>xe-0/0/8</t>
        </is>
      </c>
      <c r="C1034" t="inlineStr">
        <is>
          <t>10G SFP+</t>
        </is>
      </c>
      <c r="D1034" t="n">
        <v>10000</v>
      </c>
      <c r="E1034" t="inlineStr">
        <is>
          <t>admin-down</t>
        </is>
      </c>
    </row>
    <row r="1035">
      <c r="A1035" t="inlineStr">
        <is>
          <t>MH-DC-002-AGG-R01</t>
        </is>
      </c>
      <c r="B1035" t="inlineStr">
        <is>
          <t>xe-0/0/9</t>
        </is>
      </c>
      <c r="C1035" t="inlineStr">
        <is>
          <t>10G SFP+</t>
        </is>
      </c>
      <c r="D1035" t="n">
        <v>10000</v>
      </c>
      <c r="E1035" t="inlineStr">
        <is>
          <t>admin-down</t>
        </is>
      </c>
    </row>
    <row r="1036">
      <c r="A1036" t="inlineStr">
        <is>
          <t>MH-DC-002-AGG-R01</t>
        </is>
      </c>
      <c r="B1036" t="inlineStr">
        <is>
          <t>xe-0/0/10</t>
        </is>
      </c>
      <c r="C1036" t="inlineStr">
        <is>
          <t>10G SFP+</t>
        </is>
      </c>
      <c r="D1036" t="n">
        <v>10000</v>
      </c>
      <c r="E1036" t="inlineStr">
        <is>
          <t>admin-down</t>
        </is>
      </c>
    </row>
    <row r="1037">
      <c r="A1037" t="inlineStr">
        <is>
          <t>MH-DC-002-AGG-R01</t>
        </is>
      </c>
      <c r="B1037" t="inlineStr">
        <is>
          <t>xe-0/0/11</t>
        </is>
      </c>
      <c r="C1037" t="inlineStr">
        <is>
          <t>10G SFP+</t>
        </is>
      </c>
      <c r="D1037" t="n">
        <v>10000</v>
      </c>
      <c r="E1037" t="inlineStr">
        <is>
          <t>admin-down</t>
        </is>
      </c>
    </row>
    <row r="1038">
      <c r="A1038" t="inlineStr">
        <is>
          <t>MH-DC-002-AGG-R01</t>
        </is>
      </c>
      <c r="B1038" t="inlineStr">
        <is>
          <t>xe-0/0/12</t>
        </is>
      </c>
      <c r="C1038" t="inlineStr">
        <is>
          <t>10G SFP+</t>
        </is>
      </c>
      <c r="D1038" t="n">
        <v>10000</v>
      </c>
      <c r="E1038" t="inlineStr">
        <is>
          <t>admin-down</t>
        </is>
      </c>
    </row>
    <row r="1039">
      <c r="A1039" t="inlineStr">
        <is>
          <t>MH-DC-002-AGG-R01</t>
        </is>
      </c>
      <c r="B1039" t="inlineStr">
        <is>
          <t>xe-0/0/13</t>
        </is>
      </c>
      <c r="C1039" t="inlineStr">
        <is>
          <t>10G SFP+</t>
        </is>
      </c>
      <c r="D1039" t="n">
        <v>10000</v>
      </c>
      <c r="E1039" t="inlineStr">
        <is>
          <t>reserved</t>
        </is>
      </c>
    </row>
    <row r="1040">
      <c r="A1040" t="inlineStr">
        <is>
          <t>MH-DC-002-AGG-R01</t>
        </is>
      </c>
      <c r="B1040" t="inlineStr">
        <is>
          <t>xe-0/0/14</t>
        </is>
      </c>
      <c r="C1040" t="inlineStr">
        <is>
          <t>10G SFP+</t>
        </is>
      </c>
      <c r="D1040" t="n">
        <v>10000</v>
      </c>
      <c r="E1040" t="inlineStr">
        <is>
          <t>reserved</t>
        </is>
      </c>
    </row>
    <row r="1041">
      <c r="A1041" t="inlineStr">
        <is>
          <t>MH-DC-002-AGG-R01</t>
        </is>
      </c>
      <c r="B1041" t="inlineStr">
        <is>
          <t>xe-0/0/15</t>
        </is>
      </c>
      <c r="C1041" t="inlineStr">
        <is>
          <t>10G SFP+</t>
        </is>
      </c>
      <c r="D1041" t="n">
        <v>10000</v>
      </c>
      <c r="E1041" t="inlineStr">
        <is>
          <t>admin-down</t>
        </is>
      </c>
    </row>
    <row r="1042">
      <c r="A1042" t="inlineStr">
        <is>
          <t>MH-DC-002-AGG-R01</t>
        </is>
      </c>
      <c r="B1042" t="inlineStr">
        <is>
          <t>et-0/1/0</t>
        </is>
      </c>
      <c r="C1042" t="inlineStr">
        <is>
          <t>100G QSFP28</t>
        </is>
      </c>
      <c r="D1042" t="n">
        <v>100000</v>
      </c>
      <c r="E1042" t="inlineStr">
        <is>
          <t>up</t>
        </is>
      </c>
      <c r="F1042" t="inlineStr">
        <is>
          <t>Uplink to MH-DC-002-PE-T4-01</t>
        </is>
      </c>
      <c r="G1042" t="inlineStr">
        <is>
          <t>QSFP28-100G-LR4</t>
        </is>
      </c>
    </row>
    <row r="1043">
      <c r="A1043" t="inlineStr">
        <is>
          <t>MH-DC-002-AGG-R01</t>
        </is>
      </c>
      <c r="B1043" t="inlineStr">
        <is>
          <t>et-0/1/1</t>
        </is>
      </c>
      <c r="C1043" t="inlineStr">
        <is>
          <t>100G QSFP28</t>
        </is>
      </c>
      <c r="D1043" t="n">
        <v>100000</v>
      </c>
      <c r="E1043" t="inlineStr">
        <is>
          <t>up</t>
        </is>
      </c>
      <c r="F1043" t="inlineStr">
        <is>
          <t>Uplink to MH-DC-002-PE-T4-02</t>
        </is>
      </c>
      <c r="G1043" t="inlineStr">
        <is>
          <t>QSFP28-100G-LR4</t>
        </is>
      </c>
    </row>
    <row r="1044">
      <c r="A1044" t="inlineStr">
        <is>
          <t>MH-DC-002-AGG-R01</t>
        </is>
      </c>
      <c r="B1044" t="inlineStr">
        <is>
          <t>et-0/1/2</t>
        </is>
      </c>
      <c r="C1044" t="inlineStr">
        <is>
          <t>100G QSFP28</t>
        </is>
      </c>
      <c r="D1044" t="n">
        <v>100000</v>
      </c>
      <c r="E1044" t="inlineStr">
        <is>
          <t>up</t>
        </is>
      </c>
      <c r="F1044" t="inlineStr">
        <is>
          <t>Uplink to MH-DC-002-OLA-01</t>
        </is>
      </c>
      <c r="G1044" t="inlineStr">
        <is>
          <t>QSFP28-100G-LR4</t>
        </is>
      </c>
    </row>
    <row r="1045">
      <c r="A1045" t="inlineStr">
        <is>
          <t>MH-DC-002-AGG-R01</t>
        </is>
      </c>
      <c r="B1045" t="inlineStr">
        <is>
          <t>et-0/1/3</t>
        </is>
      </c>
      <c r="C1045" t="inlineStr">
        <is>
          <t>100G QSFP28</t>
        </is>
      </c>
      <c r="D1045" t="n">
        <v>100000</v>
      </c>
      <c r="E1045" t="inlineStr">
        <is>
          <t>admin-down</t>
        </is>
      </c>
    </row>
    <row r="1046">
      <c r="A1046" t="inlineStr">
        <is>
          <t>MH-DC-002-AGG-R01</t>
        </is>
      </c>
      <c r="B1046" t="inlineStr">
        <is>
          <t>et-0/1/4</t>
        </is>
      </c>
      <c r="C1046" t="inlineStr">
        <is>
          <t>100G QSFP28</t>
        </is>
      </c>
      <c r="D1046" t="n">
        <v>100000</v>
      </c>
      <c r="E1046" t="inlineStr">
        <is>
          <t>admin-down</t>
        </is>
      </c>
    </row>
    <row r="1047">
      <c r="A1047" t="inlineStr">
        <is>
          <t>MH-DC-002-AGG-R01</t>
        </is>
      </c>
      <c r="B1047" t="inlineStr">
        <is>
          <t>et-0/1/5</t>
        </is>
      </c>
      <c r="C1047" t="inlineStr">
        <is>
          <t>100G QSFP28</t>
        </is>
      </c>
      <c r="D1047" t="n">
        <v>100000</v>
      </c>
      <c r="E1047" t="inlineStr">
        <is>
          <t>admin-down</t>
        </is>
      </c>
    </row>
    <row r="1048">
      <c r="A1048" t="inlineStr">
        <is>
          <t>MH-DC-002-AGG-R01</t>
        </is>
      </c>
      <c r="B1048" t="inlineStr">
        <is>
          <t>et-0/1/6</t>
        </is>
      </c>
      <c r="C1048" t="inlineStr">
        <is>
          <t>100G QSFP28</t>
        </is>
      </c>
      <c r="D1048" t="n">
        <v>100000</v>
      </c>
      <c r="E1048" t="inlineStr">
        <is>
          <t>admin-down</t>
        </is>
      </c>
    </row>
    <row r="1049">
      <c r="A1049" t="inlineStr">
        <is>
          <t>MH-DC-002-AGG-R01</t>
        </is>
      </c>
      <c r="B1049" t="inlineStr">
        <is>
          <t>et-0/1/7</t>
        </is>
      </c>
      <c r="C1049" t="inlineStr">
        <is>
          <t>100G QSFP28</t>
        </is>
      </c>
      <c r="D1049" t="n">
        <v>100000</v>
      </c>
      <c r="E1049" t="inlineStr">
        <is>
          <t>admin-down</t>
        </is>
      </c>
    </row>
    <row r="1050">
      <c r="A1050" t="inlineStr">
        <is>
          <t>MH-DC-002-AGG-R02</t>
        </is>
      </c>
      <c r="B1050" t="inlineStr">
        <is>
          <t>xe-0/0/0</t>
        </is>
      </c>
      <c r="C1050" t="inlineStr">
        <is>
          <t>10G SFP+</t>
        </is>
      </c>
      <c r="D1050" t="n">
        <v>10000</v>
      </c>
      <c r="E1050" t="inlineStr">
        <is>
          <t>up</t>
        </is>
      </c>
      <c r="F1050" t="inlineStr">
        <is>
          <t>Uplink to MH-DC-002-FW-01</t>
        </is>
      </c>
      <c r="G1050" t="inlineStr">
        <is>
          <t>SFP-10G-LR</t>
        </is>
      </c>
    </row>
    <row r="1051">
      <c r="A1051" t="inlineStr">
        <is>
          <t>MH-DC-002-AGG-R02</t>
        </is>
      </c>
      <c r="B1051" t="inlineStr">
        <is>
          <t>xe-0/0/1</t>
        </is>
      </c>
      <c r="C1051" t="inlineStr">
        <is>
          <t>10G SFP+</t>
        </is>
      </c>
      <c r="D1051" t="n">
        <v>10000</v>
      </c>
      <c r="E1051" t="inlineStr">
        <is>
          <t>up</t>
        </is>
      </c>
      <c r="F1051" t="inlineStr">
        <is>
          <t>Uplink to MH-DC-002-MMR-SW-01</t>
        </is>
      </c>
      <c r="G1051" t="inlineStr">
        <is>
          <t>SFP-10G-LR</t>
        </is>
      </c>
    </row>
    <row r="1052">
      <c r="A1052" t="inlineStr">
        <is>
          <t>MH-DC-002-AGG-R02</t>
        </is>
      </c>
      <c r="B1052" t="inlineStr">
        <is>
          <t>xe-0/0/2</t>
        </is>
      </c>
      <c r="C1052" t="inlineStr">
        <is>
          <t>10G SFP+</t>
        </is>
      </c>
      <c r="D1052" t="n">
        <v>10000</v>
      </c>
      <c r="E1052" t="inlineStr">
        <is>
          <t>up</t>
        </is>
      </c>
      <c r="F1052" t="inlineStr">
        <is>
          <t>Uplink to MH-DC-002-MMR-SW-02</t>
        </is>
      </c>
      <c r="G1052" t="inlineStr">
        <is>
          <t>SFP-10G-LR</t>
        </is>
      </c>
    </row>
    <row r="1053">
      <c r="A1053" t="inlineStr">
        <is>
          <t>MH-DC-002-AGG-R02</t>
        </is>
      </c>
      <c r="B1053" t="inlineStr">
        <is>
          <t>xe-0/0/3</t>
        </is>
      </c>
      <c r="C1053" t="inlineStr">
        <is>
          <t>10G SFP+</t>
        </is>
      </c>
      <c r="D1053" t="n">
        <v>10000</v>
      </c>
      <c r="E1053" t="inlineStr">
        <is>
          <t>up</t>
        </is>
      </c>
      <c r="F1053" t="inlineStr">
        <is>
          <t>Uplink to MH-DC-002-MMR-SW-03</t>
        </is>
      </c>
      <c r="G1053" t="inlineStr">
        <is>
          <t>SFP-10G-LR</t>
        </is>
      </c>
    </row>
    <row r="1054">
      <c r="A1054" t="inlineStr">
        <is>
          <t>MH-DC-002-AGG-R02</t>
        </is>
      </c>
      <c r="B1054" t="inlineStr">
        <is>
          <t>xe-0/0/4</t>
        </is>
      </c>
      <c r="C1054" t="inlineStr">
        <is>
          <t>10G SFP+</t>
        </is>
      </c>
      <c r="D1054" t="n">
        <v>10000</v>
      </c>
      <c r="E1054" t="inlineStr">
        <is>
          <t>up</t>
        </is>
      </c>
      <c r="F1054" t="inlineStr">
        <is>
          <t>Uplink to MH-DC-002-MMR-SW-04</t>
        </is>
      </c>
      <c r="G1054" t="inlineStr">
        <is>
          <t>SFP-10G-LR</t>
        </is>
      </c>
    </row>
    <row r="1055">
      <c r="A1055" t="inlineStr">
        <is>
          <t>MH-DC-002-AGG-R02</t>
        </is>
      </c>
      <c r="B1055" t="inlineStr">
        <is>
          <t>xe-0/0/5</t>
        </is>
      </c>
      <c r="C1055" t="inlineStr">
        <is>
          <t>10G SFP+</t>
        </is>
      </c>
      <c r="D1055" t="n">
        <v>10000</v>
      </c>
      <c r="E1055" t="inlineStr">
        <is>
          <t>admin-down</t>
        </is>
      </c>
    </row>
    <row r="1056">
      <c r="A1056" t="inlineStr">
        <is>
          <t>MH-DC-002-AGG-R02</t>
        </is>
      </c>
      <c r="B1056" t="inlineStr">
        <is>
          <t>xe-0/0/6</t>
        </is>
      </c>
      <c r="C1056" t="inlineStr">
        <is>
          <t>10G SFP+</t>
        </is>
      </c>
      <c r="D1056" t="n">
        <v>10000</v>
      </c>
      <c r="E1056" t="inlineStr">
        <is>
          <t>admin-down</t>
        </is>
      </c>
    </row>
    <row r="1057">
      <c r="A1057" t="inlineStr">
        <is>
          <t>MH-DC-002-AGG-R02</t>
        </is>
      </c>
      <c r="B1057" t="inlineStr">
        <is>
          <t>xe-0/0/7</t>
        </is>
      </c>
      <c r="C1057" t="inlineStr">
        <is>
          <t>10G SFP+</t>
        </is>
      </c>
      <c r="D1057" t="n">
        <v>10000</v>
      </c>
      <c r="E1057" t="inlineStr">
        <is>
          <t>admin-down</t>
        </is>
      </c>
    </row>
    <row r="1058">
      <c r="A1058" t="inlineStr">
        <is>
          <t>MH-DC-002-AGG-R02</t>
        </is>
      </c>
      <c r="B1058" t="inlineStr">
        <is>
          <t>xe-0/0/8</t>
        </is>
      </c>
      <c r="C1058" t="inlineStr">
        <is>
          <t>10G SFP+</t>
        </is>
      </c>
      <c r="D1058" t="n">
        <v>10000</v>
      </c>
      <c r="E1058" t="inlineStr">
        <is>
          <t>admin-down</t>
        </is>
      </c>
    </row>
    <row r="1059">
      <c r="A1059" t="inlineStr">
        <is>
          <t>MH-DC-002-AGG-R02</t>
        </is>
      </c>
      <c r="B1059" t="inlineStr">
        <is>
          <t>xe-0/0/9</t>
        </is>
      </c>
      <c r="C1059" t="inlineStr">
        <is>
          <t>10G SFP+</t>
        </is>
      </c>
      <c r="D1059" t="n">
        <v>10000</v>
      </c>
      <c r="E1059" t="inlineStr">
        <is>
          <t>admin-down</t>
        </is>
      </c>
    </row>
    <row r="1060">
      <c r="A1060" t="inlineStr">
        <is>
          <t>MH-DC-002-AGG-R02</t>
        </is>
      </c>
      <c r="B1060" t="inlineStr">
        <is>
          <t>xe-0/0/10</t>
        </is>
      </c>
      <c r="C1060" t="inlineStr">
        <is>
          <t>10G SFP+</t>
        </is>
      </c>
      <c r="D1060" t="n">
        <v>10000</v>
      </c>
      <c r="E1060" t="inlineStr">
        <is>
          <t>admin-down</t>
        </is>
      </c>
    </row>
    <row r="1061">
      <c r="A1061" t="inlineStr">
        <is>
          <t>MH-DC-002-AGG-R02</t>
        </is>
      </c>
      <c r="B1061" t="inlineStr">
        <is>
          <t>xe-0/0/11</t>
        </is>
      </c>
      <c r="C1061" t="inlineStr">
        <is>
          <t>10G SFP+</t>
        </is>
      </c>
      <c r="D1061" t="n">
        <v>10000</v>
      </c>
      <c r="E1061" t="inlineStr">
        <is>
          <t>reserved</t>
        </is>
      </c>
    </row>
    <row r="1062">
      <c r="A1062" t="inlineStr">
        <is>
          <t>MH-DC-002-AGG-R02</t>
        </is>
      </c>
      <c r="B1062" t="inlineStr">
        <is>
          <t>xe-0/0/12</t>
        </is>
      </c>
      <c r="C1062" t="inlineStr">
        <is>
          <t>10G SFP+</t>
        </is>
      </c>
      <c r="D1062" t="n">
        <v>10000</v>
      </c>
      <c r="E1062" t="inlineStr">
        <is>
          <t>admin-down</t>
        </is>
      </c>
    </row>
    <row r="1063">
      <c r="A1063" t="inlineStr">
        <is>
          <t>MH-DC-002-AGG-R02</t>
        </is>
      </c>
      <c r="B1063" t="inlineStr">
        <is>
          <t>xe-0/0/13</t>
        </is>
      </c>
      <c r="C1063" t="inlineStr">
        <is>
          <t>10G SFP+</t>
        </is>
      </c>
      <c r="D1063" t="n">
        <v>10000</v>
      </c>
      <c r="E1063" t="inlineStr">
        <is>
          <t>admin-down</t>
        </is>
      </c>
    </row>
    <row r="1064">
      <c r="A1064" t="inlineStr">
        <is>
          <t>MH-DC-002-AGG-R02</t>
        </is>
      </c>
      <c r="B1064" t="inlineStr">
        <is>
          <t>xe-0/0/14</t>
        </is>
      </c>
      <c r="C1064" t="inlineStr">
        <is>
          <t>10G SFP+</t>
        </is>
      </c>
      <c r="D1064" t="n">
        <v>10000</v>
      </c>
      <c r="E1064" t="inlineStr">
        <is>
          <t>admin-down</t>
        </is>
      </c>
    </row>
    <row r="1065">
      <c r="A1065" t="inlineStr">
        <is>
          <t>MH-DC-002-AGG-R02</t>
        </is>
      </c>
      <c r="B1065" t="inlineStr">
        <is>
          <t>xe-0/0/15</t>
        </is>
      </c>
      <c r="C1065" t="inlineStr">
        <is>
          <t>10G SFP+</t>
        </is>
      </c>
      <c r="D1065" t="n">
        <v>10000</v>
      </c>
      <c r="E1065" t="inlineStr">
        <is>
          <t>admin-down</t>
        </is>
      </c>
    </row>
    <row r="1066">
      <c r="A1066" t="inlineStr">
        <is>
          <t>MH-DC-002-AGG-R02</t>
        </is>
      </c>
      <c r="B1066" t="inlineStr">
        <is>
          <t>et-0/1/0</t>
        </is>
      </c>
      <c r="C1066" t="inlineStr">
        <is>
          <t>100G QSFP28</t>
        </is>
      </c>
      <c r="D1066" t="n">
        <v>100000</v>
      </c>
      <c r="E1066" t="inlineStr">
        <is>
          <t>up</t>
        </is>
      </c>
      <c r="F1066" t="inlineStr">
        <is>
          <t>Uplink to MH-DC-002-PE-T4-02</t>
        </is>
      </c>
      <c r="G1066" t="inlineStr">
        <is>
          <t>QSFP28-100G-LR4</t>
        </is>
      </c>
    </row>
    <row r="1067">
      <c r="A1067" t="inlineStr">
        <is>
          <t>MH-DC-002-AGG-R02</t>
        </is>
      </c>
      <c r="B1067" t="inlineStr">
        <is>
          <t>et-0/1/1</t>
        </is>
      </c>
      <c r="C1067" t="inlineStr">
        <is>
          <t>100G QSFP28</t>
        </is>
      </c>
      <c r="D1067" t="n">
        <v>100000</v>
      </c>
      <c r="E1067" t="inlineStr">
        <is>
          <t>up</t>
        </is>
      </c>
      <c r="F1067" t="inlineStr">
        <is>
          <t>Uplink to MH-DC-002-PE-T4-03</t>
        </is>
      </c>
      <c r="G1067" t="inlineStr">
        <is>
          <t>QSFP28-100G-LR4</t>
        </is>
      </c>
    </row>
    <row r="1068">
      <c r="A1068" t="inlineStr">
        <is>
          <t>MH-DC-002-AGG-R02</t>
        </is>
      </c>
      <c r="B1068" t="inlineStr">
        <is>
          <t>et-0/1/2</t>
        </is>
      </c>
      <c r="C1068" t="inlineStr">
        <is>
          <t>100G QSFP28</t>
        </is>
      </c>
      <c r="D1068" t="n">
        <v>100000</v>
      </c>
      <c r="E1068" t="inlineStr">
        <is>
          <t>admin-down</t>
        </is>
      </c>
    </row>
    <row r="1069">
      <c r="A1069" t="inlineStr">
        <is>
          <t>MH-DC-002-AGG-R02</t>
        </is>
      </c>
      <c r="B1069" t="inlineStr">
        <is>
          <t>et-0/1/3</t>
        </is>
      </c>
      <c r="C1069" t="inlineStr">
        <is>
          <t>100G QSFP28</t>
        </is>
      </c>
      <c r="D1069" t="n">
        <v>100000</v>
      </c>
      <c r="E1069" t="inlineStr">
        <is>
          <t>admin-down</t>
        </is>
      </c>
    </row>
    <row r="1070">
      <c r="A1070" t="inlineStr">
        <is>
          <t>MH-DC-002-AGG-R02</t>
        </is>
      </c>
      <c r="B1070" t="inlineStr">
        <is>
          <t>et-0/1/4</t>
        </is>
      </c>
      <c r="C1070" t="inlineStr">
        <is>
          <t>100G QSFP28</t>
        </is>
      </c>
      <c r="D1070" t="n">
        <v>100000</v>
      </c>
      <c r="E1070" t="inlineStr">
        <is>
          <t>admin-down</t>
        </is>
      </c>
    </row>
    <row r="1071">
      <c r="A1071" t="inlineStr">
        <is>
          <t>MH-DC-002-AGG-R02</t>
        </is>
      </c>
      <c r="B1071" t="inlineStr">
        <is>
          <t>et-0/1/5</t>
        </is>
      </c>
      <c r="C1071" t="inlineStr">
        <is>
          <t>100G QSFP28</t>
        </is>
      </c>
      <c r="D1071" t="n">
        <v>100000</v>
      </c>
      <c r="E1071" t="inlineStr">
        <is>
          <t>admin-down</t>
        </is>
      </c>
    </row>
    <row r="1072">
      <c r="A1072" t="inlineStr">
        <is>
          <t>MH-DC-002-AGG-R02</t>
        </is>
      </c>
      <c r="B1072" t="inlineStr">
        <is>
          <t>et-0/1/6</t>
        </is>
      </c>
      <c r="C1072" t="inlineStr">
        <is>
          <t>100G QSFP28</t>
        </is>
      </c>
      <c r="D1072" t="n">
        <v>100000</v>
      </c>
      <c r="E1072" t="inlineStr">
        <is>
          <t>admin-down</t>
        </is>
      </c>
    </row>
    <row r="1073">
      <c r="A1073" t="inlineStr">
        <is>
          <t>MH-DC-002-AGG-R02</t>
        </is>
      </c>
      <c r="B1073" t="inlineStr">
        <is>
          <t>et-0/1/7</t>
        </is>
      </c>
      <c r="C1073" t="inlineStr">
        <is>
          <t>100G QSFP28</t>
        </is>
      </c>
      <c r="D1073" t="n">
        <v>100000</v>
      </c>
      <c r="E1073" t="inlineStr">
        <is>
          <t>admin-down</t>
        </is>
      </c>
    </row>
    <row r="1074">
      <c r="A1074" t="inlineStr">
        <is>
          <t>MH-DC-002-MMR-SW-01</t>
        </is>
      </c>
      <c r="B1074" t="inlineStr">
        <is>
          <t>Ethernet1</t>
        </is>
      </c>
      <c r="C1074" t="inlineStr">
        <is>
          <t>10G SFP+</t>
        </is>
      </c>
      <c r="D1074" t="n">
        <v>10000</v>
      </c>
      <c r="E1074" t="inlineStr">
        <is>
          <t>up</t>
        </is>
      </c>
      <c r="F1074" t="inlineStr">
        <is>
          <t>Access to MH-DC-002-TOR-001</t>
        </is>
      </c>
      <c r="G1074" t="inlineStr">
        <is>
          <t>SFP-10G-LR</t>
        </is>
      </c>
    </row>
    <row r="1075">
      <c r="A1075" t="inlineStr">
        <is>
          <t>MH-DC-002-MMR-SW-01</t>
        </is>
      </c>
      <c r="B1075" t="inlineStr">
        <is>
          <t>Ethernet2</t>
        </is>
      </c>
      <c r="C1075" t="inlineStr">
        <is>
          <t>10G SFP+</t>
        </is>
      </c>
      <c r="D1075" t="n">
        <v>10000</v>
      </c>
      <c r="E1075" t="inlineStr">
        <is>
          <t>up</t>
        </is>
      </c>
      <c r="F1075" t="inlineStr">
        <is>
          <t>Server NIC</t>
        </is>
      </c>
    </row>
    <row r="1076">
      <c r="A1076" t="inlineStr">
        <is>
          <t>MH-DC-002-MMR-SW-01</t>
        </is>
      </c>
      <c r="B1076" t="inlineStr">
        <is>
          <t>Ethernet3</t>
        </is>
      </c>
      <c r="C1076" t="inlineStr">
        <is>
          <t>10G SFP+</t>
        </is>
      </c>
      <c r="D1076" t="n">
        <v>10000</v>
      </c>
      <c r="E1076" t="inlineStr">
        <is>
          <t>up</t>
        </is>
      </c>
      <c r="F1076" t="inlineStr">
        <is>
          <t>Server NIC</t>
        </is>
      </c>
    </row>
    <row r="1077">
      <c r="A1077" t="inlineStr">
        <is>
          <t>MH-DC-002-MMR-SW-01</t>
        </is>
      </c>
      <c r="B1077" t="inlineStr">
        <is>
          <t>Ethernet4</t>
        </is>
      </c>
      <c r="C1077" t="inlineStr">
        <is>
          <t>10G SFP+</t>
        </is>
      </c>
      <c r="D1077" t="n">
        <v>10000</v>
      </c>
      <c r="E1077" t="inlineStr">
        <is>
          <t>up</t>
        </is>
      </c>
      <c r="F1077" t="inlineStr">
        <is>
          <t>Access to MH-DC-002-DCIM-02</t>
        </is>
      </c>
      <c r="G1077" t="inlineStr">
        <is>
          <t>SFP-10G-LR</t>
        </is>
      </c>
    </row>
    <row r="1078">
      <c r="A1078" t="inlineStr">
        <is>
          <t>MH-DC-002-MMR-SW-01</t>
        </is>
      </c>
      <c r="B1078" t="inlineStr">
        <is>
          <t>Ethernet5</t>
        </is>
      </c>
      <c r="C1078" t="inlineStr">
        <is>
          <t>10G SFP+</t>
        </is>
      </c>
      <c r="D1078" t="n">
        <v>10000</v>
      </c>
      <c r="E1078" t="inlineStr">
        <is>
          <t>up</t>
        </is>
      </c>
      <c r="F1078" t="inlineStr">
        <is>
          <t>Server NIC</t>
        </is>
      </c>
    </row>
    <row r="1079">
      <c r="A1079" t="inlineStr">
        <is>
          <t>MH-DC-002-MMR-SW-01</t>
        </is>
      </c>
      <c r="B1079" t="inlineStr">
        <is>
          <t>Ethernet6</t>
        </is>
      </c>
      <c r="C1079" t="inlineStr">
        <is>
          <t>10G SFP+</t>
        </is>
      </c>
      <c r="D1079" t="n">
        <v>10000</v>
      </c>
      <c r="E1079" t="inlineStr">
        <is>
          <t>up</t>
        </is>
      </c>
      <c r="F1079" t="inlineStr">
        <is>
          <t>Server NIC</t>
        </is>
      </c>
    </row>
    <row r="1080">
      <c r="A1080" t="inlineStr">
        <is>
          <t>MH-DC-002-MMR-SW-01</t>
        </is>
      </c>
      <c r="B1080" t="inlineStr">
        <is>
          <t>Ethernet7</t>
        </is>
      </c>
      <c r="C1080" t="inlineStr">
        <is>
          <t>10G SFP+</t>
        </is>
      </c>
      <c r="D1080" t="n">
        <v>10000</v>
      </c>
      <c r="E1080" t="inlineStr">
        <is>
          <t>up</t>
        </is>
      </c>
      <c r="F1080" t="inlineStr">
        <is>
          <t>Server NIC</t>
        </is>
      </c>
    </row>
    <row r="1081">
      <c r="A1081" t="inlineStr">
        <is>
          <t>MH-DC-002-MMR-SW-01</t>
        </is>
      </c>
      <c r="B1081" t="inlineStr">
        <is>
          <t>Ethernet8</t>
        </is>
      </c>
      <c r="C1081" t="inlineStr">
        <is>
          <t>10G SFP+</t>
        </is>
      </c>
      <c r="D1081" t="n">
        <v>10000</v>
      </c>
      <c r="E1081" t="inlineStr">
        <is>
          <t>up</t>
        </is>
      </c>
      <c r="F1081" t="inlineStr">
        <is>
          <t>Access to MH-DC-002-MON-01</t>
        </is>
      </c>
      <c r="G1081" t="inlineStr">
        <is>
          <t>SFP-10G-LR</t>
        </is>
      </c>
    </row>
    <row r="1082">
      <c r="A1082" t="inlineStr">
        <is>
          <t>MH-DC-002-MMR-SW-01</t>
        </is>
      </c>
      <c r="B1082" t="inlineStr">
        <is>
          <t>Ethernet9</t>
        </is>
      </c>
      <c r="C1082" t="inlineStr">
        <is>
          <t>10G SFP+</t>
        </is>
      </c>
      <c r="D1082" t="n">
        <v>10000</v>
      </c>
      <c r="E1082" t="inlineStr">
        <is>
          <t>up</t>
        </is>
      </c>
      <c r="F1082" t="inlineStr">
        <is>
          <t>Server NIC</t>
        </is>
      </c>
    </row>
    <row r="1083">
      <c r="A1083" t="inlineStr">
        <is>
          <t>MH-DC-002-MMR-SW-01</t>
        </is>
      </c>
      <c r="B1083" t="inlineStr">
        <is>
          <t>Ethernet10</t>
        </is>
      </c>
      <c r="C1083" t="inlineStr">
        <is>
          <t>10G SFP+</t>
        </is>
      </c>
      <c r="D1083" t="n">
        <v>10000</v>
      </c>
      <c r="E1083" t="inlineStr">
        <is>
          <t>up</t>
        </is>
      </c>
      <c r="F1083" t="inlineStr">
        <is>
          <t>Server NIC</t>
        </is>
      </c>
    </row>
    <row r="1084">
      <c r="A1084" t="inlineStr">
        <is>
          <t>MH-DC-002-MMR-SW-01</t>
        </is>
      </c>
      <c r="B1084" t="inlineStr">
        <is>
          <t>Ethernet11</t>
        </is>
      </c>
      <c r="C1084" t="inlineStr">
        <is>
          <t>10G SFP+</t>
        </is>
      </c>
      <c r="D1084" t="n">
        <v>10000</v>
      </c>
      <c r="E1084" t="inlineStr">
        <is>
          <t>up</t>
        </is>
      </c>
      <c r="F1084" t="inlineStr">
        <is>
          <t>Server NIC</t>
        </is>
      </c>
    </row>
    <row r="1085">
      <c r="A1085" t="inlineStr">
        <is>
          <t>MH-DC-002-MMR-SW-01</t>
        </is>
      </c>
      <c r="B1085" t="inlineStr">
        <is>
          <t>Ethernet12</t>
        </is>
      </c>
      <c r="C1085" t="inlineStr">
        <is>
          <t>10G SFP+</t>
        </is>
      </c>
      <c r="D1085" t="n">
        <v>10000</v>
      </c>
      <c r="E1085" t="inlineStr">
        <is>
          <t>up</t>
        </is>
      </c>
      <c r="F1085" t="inlineStr">
        <is>
          <t>Server NIC</t>
        </is>
      </c>
    </row>
    <row r="1086">
      <c r="A1086" t="inlineStr">
        <is>
          <t>MH-DC-002-MMR-SW-01</t>
        </is>
      </c>
      <c r="B1086" t="inlineStr">
        <is>
          <t>Ethernet13</t>
        </is>
      </c>
      <c r="C1086" t="inlineStr">
        <is>
          <t>10G SFP+</t>
        </is>
      </c>
      <c r="D1086" t="n">
        <v>10000</v>
      </c>
      <c r="E1086" t="inlineStr">
        <is>
          <t>up</t>
        </is>
      </c>
      <c r="F1086" t="inlineStr">
        <is>
          <t>Server NIC</t>
        </is>
      </c>
    </row>
    <row r="1087">
      <c r="A1087" t="inlineStr">
        <is>
          <t>MH-DC-002-MMR-SW-01</t>
        </is>
      </c>
      <c r="B1087" t="inlineStr">
        <is>
          <t>Ethernet14</t>
        </is>
      </c>
      <c r="C1087" t="inlineStr">
        <is>
          <t>10G SFP+</t>
        </is>
      </c>
      <c r="D1087" t="n">
        <v>10000</v>
      </c>
      <c r="E1087" t="inlineStr">
        <is>
          <t>up</t>
        </is>
      </c>
      <c r="F1087" t="inlineStr">
        <is>
          <t>Server NIC</t>
        </is>
      </c>
    </row>
    <row r="1088">
      <c r="A1088" t="inlineStr">
        <is>
          <t>MH-DC-002-MMR-SW-01</t>
        </is>
      </c>
      <c r="B1088" t="inlineStr">
        <is>
          <t>Ethernet15</t>
        </is>
      </c>
      <c r="C1088" t="inlineStr">
        <is>
          <t>10G SFP+</t>
        </is>
      </c>
      <c r="D1088" t="n">
        <v>10000</v>
      </c>
      <c r="E1088" t="inlineStr">
        <is>
          <t>up</t>
        </is>
      </c>
      <c r="F1088" t="inlineStr">
        <is>
          <t>Access to MH-DC-002-MON-02</t>
        </is>
      </c>
      <c r="G1088" t="inlineStr">
        <is>
          <t>SFP-10G-LR</t>
        </is>
      </c>
    </row>
    <row r="1089">
      <c r="A1089" t="inlineStr">
        <is>
          <t>MH-DC-002-MMR-SW-01</t>
        </is>
      </c>
      <c r="B1089" t="inlineStr">
        <is>
          <t>Ethernet16</t>
        </is>
      </c>
      <c r="C1089" t="inlineStr">
        <is>
          <t>10G SFP+</t>
        </is>
      </c>
      <c r="D1089" t="n">
        <v>10000</v>
      </c>
      <c r="E1089" t="inlineStr">
        <is>
          <t>up</t>
        </is>
      </c>
      <c r="F1089" t="inlineStr">
        <is>
          <t>Server NIC</t>
        </is>
      </c>
    </row>
    <row r="1090">
      <c r="A1090" t="inlineStr">
        <is>
          <t>MH-DC-002-MMR-SW-01</t>
        </is>
      </c>
      <c r="B1090" t="inlineStr">
        <is>
          <t>Ethernet17</t>
        </is>
      </c>
      <c r="C1090" t="inlineStr">
        <is>
          <t>10G SFP+</t>
        </is>
      </c>
      <c r="D1090" t="n">
        <v>10000</v>
      </c>
      <c r="E1090" t="inlineStr">
        <is>
          <t>up</t>
        </is>
      </c>
      <c r="F1090" t="inlineStr">
        <is>
          <t>Server NIC</t>
        </is>
      </c>
    </row>
    <row r="1091">
      <c r="A1091" t="inlineStr">
        <is>
          <t>MH-DC-002-MMR-SW-01</t>
        </is>
      </c>
      <c r="B1091" t="inlineStr">
        <is>
          <t>Ethernet18</t>
        </is>
      </c>
      <c r="C1091" t="inlineStr">
        <is>
          <t>10G SFP+</t>
        </is>
      </c>
      <c r="D1091" t="n">
        <v>10000</v>
      </c>
      <c r="E1091" t="inlineStr">
        <is>
          <t>up</t>
        </is>
      </c>
      <c r="F1091" t="inlineStr">
        <is>
          <t>Server NIC</t>
        </is>
      </c>
    </row>
    <row r="1092">
      <c r="A1092" t="inlineStr">
        <is>
          <t>MH-DC-002-MMR-SW-01</t>
        </is>
      </c>
      <c r="B1092" t="inlineStr">
        <is>
          <t>Ethernet19</t>
        </is>
      </c>
      <c r="C1092" t="inlineStr">
        <is>
          <t>10G SFP+</t>
        </is>
      </c>
      <c r="D1092" t="n">
        <v>10000</v>
      </c>
      <c r="E1092" t="inlineStr">
        <is>
          <t>up</t>
        </is>
      </c>
      <c r="F1092" t="inlineStr">
        <is>
          <t>Server NIC</t>
        </is>
      </c>
    </row>
    <row r="1093">
      <c r="A1093" t="inlineStr">
        <is>
          <t>MH-DC-002-MMR-SW-01</t>
        </is>
      </c>
      <c r="B1093" t="inlineStr">
        <is>
          <t>Ethernet20</t>
        </is>
      </c>
      <c r="C1093" t="inlineStr">
        <is>
          <t>10G SFP+</t>
        </is>
      </c>
      <c r="D1093" t="n">
        <v>10000</v>
      </c>
      <c r="E1093" t="inlineStr">
        <is>
          <t>up</t>
        </is>
      </c>
      <c r="F1093" t="inlineStr">
        <is>
          <t>Server NIC</t>
        </is>
      </c>
    </row>
    <row r="1094">
      <c r="A1094" t="inlineStr">
        <is>
          <t>MH-DC-002-MMR-SW-01</t>
        </is>
      </c>
      <c r="B1094" t="inlineStr">
        <is>
          <t>Ethernet21</t>
        </is>
      </c>
      <c r="C1094" t="inlineStr">
        <is>
          <t>10G SFP+</t>
        </is>
      </c>
      <c r="D1094" t="n">
        <v>10000</v>
      </c>
      <c r="E1094" t="inlineStr">
        <is>
          <t>admin-down</t>
        </is>
      </c>
    </row>
    <row r="1095">
      <c r="A1095" t="inlineStr">
        <is>
          <t>MH-DC-002-MMR-SW-01</t>
        </is>
      </c>
      <c r="B1095" t="inlineStr">
        <is>
          <t>Ethernet22</t>
        </is>
      </c>
      <c r="C1095" t="inlineStr">
        <is>
          <t>10G SFP+</t>
        </is>
      </c>
      <c r="D1095" t="n">
        <v>10000</v>
      </c>
      <c r="E1095" t="inlineStr">
        <is>
          <t>up</t>
        </is>
      </c>
      <c r="F1095" t="inlineStr">
        <is>
          <t>Server NIC</t>
        </is>
      </c>
    </row>
    <row r="1096">
      <c r="A1096" t="inlineStr">
        <is>
          <t>MH-DC-002-MMR-SW-01</t>
        </is>
      </c>
      <c r="B1096" t="inlineStr">
        <is>
          <t>Ethernet23</t>
        </is>
      </c>
      <c r="C1096" t="inlineStr">
        <is>
          <t>10G SFP+</t>
        </is>
      </c>
      <c r="D1096" t="n">
        <v>10000</v>
      </c>
      <c r="E1096" t="inlineStr">
        <is>
          <t>up</t>
        </is>
      </c>
      <c r="F1096" t="inlineStr">
        <is>
          <t>Server NIC</t>
        </is>
      </c>
    </row>
    <row r="1097">
      <c r="A1097" t="inlineStr">
        <is>
          <t>MH-DC-002-MMR-SW-01</t>
        </is>
      </c>
      <c r="B1097" t="inlineStr">
        <is>
          <t>Ethernet24</t>
        </is>
      </c>
      <c r="C1097" t="inlineStr">
        <is>
          <t>10G SFP+</t>
        </is>
      </c>
      <c r="D1097" t="n">
        <v>10000</v>
      </c>
      <c r="E1097" t="inlineStr">
        <is>
          <t>up</t>
        </is>
      </c>
      <c r="F1097" t="inlineStr">
        <is>
          <t>Server NIC</t>
        </is>
      </c>
    </row>
    <row r="1098">
      <c r="A1098" t="inlineStr">
        <is>
          <t>MH-DC-002-MMR-SW-01</t>
        </is>
      </c>
      <c r="B1098" t="inlineStr">
        <is>
          <t>Ethernet25</t>
        </is>
      </c>
      <c r="C1098" t="inlineStr">
        <is>
          <t>10G SFP+</t>
        </is>
      </c>
      <c r="D1098" t="n">
        <v>10000</v>
      </c>
      <c r="E1098" t="inlineStr">
        <is>
          <t>up</t>
        </is>
      </c>
      <c r="F1098" t="inlineStr">
        <is>
          <t>Server NIC</t>
        </is>
      </c>
    </row>
    <row r="1099">
      <c r="A1099" t="inlineStr">
        <is>
          <t>MH-DC-002-MMR-SW-01</t>
        </is>
      </c>
      <c r="B1099" t="inlineStr">
        <is>
          <t>Ethernet26</t>
        </is>
      </c>
      <c r="C1099" t="inlineStr">
        <is>
          <t>10G SFP+</t>
        </is>
      </c>
      <c r="D1099" t="n">
        <v>10000</v>
      </c>
      <c r="E1099" t="inlineStr">
        <is>
          <t>up</t>
        </is>
      </c>
      <c r="F1099" t="inlineStr">
        <is>
          <t>Server NIC</t>
        </is>
      </c>
    </row>
    <row r="1100">
      <c r="A1100" t="inlineStr">
        <is>
          <t>MH-DC-002-MMR-SW-01</t>
        </is>
      </c>
      <c r="B1100" t="inlineStr">
        <is>
          <t>Ethernet27</t>
        </is>
      </c>
      <c r="C1100" t="inlineStr">
        <is>
          <t>10G SFP+</t>
        </is>
      </c>
      <c r="D1100" t="n">
        <v>10000</v>
      </c>
      <c r="E1100" t="inlineStr">
        <is>
          <t>admin-down</t>
        </is>
      </c>
    </row>
    <row r="1101">
      <c r="A1101" t="inlineStr">
        <is>
          <t>MH-DC-002-MMR-SW-01</t>
        </is>
      </c>
      <c r="B1101" t="inlineStr">
        <is>
          <t>Ethernet28</t>
        </is>
      </c>
      <c r="C1101" t="inlineStr">
        <is>
          <t>10G SFP+</t>
        </is>
      </c>
      <c r="D1101" t="n">
        <v>10000</v>
      </c>
      <c r="E1101" t="inlineStr">
        <is>
          <t>reserved</t>
        </is>
      </c>
    </row>
    <row r="1102">
      <c r="A1102" t="inlineStr">
        <is>
          <t>MH-DC-002-MMR-SW-01</t>
        </is>
      </c>
      <c r="B1102" t="inlineStr">
        <is>
          <t>Ethernet29</t>
        </is>
      </c>
      <c r="C1102" t="inlineStr">
        <is>
          <t>10G SFP+</t>
        </is>
      </c>
      <c r="D1102" t="n">
        <v>10000</v>
      </c>
      <c r="E1102" t="inlineStr">
        <is>
          <t>up</t>
        </is>
      </c>
      <c r="F1102" t="inlineStr">
        <is>
          <t>Server NIC</t>
        </is>
      </c>
    </row>
    <row r="1103">
      <c r="A1103" t="inlineStr">
        <is>
          <t>MH-DC-002-MMR-SW-01</t>
        </is>
      </c>
      <c r="B1103" t="inlineStr">
        <is>
          <t>Ethernet30</t>
        </is>
      </c>
      <c r="C1103" t="inlineStr">
        <is>
          <t>10G SFP+</t>
        </is>
      </c>
      <c r="D1103" t="n">
        <v>10000</v>
      </c>
      <c r="E1103" t="inlineStr">
        <is>
          <t>up</t>
        </is>
      </c>
      <c r="F1103" t="inlineStr">
        <is>
          <t>Server NIC</t>
        </is>
      </c>
    </row>
    <row r="1104">
      <c r="A1104" t="inlineStr">
        <is>
          <t>MH-DC-002-MMR-SW-01</t>
        </is>
      </c>
      <c r="B1104" t="inlineStr">
        <is>
          <t>Ethernet31</t>
        </is>
      </c>
      <c r="C1104" t="inlineStr">
        <is>
          <t>10G SFP+</t>
        </is>
      </c>
      <c r="D1104" t="n">
        <v>10000</v>
      </c>
      <c r="E1104" t="inlineStr">
        <is>
          <t>up</t>
        </is>
      </c>
      <c r="F1104" t="inlineStr">
        <is>
          <t>Server NIC</t>
        </is>
      </c>
    </row>
    <row r="1105">
      <c r="A1105" t="inlineStr">
        <is>
          <t>MH-DC-002-MMR-SW-01</t>
        </is>
      </c>
      <c r="B1105" t="inlineStr">
        <is>
          <t>Ethernet32</t>
        </is>
      </c>
      <c r="C1105" t="inlineStr">
        <is>
          <t>10G SFP+</t>
        </is>
      </c>
      <c r="D1105" t="n">
        <v>10000</v>
      </c>
      <c r="E1105" t="inlineStr">
        <is>
          <t>admin-down</t>
        </is>
      </c>
    </row>
    <row r="1106">
      <c r="A1106" t="inlineStr">
        <is>
          <t>MH-DC-002-MMR-SW-01</t>
        </is>
      </c>
      <c r="B1106" t="inlineStr">
        <is>
          <t>Ethernet33</t>
        </is>
      </c>
      <c r="C1106" t="inlineStr">
        <is>
          <t>10G SFP+</t>
        </is>
      </c>
      <c r="D1106" t="n">
        <v>10000</v>
      </c>
      <c r="E1106" t="inlineStr">
        <is>
          <t>up</t>
        </is>
      </c>
      <c r="F1106" t="inlineStr">
        <is>
          <t>Server NIC</t>
        </is>
      </c>
    </row>
    <row r="1107">
      <c r="A1107" t="inlineStr">
        <is>
          <t>MH-DC-002-MMR-SW-01</t>
        </is>
      </c>
      <c r="B1107" t="inlineStr">
        <is>
          <t>Ethernet34</t>
        </is>
      </c>
      <c r="C1107" t="inlineStr">
        <is>
          <t>10G SFP+</t>
        </is>
      </c>
      <c r="D1107" t="n">
        <v>10000</v>
      </c>
      <c r="E1107" t="inlineStr">
        <is>
          <t>up</t>
        </is>
      </c>
      <c r="F1107" t="inlineStr">
        <is>
          <t>Server NIC</t>
        </is>
      </c>
    </row>
    <row r="1108">
      <c r="A1108" t="inlineStr">
        <is>
          <t>MH-DC-002-MMR-SW-01</t>
        </is>
      </c>
      <c r="B1108" t="inlineStr">
        <is>
          <t>Ethernet35</t>
        </is>
      </c>
      <c r="C1108" t="inlineStr">
        <is>
          <t>10G SFP+</t>
        </is>
      </c>
      <c r="D1108" t="n">
        <v>10000</v>
      </c>
      <c r="E1108" t="inlineStr">
        <is>
          <t>up</t>
        </is>
      </c>
      <c r="F1108" t="inlineStr">
        <is>
          <t>Server NIC</t>
        </is>
      </c>
    </row>
    <row r="1109">
      <c r="A1109" t="inlineStr">
        <is>
          <t>MH-DC-002-MMR-SW-01</t>
        </is>
      </c>
      <c r="B1109" t="inlineStr">
        <is>
          <t>Ethernet36</t>
        </is>
      </c>
      <c r="C1109" t="inlineStr">
        <is>
          <t>10G SFP+</t>
        </is>
      </c>
      <c r="D1109" t="n">
        <v>10000</v>
      </c>
      <c r="E1109" t="inlineStr">
        <is>
          <t>admin-down</t>
        </is>
      </c>
    </row>
    <row r="1110">
      <c r="A1110" t="inlineStr">
        <is>
          <t>MH-DC-002-MMR-SW-01</t>
        </is>
      </c>
      <c r="B1110" t="inlineStr">
        <is>
          <t>Ethernet37</t>
        </is>
      </c>
      <c r="C1110" t="inlineStr">
        <is>
          <t>10G SFP+</t>
        </is>
      </c>
      <c r="D1110" t="n">
        <v>10000</v>
      </c>
      <c r="E1110" t="inlineStr">
        <is>
          <t>admin-down</t>
        </is>
      </c>
    </row>
    <row r="1111">
      <c r="A1111" t="inlineStr">
        <is>
          <t>MH-DC-002-MMR-SW-01</t>
        </is>
      </c>
      <c r="B1111" t="inlineStr">
        <is>
          <t>Ethernet38</t>
        </is>
      </c>
      <c r="C1111" t="inlineStr">
        <is>
          <t>10G SFP+</t>
        </is>
      </c>
      <c r="D1111" t="n">
        <v>10000</v>
      </c>
      <c r="E1111" t="inlineStr">
        <is>
          <t>up</t>
        </is>
      </c>
      <c r="F1111" t="inlineStr">
        <is>
          <t>Server NIC</t>
        </is>
      </c>
    </row>
    <row r="1112">
      <c r="A1112" t="inlineStr">
        <is>
          <t>MH-DC-002-MMR-SW-01</t>
        </is>
      </c>
      <c r="B1112" t="inlineStr">
        <is>
          <t>Ethernet39</t>
        </is>
      </c>
      <c r="C1112" t="inlineStr">
        <is>
          <t>10G SFP+</t>
        </is>
      </c>
      <c r="D1112" t="n">
        <v>10000</v>
      </c>
      <c r="E1112" t="inlineStr">
        <is>
          <t>admin-down</t>
        </is>
      </c>
    </row>
    <row r="1113">
      <c r="A1113" t="inlineStr">
        <is>
          <t>MH-DC-002-MMR-SW-01</t>
        </is>
      </c>
      <c r="B1113" t="inlineStr">
        <is>
          <t>Ethernet40</t>
        </is>
      </c>
      <c r="C1113" t="inlineStr">
        <is>
          <t>10G SFP+</t>
        </is>
      </c>
      <c r="D1113" t="n">
        <v>10000</v>
      </c>
      <c r="E1113" t="inlineStr">
        <is>
          <t>admin-down</t>
        </is>
      </c>
    </row>
    <row r="1114">
      <c r="A1114" t="inlineStr">
        <is>
          <t>MH-DC-002-MMR-SW-01</t>
        </is>
      </c>
      <c r="B1114" t="inlineStr">
        <is>
          <t>Ethernet41</t>
        </is>
      </c>
      <c r="C1114" t="inlineStr">
        <is>
          <t>10G SFP+</t>
        </is>
      </c>
      <c r="D1114" t="n">
        <v>10000</v>
      </c>
      <c r="E1114" t="inlineStr">
        <is>
          <t>up</t>
        </is>
      </c>
      <c r="F1114" t="inlineStr">
        <is>
          <t>Server NIC</t>
        </is>
      </c>
    </row>
    <row r="1115">
      <c r="A1115" t="inlineStr">
        <is>
          <t>MH-DC-002-MMR-SW-01</t>
        </is>
      </c>
      <c r="B1115" t="inlineStr">
        <is>
          <t>Ethernet42</t>
        </is>
      </c>
      <c r="C1115" t="inlineStr">
        <is>
          <t>10G SFP+</t>
        </is>
      </c>
      <c r="D1115" t="n">
        <v>10000</v>
      </c>
      <c r="E1115" t="inlineStr">
        <is>
          <t>admin-down</t>
        </is>
      </c>
    </row>
    <row r="1116">
      <c r="A1116" t="inlineStr">
        <is>
          <t>MH-DC-002-MMR-SW-01</t>
        </is>
      </c>
      <c r="B1116" t="inlineStr">
        <is>
          <t>Ethernet43</t>
        </is>
      </c>
      <c r="C1116" t="inlineStr">
        <is>
          <t>10G SFP+</t>
        </is>
      </c>
      <c r="D1116" t="n">
        <v>10000</v>
      </c>
      <c r="E1116" t="inlineStr">
        <is>
          <t>reserved</t>
        </is>
      </c>
    </row>
    <row r="1117">
      <c r="A1117" t="inlineStr">
        <is>
          <t>MH-DC-002-MMR-SW-01</t>
        </is>
      </c>
      <c r="B1117" t="inlineStr">
        <is>
          <t>Ethernet44</t>
        </is>
      </c>
      <c r="C1117" t="inlineStr">
        <is>
          <t>10G SFP+</t>
        </is>
      </c>
      <c r="D1117" t="n">
        <v>10000</v>
      </c>
      <c r="E1117" t="inlineStr">
        <is>
          <t>up</t>
        </is>
      </c>
      <c r="F1117" t="inlineStr">
        <is>
          <t>Server NIC</t>
        </is>
      </c>
    </row>
    <row r="1118">
      <c r="A1118" t="inlineStr">
        <is>
          <t>MH-DC-002-MMR-SW-01</t>
        </is>
      </c>
      <c r="B1118" t="inlineStr">
        <is>
          <t>Ethernet45</t>
        </is>
      </c>
      <c r="C1118" t="inlineStr">
        <is>
          <t>10G SFP+</t>
        </is>
      </c>
      <c r="D1118" t="n">
        <v>10000</v>
      </c>
      <c r="E1118" t="inlineStr">
        <is>
          <t>up</t>
        </is>
      </c>
      <c r="F1118" t="inlineStr">
        <is>
          <t>Server NIC</t>
        </is>
      </c>
    </row>
    <row r="1119">
      <c r="A1119" t="inlineStr">
        <is>
          <t>MH-DC-002-MMR-SW-01</t>
        </is>
      </c>
      <c r="B1119" t="inlineStr">
        <is>
          <t>Ethernet46</t>
        </is>
      </c>
      <c r="C1119" t="inlineStr">
        <is>
          <t>10G SFP+</t>
        </is>
      </c>
      <c r="D1119" t="n">
        <v>10000</v>
      </c>
      <c r="E1119" t="inlineStr">
        <is>
          <t>up</t>
        </is>
      </c>
      <c r="F1119" t="inlineStr">
        <is>
          <t>Server NIC</t>
        </is>
      </c>
    </row>
    <row r="1120">
      <c r="A1120" t="inlineStr">
        <is>
          <t>MH-DC-002-MMR-SW-01</t>
        </is>
      </c>
      <c r="B1120" t="inlineStr">
        <is>
          <t>Ethernet47</t>
        </is>
      </c>
      <c r="C1120" t="inlineStr">
        <is>
          <t>10G SFP+</t>
        </is>
      </c>
      <c r="D1120" t="n">
        <v>10000</v>
      </c>
      <c r="E1120" t="inlineStr">
        <is>
          <t>up</t>
        </is>
      </c>
      <c r="F1120" t="inlineStr">
        <is>
          <t>Server NIC</t>
        </is>
      </c>
    </row>
    <row r="1121">
      <c r="A1121" t="inlineStr">
        <is>
          <t>MH-DC-002-MMR-SW-01</t>
        </is>
      </c>
      <c r="B1121" t="inlineStr">
        <is>
          <t>Ethernet48</t>
        </is>
      </c>
      <c r="C1121" t="inlineStr">
        <is>
          <t>10G SFP+</t>
        </is>
      </c>
      <c r="D1121" t="n">
        <v>10000</v>
      </c>
      <c r="E1121" t="inlineStr">
        <is>
          <t>up</t>
        </is>
      </c>
      <c r="F1121" t="inlineStr">
        <is>
          <t>Server NIC</t>
        </is>
      </c>
    </row>
    <row r="1122">
      <c r="A1122" t="inlineStr">
        <is>
          <t>MH-DC-002-MMR-SW-01</t>
        </is>
      </c>
      <c r="B1122" t="inlineStr">
        <is>
          <t>Ethernet49/1</t>
        </is>
      </c>
      <c r="C1122" t="inlineStr">
        <is>
          <t>100G QSFP28</t>
        </is>
      </c>
      <c r="D1122" t="n">
        <v>100000</v>
      </c>
      <c r="E1122" t="inlineStr">
        <is>
          <t>up</t>
        </is>
      </c>
      <c r="F1122" t="inlineStr">
        <is>
          <t>Uplink to MH-DC-002-AGG-R01</t>
        </is>
      </c>
      <c r="G1122" t="inlineStr">
        <is>
          <t>QSFP28-100G-LR4</t>
        </is>
      </c>
    </row>
    <row r="1123">
      <c r="A1123" t="inlineStr">
        <is>
          <t>MH-DC-002-MMR-SW-01</t>
        </is>
      </c>
      <c r="B1123" t="inlineStr">
        <is>
          <t>Ethernet49/2</t>
        </is>
      </c>
      <c r="C1123" t="inlineStr">
        <is>
          <t>100G QSFP28</t>
        </is>
      </c>
      <c r="D1123" t="n">
        <v>100000</v>
      </c>
      <c r="E1123" t="inlineStr">
        <is>
          <t>up</t>
        </is>
      </c>
      <c r="F1123" t="inlineStr">
        <is>
          <t>Uplink to MH-DC-002-AGG-R02</t>
        </is>
      </c>
      <c r="G1123" t="inlineStr">
        <is>
          <t>QSFP28-100G-LR4</t>
        </is>
      </c>
    </row>
    <row r="1124">
      <c r="A1124" t="inlineStr">
        <is>
          <t>MH-DC-002-MMR-SW-01</t>
        </is>
      </c>
      <c r="B1124" t="inlineStr">
        <is>
          <t>Ethernet49/3</t>
        </is>
      </c>
      <c r="C1124" t="inlineStr">
        <is>
          <t>100G QSFP28</t>
        </is>
      </c>
      <c r="D1124" t="n">
        <v>100000</v>
      </c>
      <c r="E1124" t="inlineStr">
        <is>
          <t>admin-down</t>
        </is>
      </c>
    </row>
    <row r="1125">
      <c r="A1125" t="inlineStr">
        <is>
          <t>MH-DC-002-MMR-SW-01</t>
        </is>
      </c>
      <c r="B1125" t="inlineStr">
        <is>
          <t>Ethernet49/4</t>
        </is>
      </c>
      <c r="C1125" t="inlineStr">
        <is>
          <t>100G QSFP28</t>
        </is>
      </c>
      <c r="D1125" t="n">
        <v>100000</v>
      </c>
      <c r="E1125" t="inlineStr">
        <is>
          <t>admin-down</t>
        </is>
      </c>
    </row>
    <row r="1126">
      <c r="A1126" t="inlineStr">
        <is>
          <t>MH-DC-002-MMR-SW-02</t>
        </is>
      </c>
      <c r="B1126" t="inlineStr">
        <is>
          <t>xe-0/0/0</t>
        </is>
      </c>
      <c r="C1126" t="inlineStr">
        <is>
          <t>10G SFP+</t>
        </is>
      </c>
      <c r="D1126" t="n">
        <v>10000</v>
      </c>
      <c r="E1126" t="inlineStr">
        <is>
          <t>up</t>
        </is>
      </c>
      <c r="F1126" t="inlineStr">
        <is>
          <t>Access to MH-DC-002-TOR-001</t>
        </is>
      </c>
      <c r="G1126" t="inlineStr">
        <is>
          <t>SFP-10G-LR</t>
        </is>
      </c>
    </row>
    <row r="1127">
      <c r="A1127" t="inlineStr">
        <is>
          <t>MH-DC-002-MMR-SW-02</t>
        </is>
      </c>
      <c r="B1127" t="inlineStr">
        <is>
          <t>xe-0/0/1</t>
        </is>
      </c>
      <c r="C1127" t="inlineStr">
        <is>
          <t>10G SFP+</t>
        </is>
      </c>
      <c r="D1127" t="n">
        <v>10000</v>
      </c>
      <c r="E1127" t="inlineStr">
        <is>
          <t>up</t>
        </is>
      </c>
      <c r="F1127" t="inlineStr">
        <is>
          <t>Access to MH-DC-002-TOR-002</t>
        </is>
      </c>
      <c r="G1127" t="inlineStr">
        <is>
          <t>SFP-10G-LR</t>
        </is>
      </c>
    </row>
    <row r="1128">
      <c r="A1128" t="inlineStr">
        <is>
          <t>MH-DC-002-MMR-SW-02</t>
        </is>
      </c>
      <c r="B1128" t="inlineStr">
        <is>
          <t>xe-0/0/2</t>
        </is>
      </c>
      <c r="C1128" t="inlineStr">
        <is>
          <t>10G SFP+</t>
        </is>
      </c>
      <c r="D1128" t="n">
        <v>10000</v>
      </c>
      <c r="E1128" t="inlineStr">
        <is>
          <t>up</t>
        </is>
      </c>
      <c r="F1128" t="inlineStr">
        <is>
          <t>Server NIC</t>
        </is>
      </c>
    </row>
    <row r="1129">
      <c r="A1129" t="inlineStr">
        <is>
          <t>MH-DC-002-MMR-SW-02</t>
        </is>
      </c>
      <c r="B1129" t="inlineStr">
        <is>
          <t>xe-0/0/3</t>
        </is>
      </c>
      <c r="C1129" t="inlineStr">
        <is>
          <t>10G SFP+</t>
        </is>
      </c>
      <c r="D1129" t="n">
        <v>10000</v>
      </c>
      <c r="E1129" t="inlineStr">
        <is>
          <t>up</t>
        </is>
      </c>
      <c r="F1129" t="inlineStr">
        <is>
          <t>Server NIC</t>
        </is>
      </c>
    </row>
    <row r="1130">
      <c r="A1130" t="inlineStr">
        <is>
          <t>MH-DC-002-MMR-SW-02</t>
        </is>
      </c>
      <c r="B1130" t="inlineStr">
        <is>
          <t>xe-0/0/4</t>
        </is>
      </c>
      <c r="C1130" t="inlineStr">
        <is>
          <t>10G SFP+</t>
        </is>
      </c>
      <c r="D1130" t="n">
        <v>10000</v>
      </c>
      <c r="E1130" t="inlineStr">
        <is>
          <t>up</t>
        </is>
      </c>
      <c r="F1130" t="inlineStr">
        <is>
          <t>Server NIC</t>
        </is>
      </c>
    </row>
    <row r="1131">
      <c r="A1131" t="inlineStr">
        <is>
          <t>MH-DC-002-MMR-SW-02</t>
        </is>
      </c>
      <c r="B1131" t="inlineStr">
        <is>
          <t>xe-0/0/5</t>
        </is>
      </c>
      <c r="C1131" t="inlineStr">
        <is>
          <t>10G SFP+</t>
        </is>
      </c>
      <c r="D1131" t="n">
        <v>10000</v>
      </c>
      <c r="E1131" t="inlineStr">
        <is>
          <t>up</t>
        </is>
      </c>
      <c r="F1131" t="inlineStr">
        <is>
          <t>Server NIC</t>
        </is>
      </c>
    </row>
    <row r="1132">
      <c r="A1132" t="inlineStr">
        <is>
          <t>MH-DC-002-MMR-SW-02</t>
        </is>
      </c>
      <c r="B1132" t="inlineStr">
        <is>
          <t>xe-0/0/6</t>
        </is>
      </c>
      <c r="C1132" t="inlineStr">
        <is>
          <t>10G SFP+</t>
        </is>
      </c>
      <c r="D1132" t="n">
        <v>10000</v>
      </c>
      <c r="E1132" t="inlineStr">
        <is>
          <t>up</t>
        </is>
      </c>
      <c r="F1132" t="inlineStr">
        <is>
          <t>Server NIC</t>
        </is>
      </c>
    </row>
    <row r="1133">
      <c r="A1133" t="inlineStr">
        <is>
          <t>MH-DC-002-MMR-SW-02</t>
        </is>
      </c>
      <c r="B1133" t="inlineStr">
        <is>
          <t>xe-0/0/7</t>
        </is>
      </c>
      <c r="C1133" t="inlineStr">
        <is>
          <t>10G SFP+</t>
        </is>
      </c>
      <c r="D1133" t="n">
        <v>10000</v>
      </c>
      <c r="E1133" t="inlineStr">
        <is>
          <t>up</t>
        </is>
      </c>
      <c r="F1133" t="inlineStr">
        <is>
          <t>Server NIC</t>
        </is>
      </c>
    </row>
    <row r="1134">
      <c r="A1134" t="inlineStr">
        <is>
          <t>MH-DC-002-MMR-SW-02</t>
        </is>
      </c>
      <c r="B1134" t="inlineStr">
        <is>
          <t>xe-0/0/8</t>
        </is>
      </c>
      <c r="C1134" t="inlineStr">
        <is>
          <t>10G SFP+</t>
        </is>
      </c>
      <c r="D1134" t="n">
        <v>10000</v>
      </c>
      <c r="E1134" t="inlineStr">
        <is>
          <t>up</t>
        </is>
      </c>
      <c r="F1134" t="inlineStr">
        <is>
          <t>Server NIC</t>
        </is>
      </c>
    </row>
    <row r="1135">
      <c r="A1135" t="inlineStr">
        <is>
          <t>MH-DC-002-MMR-SW-02</t>
        </is>
      </c>
      <c r="B1135" t="inlineStr">
        <is>
          <t>xe-0/0/9</t>
        </is>
      </c>
      <c r="C1135" t="inlineStr">
        <is>
          <t>10G SFP+</t>
        </is>
      </c>
      <c r="D1135" t="n">
        <v>10000</v>
      </c>
      <c r="E1135" t="inlineStr">
        <is>
          <t>up</t>
        </is>
      </c>
      <c r="F1135" t="inlineStr">
        <is>
          <t>Server NIC</t>
        </is>
      </c>
    </row>
    <row r="1136">
      <c r="A1136" t="inlineStr">
        <is>
          <t>MH-DC-002-MMR-SW-02</t>
        </is>
      </c>
      <c r="B1136" t="inlineStr">
        <is>
          <t>xe-0/0/10</t>
        </is>
      </c>
      <c r="C1136" t="inlineStr">
        <is>
          <t>10G SFP+</t>
        </is>
      </c>
      <c r="D1136" t="n">
        <v>10000</v>
      </c>
      <c r="E1136" t="inlineStr">
        <is>
          <t>up</t>
        </is>
      </c>
      <c r="F1136" t="inlineStr">
        <is>
          <t>Access to MH-DC-002-DCIM-02</t>
        </is>
      </c>
      <c r="G1136" t="inlineStr">
        <is>
          <t>SFP-10G-LR</t>
        </is>
      </c>
    </row>
    <row r="1137">
      <c r="A1137" t="inlineStr">
        <is>
          <t>MH-DC-002-MMR-SW-02</t>
        </is>
      </c>
      <c r="B1137" t="inlineStr">
        <is>
          <t>xe-0/0/11</t>
        </is>
      </c>
      <c r="C1137" t="inlineStr">
        <is>
          <t>10G SFP+</t>
        </is>
      </c>
      <c r="D1137" t="n">
        <v>10000</v>
      </c>
      <c r="E1137" t="inlineStr">
        <is>
          <t>up</t>
        </is>
      </c>
      <c r="F1137" t="inlineStr">
        <is>
          <t>Access to MH-DC-002-MON-01</t>
        </is>
      </c>
      <c r="G1137" t="inlineStr">
        <is>
          <t>SFP-10G-LR</t>
        </is>
      </c>
    </row>
    <row r="1138">
      <c r="A1138" t="inlineStr">
        <is>
          <t>MH-DC-002-MMR-SW-02</t>
        </is>
      </c>
      <c r="B1138" t="inlineStr">
        <is>
          <t>xe-0/0/12</t>
        </is>
      </c>
      <c r="C1138" t="inlineStr">
        <is>
          <t>10G SFP+</t>
        </is>
      </c>
      <c r="D1138" t="n">
        <v>10000</v>
      </c>
      <c r="E1138" t="inlineStr">
        <is>
          <t>up</t>
        </is>
      </c>
      <c r="F1138" t="inlineStr">
        <is>
          <t>Server NIC</t>
        </is>
      </c>
    </row>
    <row r="1139">
      <c r="A1139" t="inlineStr">
        <is>
          <t>MH-DC-002-MMR-SW-02</t>
        </is>
      </c>
      <c r="B1139" t="inlineStr">
        <is>
          <t>xe-0/0/13</t>
        </is>
      </c>
      <c r="C1139" t="inlineStr">
        <is>
          <t>10G SFP+</t>
        </is>
      </c>
      <c r="D1139" t="n">
        <v>10000</v>
      </c>
      <c r="E1139" t="inlineStr">
        <is>
          <t>up</t>
        </is>
      </c>
      <c r="F1139" t="inlineStr">
        <is>
          <t>Access to MH-DC-002-MON-02</t>
        </is>
      </c>
      <c r="G1139" t="inlineStr">
        <is>
          <t>SFP-10G-LR</t>
        </is>
      </c>
    </row>
    <row r="1140">
      <c r="A1140" t="inlineStr">
        <is>
          <t>MH-DC-002-MMR-SW-02</t>
        </is>
      </c>
      <c r="B1140" t="inlineStr">
        <is>
          <t>xe-0/0/14</t>
        </is>
      </c>
      <c r="C1140" t="inlineStr">
        <is>
          <t>10G SFP+</t>
        </is>
      </c>
      <c r="D1140" t="n">
        <v>10000</v>
      </c>
      <c r="E1140" t="inlineStr">
        <is>
          <t>admin-down</t>
        </is>
      </c>
    </row>
    <row r="1141">
      <c r="A1141" t="inlineStr">
        <is>
          <t>MH-DC-002-MMR-SW-02</t>
        </is>
      </c>
      <c r="B1141" t="inlineStr">
        <is>
          <t>xe-0/0/15</t>
        </is>
      </c>
      <c r="C1141" t="inlineStr">
        <is>
          <t>10G SFP+</t>
        </is>
      </c>
      <c r="D1141" t="n">
        <v>10000</v>
      </c>
      <c r="E1141" t="inlineStr">
        <is>
          <t>up</t>
        </is>
      </c>
      <c r="F1141" t="inlineStr">
        <is>
          <t>Server NIC</t>
        </is>
      </c>
    </row>
    <row r="1142">
      <c r="A1142" t="inlineStr">
        <is>
          <t>MH-DC-002-MMR-SW-02</t>
        </is>
      </c>
      <c r="B1142" t="inlineStr">
        <is>
          <t>xe-0/0/16</t>
        </is>
      </c>
      <c r="C1142" t="inlineStr">
        <is>
          <t>10G SFP+</t>
        </is>
      </c>
      <c r="D1142" t="n">
        <v>10000</v>
      </c>
      <c r="E1142" t="inlineStr">
        <is>
          <t>up</t>
        </is>
      </c>
      <c r="F1142" t="inlineStr">
        <is>
          <t>Server NIC</t>
        </is>
      </c>
    </row>
    <row r="1143">
      <c r="A1143" t="inlineStr">
        <is>
          <t>MH-DC-002-MMR-SW-02</t>
        </is>
      </c>
      <c r="B1143" t="inlineStr">
        <is>
          <t>xe-0/0/17</t>
        </is>
      </c>
      <c r="C1143" t="inlineStr">
        <is>
          <t>10G SFP+</t>
        </is>
      </c>
      <c r="D1143" t="n">
        <v>10000</v>
      </c>
      <c r="E1143" t="inlineStr">
        <is>
          <t>up</t>
        </is>
      </c>
      <c r="F1143" t="inlineStr">
        <is>
          <t>Server NIC</t>
        </is>
      </c>
    </row>
    <row r="1144">
      <c r="A1144" t="inlineStr">
        <is>
          <t>MH-DC-002-MMR-SW-02</t>
        </is>
      </c>
      <c r="B1144" t="inlineStr">
        <is>
          <t>xe-0/0/18</t>
        </is>
      </c>
      <c r="C1144" t="inlineStr">
        <is>
          <t>10G SFP+</t>
        </is>
      </c>
      <c r="D1144" t="n">
        <v>10000</v>
      </c>
      <c r="E1144" t="inlineStr">
        <is>
          <t>up</t>
        </is>
      </c>
      <c r="F1144" t="inlineStr">
        <is>
          <t>Server NIC</t>
        </is>
      </c>
    </row>
    <row r="1145">
      <c r="A1145" t="inlineStr">
        <is>
          <t>MH-DC-002-MMR-SW-02</t>
        </is>
      </c>
      <c r="B1145" t="inlineStr">
        <is>
          <t>xe-0/0/19</t>
        </is>
      </c>
      <c r="C1145" t="inlineStr">
        <is>
          <t>10G SFP+</t>
        </is>
      </c>
      <c r="D1145" t="n">
        <v>10000</v>
      </c>
      <c r="E1145" t="inlineStr">
        <is>
          <t>admin-down</t>
        </is>
      </c>
    </row>
    <row r="1146">
      <c r="A1146" t="inlineStr">
        <is>
          <t>MH-DC-002-MMR-SW-02</t>
        </is>
      </c>
      <c r="B1146" t="inlineStr">
        <is>
          <t>xe-0/0/20</t>
        </is>
      </c>
      <c r="C1146" t="inlineStr">
        <is>
          <t>10G SFP+</t>
        </is>
      </c>
      <c r="D1146" t="n">
        <v>10000</v>
      </c>
      <c r="E1146" t="inlineStr">
        <is>
          <t>up</t>
        </is>
      </c>
      <c r="F1146" t="inlineStr">
        <is>
          <t>Server NIC</t>
        </is>
      </c>
    </row>
    <row r="1147">
      <c r="A1147" t="inlineStr">
        <is>
          <t>MH-DC-002-MMR-SW-02</t>
        </is>
      </c>
      <c r="B1147" t="inlineStr">
        <is>
          <t>xe-0/0/21</t>
        </is>
      </c>
      <c r="C1147" t="inlineStr">
        <is>
          <t>10G SFP+</t>
        </is>
      </c>
      <c r="D1147" t="n">
        <v>10000</v>
      </c>
      <c r="E1147" t="inlineStr">
        <is>
          <t>admin-down</t>
        </is>
      </c>
    </row>
    <row r="1148">
      <c r="A1148" t="inlineStr">
        <is>
          <t>MH-DC-002-MMR-SW-02</t>
        </is>
      </c>
      <c r="B1148" t="inlineStr">
        <is>
          <t>xe-0/0/22</t>
        </is>
      </c>
      <c r="C1148" t="inlineStr">
        <is>
          <t>10G SFP+</t>
        </is>
      </c>
      <c r="D1148" t="n">
        <v>10000</v>
      </c>
      <c r="E1148" t="inlineStr">
        <is>
          <t>up</t>
        </is>
      </c>
      <c r="F1148" t="inlineStr">
        <is>
          <t>Server NIC</t>
        </is>
      </c>
    </row>
    <row r="1149">
      <c r="A1149" t="inlineStr">
        <is>
          <t>MH-DC-002-MMR-SW-02</t>
        </is>
      </c>
      <c r="B1149" t="inlineStr">
        <is>
          <t>xe-0/0/23</t>
        </is>
      </c>
      <c r="C1149" t="inlineStr">
        <is>
          <t>10G SFP+</t>
        </is>
      </c>
      <c r="D1149" t="n">
        <v>10000</v>
      </c>
      <c r="E1149" t="inlineStr">
        <is>
          <t>admin-down</t>
        </is>
      </c>
    </row>
    <row r="1150">
      <c r="A1150" t="inlineStr">
        <is>
          <t>MH-DC-002-MMR-SW-02</t>
        </is>
      </c>
      <c r="B1150" t="inlineStr">
        <is>
          <t>xe-0/0/24</t>
        </is>
      </c>
      <c r="C1150" t="inlineStr">
        <is>
          <t>10G SFP+</t>
        </is>
      </c>
      <c r="D1150" t="n">
        <v>10000</v>
      </c>
      <c r="E1150" t="inlineStr">
        <is>
          <t>reserved</t>
        </is>
      </c>
    </row>
    <row r="1151">
      <c r="A1151" t="inlineStr">
        <is>
          <t>MH-DC-002-MMR-SW-02</t>
        </is>
      </c>
      <c r="B1151" t="inlineStr">
        <is>
          <t>xe-0/0/25</t>
        </is>
      </c>
      <c r="C1151" t="inlineStr">
        <is>
          <t>10G SFP+</t>
        </is>
      </c>
      <c r="D1151" t="n">
        <v>10000</v>
      </c>
      <c r="E1151" t="inlineStr">
        <is>
          <t>admin-down</t>
        </is>
      </c>
    </row>
    <row r="1152">
      <c r="A1152" t="inlineStr">
        <is>
          <t>MH-DC-002-MMR-SW-02</t>
        </is>
      </c>
      <c r="B1152" t="inlineStr">
        <is>
          <t>xe-0/0/26</t>
        </is>
      </c>
      <c r="C1152" t="inlineStr">
        <is>
          <t>10G SFP+</t>
        </is>
      </c>
      <c r="D1152" t="n">
        <v>10000</v>
      </c>
      <c r="E1152" t="inlineStr">
        <is>
          <t>up</t>
        </is>
      </c>
      <c r="F1152" t="inlineStr">
        <is>
          <t>Server NIC</t>
        </is>
      </c>
    </row>
    <row r="1153">
      <c r="A1153" t="inlineStr">
        <is>
          <t>MH-DC-002-MMR-SW-02</t>
        </is>
      </c>
      <c r="B1153" t="inlineStr">
        <is>
          <t>xe-0/0/27</t>
        </is>
      </c>
      <c r="C1153" t="inlineStr">
        <is>
          <t>10G SFP+</t>
        </is>
      </c>
      <c r="D1153" t="n">
        <v>10000</v>
      </c>
      <c r="E1153" t="inlineStr">
        <is>
          <t>up</t>
        </is>
      </c>
      <c r="F1153" t="inlineStr">
        <is>
          <t>Server NIC</t>
        </is>
      </c>
    </row>
    <row r="1154">
      <c r="A1154" t="inlineStr">
        <is>
          <t>MH-DC-002-MMR-SW-02</t>
        </is>
      </c>
      <c r="B1154" t="inlineStr">
        <is>
          <t>xe-0/0/28</t>
        </is>
      </c>
      <c r="C1154" t="inlineStr">
        <is>
          <t>10G SFP+</t>
        </is>
      </c>
      <c r="D1154" t="n">
        <v>10000</v>
      </c>
      <c r="E1154" t="inlineStr">
        <is>
          <t>admin-down</t>
        </is>
      </c>
    </row>
    <row r="1155">
      <c r="A1155" t="inlineStr">
        <is>
          <t>MH-DC-002-MMR-SW-02</t>
        </is>
      </c>
      <c r="B1155" t="inlineStr">
        <is>
          <t>xe-0/0/29</t>
        </is>
      </c>
      <c r="C1155" t="inlineStr">
        <is>
          <t>10G SFP+</t>
        </is>
      </c>
      <c r="D1155" t="n">
        <v>10000</v>
      </c>
      <c r="E1155" t="inlineStr">
        <is>
          <t>up</t>
        </is>
      </c>
      <c r="F1155" t="inlineStr">
        <is>
          <t>Server NIC</t>
        </is>
      </c>
    </row>
    <row r="1156">
      <c r="A1156" t="inlineStr">
        <is>
          <t>MH-DC-002-MMR-SW-02</t>
        </is>
      </c>
      <c r="B1156" t="inlineStr">
        <is>
          <t>xe-0/0/30</t>
        </is>
      </c>
      <c r="C1156" t="inlineStr">
        <is>
          <t>10G SFP+</t>
        </is>
      </c>
      <c r="D1156" t="n">
        <v>10000</v>
      </c>
      <c r="E1156" t="inlineStr">
        <is>
          <t>up</t>
        </is>
      </c>
      <c r="F1156" t="inlineStr">
        <is>
          <t>Server NIC</t>
        </is>
      </c>
    </row>
    <row r="1157">
      <c r="A1157" t="inlineStr">
        <is>
          <t>MH-DC-002-MMR-SW-02</t>
        </is>
      </c>
      <c r="B1157" t="inlineStr">
        <is>
          <t>xe-0/0/31</t>
        </is>
      </c>
      <c r="C1157" t="inlineStr">
        <is>
          <t>10G SFP+</t>
        </is>
      </c>
      <c r="D1157" t="n">
        <v>10000</v>
      </c>
      <c r="E1157" t="inlineStr">
        <is>
          <t>up</t>
        </is>
      </c>
      <c r="F1157" t="inlineStr">
        <is>
          <t>Server NIC</t>
        </is>
      </c>
    </row>
    <row r="1158">
      <c r="A1158" t="inlineStr">
        <is>
          <t>MH-DC-002-MMR-SW-02</t>
        </is>
      </c>
      <c r="B1158" t="inlineStr">
        <is>
          <t>xe-0/0/32</t>
        </is>
      </c>
      <c r="C1158" t="inlineStr">
        <is>
          <t>10G SFP+</t>
        </is>
      </c>
      <c r="D1158" t="n">
        <v>10000</v>
      </c>
      <c r="E1158" t="inlineStr">
        <is>
          <t>reserved</t>
        </is>
      </c>
    </row>
    <row r="1159">
      <c r="A1159" t="inlineStr">
        <is>
          <t>MH-DC-002-MMR-SW-02</t>
        </is>
      </c>
      <c r="B1159" t="inlineStr">
        <is>
          <t>xe-0/0/33</t>
        </is>
      </c>
      <c r="C1159" t="inlineStr">
        <is>
          <t>10G SFP+</t>
        </is>
      </c>
      <c r="D1159" t="n">
        <v>10000</v>
      </c>
      <c r="E1159" t="inlineStr">
        <is>
          <t>up</t>
        </is>
      </c>
      <c r="F1159" t="inlineStr">
        <is>
          <t>Server NIC</t>
        </is>
      </c>
    </row>
    <row r="1160">
      <c r="A1160" t="inlineStr">
        <is>
          <t>MH-DC-002-MMR-SW-02</t>
        </is>
      </c>
      <c r="B1160" t="inlineStr">
        <is>
          <t>xe-0/0/34</t>
        </is>
      </c>
      <c r="C1160" t="inlineStr">
        <is>
          <t>10G SFP+</t>
        </is>
      </c>
      <c r="D1160" t="n">
        <v>10000</v>
      </c>
      <c r="E1160" t="inlineStr">
        <is>
          <t>up</t>
        </is>
      </c>
      <c r="F1160" t="inlineStr">
        <is>
          <t>Server NIC</t>
        </is>
      </c>
    </row>
    <row r="1161">
      <c r="A1161" t="inlineStr">
        <is>
          <t>MH-DC-002-MMR-SW-02</t>
        </is>
      </c>
      <c r="B1161" t="inlineStr">
        <is>
          <t>xe-0/0/35</t>
        </is>
      </c>
      <c r="C1161" t="inlineStr">
        <is>
          <t>10G SFP+</t>
        </is>
      </c>
      <c r="D1161" t="n">
        <v>10000</v>
      </c>
      <c r="E1161" t="inlineStr">
        <is>
          <t>up</t>
        </is>
      </c>
      <c r="F1161" t="inlineStr">
        <is>
          <t>Server NIC</t>
        </is>
      </c>
    </row>
    <row r="1162">
      <c r="A1162" t="inlineStr">
        <is>
          <t>MH-DC-002-MMR-SW-02</t>
        </is>
      </c>
      <c r="B1162" t="inlineStr">
        <is>
          <t>xe-0/0/36</t>
        </is>
      </c>
      <c r="C1162" t="inlineStr">
        <is>
          <t>10G SFP+</t>
        </is>
      </c>
      <c r="D1162" t="n">
        <v>10000</v>
      </c>
      <c r="E1162" t="inlineStr">
        <is>
          <t>admin-down</t>
        </is>
      </c>
    </row>
    <row r="1163">
      <c r="A1163" t="inlineStr">
        <is>
          <t>MH-DC-002-MMR-SW-02</t>
        </is>
      </c>
      <c r="B1163" t="inlineStr">
        <is>
          <t>xe-0/0/37</t>
        </is>
      </c>
      <c r="C1163" t="inlineStr">
        <is>
          <t>10G SFP+</t>
        </is>
      </c>
      <c r="D1163" t="n">
        <v>10000</v>
      </c>
      <c r="E1163" t="inlineStr">
        <is>
          <t>up</t>
        </is>
      </c>
      <c r="F1163" t="inlineStr">
        <is>
          <t>Server NIC</t>
        </is>
      </c>
    </row>
    <row r="1164">
      <c r="A1164" t="inlineStr">
        <is>
          <t>MH-DC-002-MMR-SW-02</t>
        </is>
      </c>
      <c r="B1164" t="inlineStr">
        <is>
          <t>xe-0/0/38</t>
        </is>
      </c>
      <c r="C1164" t="inlineStr">
        <is>
          <t>10G SFP+</t>
        </is>
      </c>
      <c r="D1164" t="n">
        <v>10000</v>
      </c>
      <c r="E1164" t="inlineStr">
        <is>
          <t>up</t>
        </is>
      </c>
      <c r="F1164" t="inlineStr">
        <is>
          <t>Server NIC</t>
        </is>
      </c>
    </row>
    <row r="1165">
      <c r="A1165" t="inlineStr">
        <is>
          <t>MH-DC-002-MMR-SW-02</t>
        </is>
      </c>
      <c r="B1165" t="inlineStr">
        <is>
          <t>xe-0/0/39</t>
        </is>
      </c>
      <c r="C1165" t="inlineStr">
        <is>
          <t>10G SFP+</t>
        </is>
      </c>
      <c r="D1165" t="n">
        <v>10000</v>
      </c>
      <c r="E1165" t="inlineStr">
        <is>
          <t>up</t>
        </is>
      </c>
      <c r="F1165" t="inlineStr">
        <is>
          <t>Server NIC</t>
        </is>
      </c>
    </row>
    <row r="1166">
      <c r="A1166" t="inlineStr">
        <is>
          <t>MH-DC-002-MMR-SW-02</t>
        </is>
      </c>
      <c r="B1166" t="inlineStr">
        <is>
          <t>xe-0/0/40</t>
        </is>
      </c>
      <c r="C1166" t="inlineStr">
        <is>
          <t>10G SFP+</t>
        </is>
      </c>
      <c r="D1166" t="n">
        <v>10000</v>
      </c>
      <c r="E1166" t="inlineStr">
        <is>
          <t>up</t>
        </is>
      </c>
      <c r="F1166" t="inlineStr">
        <is>
          <t>Server NIC</t>
        </is>
      </c>
    </row>
    <row r="1167">
      <c r="A1167" t="inlineStr">
        <is>
          <t>MH-DC-002-MMR-SW-02</t>
        </is>
      </c>
      <c r="B1167" t="inlineStr">
        <is>
          <t>xe-0/0/41</t>
        </is>
      </c>
      <c r="C1167" t="inlineStr">
        <is>
          <t>10G SFP+</t>
        </is>
      </c>
      <c r="D1167" t="n">
        <v>10000</v>
      </c>
      <c r="E1167" t="inlineStr">
        <is>
          <t>admin-down</t>
        </is>
      </c>
    </row>
    <row r="1168">
      <c r="A1168" t="inlineStr">
        <is>
          <t>MH-DC-002-MMR-SW-02</t>
        </is>
      </c>
      <c r="B1168" t="inlineStr">
        <is>
          <t>xe-0/0/42</t>
        </is>
      </c>
      <c r="C1168" t="inlineStr">
        <is>
          <t>10G SFP+</t>
        </is>
      </c>
      <c r="D1168" t="n">
        <v>10000</v>
      </c>
      <c r="E1168" t="inlineStr">
        <is>
          <t>up</t>
        </is>
      </c>
      <c r="F1168" t="inlineStr">
        <is>
          <t>Server NIC</t>
        </is>
      </c>
    </row>
    <row r="1169">
      <c r="A1169" t="inlineStr">
        <is>
          <t>MH-DC-002-MMR-SW-02</t>
        </is>
      </c>
      <c r="B1169" t="inlineStr">
        <is>
          <t>xe-0/0/43</t>
        </is>
      </c>
      <c r="C1169" t="inlineStr">
        <is>
          <t>10G SFP+</t>
        </is>
      </c>
      <c r="D1169" t="n">
        <v>10000</v>
      </c>
      <c r="E1169" t="inlineStr">
        <is>
          <t>up</t>
        </is>
      </c>
      <c r="F1169" t="inlineStr">
        <is>
          <t>Server NIC</t>
        </is>
      </c>
    </row>
    <row r="1170">
      <c r="A1170" t="inlineStr">
        <is>
          <t>MH-DC-002-MMR-SW-02</t>
        </is>
      </c>
      <c r="B1170" t="inlineStr">
        <is>
          <t>xe-0/0/44</t>
        </is>
      </c>
      <c r="C1170" t="inlineStr">
        <is>
          <t>10G SFP+</t>
        </is>
      </c>
      <c r="D1170" t="n">
        <v>10000</v>
      </c>
      <c r="E1170" t="inlineStr">
        <is>
          <t>up</t>
        </is>
      </c>
      <c r="F1170" t="inlineStr">
        <is>
          <t>Server NIC</t>
        </is>
      </c>
    </row>
    <row r="1171">
      <c r="A1171" t="inlineStr">
        <is>
          <t>MH-DC-002-MMR-SW-02</t>
        </is>
      </c>
      <c r="B1171" t="inlineStr">
        <is>
          <t>xe-0/0/45</t>
        </is>
      </c>
      <c r="C1171" t="inlineStr">
        <is>
          <t>10G SFP+</t>
        </is>
      </c>
      <c r="D1171" t="n">
        <v>10000</v>
      </c>
      <c r="E1171" t="inlineStr">
        <is>
          <t>up</t>
        </is>
      </c>
      <c r="F1171" t="inlineStr">
        <is>
          <t>Server NIC</t>
        </is>
      </c>
    </row>
    <row r="1172">
      <c r="A1172" t="inlineStr">
        <is>
          <t>MH-DC-002-MMR-SW-02</t>
        </is>
      </c>
      <c r="B1172" t="inlineStr">
        <is>
          <t>xe-0/0/46</t>
        </is>
      </c>
      <c r="C1172" t="inlineStr">
        <is>
          <t>10G SFP+</t>
        </is>
      </c>
      <c r="D1172" t="n">
        <v>10000</v>
      </c>
      <c r="E1172" t="inlineStr">
        <is>
          <t>up</t>
        </is>
      </c>
      <c r="F1172" t="inlineStr">
        <is>
          <t>Server NIC</t>
        </is>
      </c>
    </row>
    <row r="1173">
      <c r="A1173" t="inlineStr">
        <is>
          <t>MH-DC-002-MMR-SW-02</t>
        </is>
      </c>
      <c r="B1173" t="inlineStr">
        <is>
          <t>xe-0/0/47</t>
        </is>
      </c>
      <c r="C1173" t="inlineStr">
        <is>
          <t>10G SFP+</t>
        </is>
      </c>
      <c r="D1173" t="n">
        <v>10000</v>
      </c>
      <c r="E1173" t="inlineStr">
        <is>
          <t>admin-down</t>
        </is>
      </c>
    </row>
    <row r="1174">
      <c r="A1174" t="inlineStr">
        <is>
          <t>MH-DC-002-MMR-SW-02</t>
        </is>
      </c>
      <c r="B1174" t="inlineStr">
        <is>
          <t>et-0/1/0</t>
        </is>
      </c>
      <c r="C1174" t="inlineStr">
        <is>
          <t>100G QSFP28</t>
        </is>
      </c>
      <c r="D1174" t="n">
        <v>100000</v>
      </c>
      <c r="E1174" t="inlineStr">
        <is>
          <t>up</t>
        </is>
      </c>
      <c r="F1174" t="inlineStr">
        <is>
          <t>Uplink to MH-DC-002-AGG-R02</t>
        </is>
      </c>
      <c r="G1174" t="inlineStr">
        <is>
          <t>QSFP28-100G-LR4</t>
        </is>
      </c>
    </row>
    <row r="1175">
      <c r="A1175" t="inlineStr">
        <is>
          <t>MH-DC-002-MMR-SW-02</t>
        </is>
      </c>
      <c r="B1175" t="inlineStr">
        <is>
          <t>et-0/1/1</t>
        </is>
      </c>
      <c r="C1175" t="inlineStr">
        <is>
          <t>100G QSFP28</t>
        </is>
      </c>
      <c r="D1175" t="n">
        <v>100000</v>
      </c>
      <c r="E1175" t="inlineStr">
        <is>
          <t>up</t>
        </is>
      </c>
      <c r="F1175" t="inlineStr">
        <is>
          <t>Uplink to MH-DC-002-AGG-R01</t>
        </is>
      </c>
      <c r="G1175" t="inlineStr">
        <is>
          <t>QSFP28-100G-LR4</t>
        </is>
      </c>
    </row>
    <row r="1176">
      <c r="A1176" t="inlineStr">
        <is>
          <t>MH-DC-002-MMR-SW-02</t>
        </is>
      </c>
      <c r="B1176" t="inlineStr">
        <is>
          <t>et-0/1/2</t>
        </is>
      </c>
      <c r="C1176" t="inlineStr">
        <is>
          <t>100G QSFP28</t>
        </is>
      </c>
      <c r="D1176" t="n">
        <v>100000</v>
      </c>
      <c r="E1176" t="inlineStr">
        <is>
          <t>admin-down</t>
        </is>
      </c>
    </row>
    <row r="1177">
      <c r="A1177" t="inlineStr">
        <is>
          <t>MH-DC-002-MMR-SW-02</t>
        </is>
      </c>
      <c r="B1177" t="inlineStr">
        <is>
          <t>et-0/1/3</t>
        </is>
      </c>
      <c r="C1177" t="inlineStr">
        <is>
          <t>100G QSFP28</t>
        </is>
      </c>
      <c r="D1177" t="n">
        <v>100000</v>
      </c>
      <c r="E1177" t="inlineStr">
        <is>
          <t>reserved</t>
        </is>
      </c>
    </row>
    <row r="1178">
      <c r="A1178" t="inlineStr">
        <is>
          <t>MH-DC-002-MMR-SW-03</t>
        </is>
      </c>
      <c r="B1178" t="inlineStr">
        <is>
          <t>Te0/0/0/0</t>
        </is>
      </c>
      <c r="C1178" t="inlineStr">
        <is>
          <t>10G SFP+</t>
        </is>
      </c>
      <c r="D1178" t="n">
        <v>10000</v>
      </c>
      <c r="E1178" t="inlineStr">
        <is>
          <t>up</t>
        </is>
      </c>
      <c r="F1178" t="inlineStr">
        <is>
          <t>Access to MH-DC-002-TOR-002</t>
        </is>
      </c>
      <c r="G1178" t="inlineStr">
        <is>
          <t>SFP-10G-LR</t>
        </is>
      </c>
    </row>
    <row r="1179">
      <c r="A1179" t="inlineStr">
        <is>
          <t>MH-DC-002-MMR-SW-03</t>
        </is>
      </c>
      <c r="B1179" t="inlineStr">
        <is>
          <t>Te0/0/0/1</t>
        </is>
      </c>
      <c r="C1179" t="inlineStr">
        <is>
          <t>10G SFP+</t>
        </is>
      </c>
      <c r="D1179" t="n">
        <v>10000</v>
      </c>
      <c r="E1179" t="inlineStr">
        <is>
          <t>up</t>
        </is>
      </c>
      <c r="F1179" t="inlineStr">
        <is>
          <t>Access to MH-DC-002-TOR-003</t>
        </is>
      </c>
      <c r="G1179" t="inlineStr">
        <is>
          <t>SFP-10G-LR</t>
        </is>
      </c>
    </row>
    <row r="1180">
      <c r="A1180" t="inlineStr">
        <is>
          <t>MH-DC-002-MMR-SW-03</t>
        </is>
      </c>
      <c r="B1180" t="inlineStr">
        <is>
          <t>Te0/0/0/2</t>
        </is>
      </c>
      <c r="C1180" t="inlineStr">
        <is>
          <t>10G SFP+</t>
        </is>
      </c>
      <c r="D1180" t="n">
        <v>10000</v>
      </c>
      <c r="E1180" t="inlineStr">
        <is>
          <t>up</t>
        </is>
      </c>
      <c r="F1180" t="inlineStr">
        <is>
          <t>Server NIC</t>
        </is>
      </c>
    </row>
    <row r="1181">
      <c r="A1181" t="inlineStr">
        <is>
          <t>MH-DC-002-MMR-SW-03</t>
        </is>
      </c>
      <c r="B1181" t="inlineStr">
        <is>
          <t>Te0/0/0/3</t>
        </is>
      </c>
      <c r="C1181" t="inlineStr">
        <is>
          <t>10G SFP+</t>
        </is>
      </c>
      <c r="D1181" t="n">
        <v>10000</v>
      </c>
      <c r="E1181" t="inlineStr">
        <is>
          <t>admin-down</t>
        </is>
      </c>
    </row>
    <row r="1182">
      <c r="A1182" t="inlineStr">
        <is>
          <t>MH-DC-002-MMR-SW-03</t>
        </is>
      </c>
      <c r="B1182" t="inlineStr">
        <is>
          <t>Te0/0/0/4</t>
        </is>
      </c>
      <c r="C1182" t="inlineStr">
        <is>
          <t>10G SFP+</t>
        </is>
      </c>
      <c r="D1182" t="n">
        <v>10000</v>
      </c>
      <c r="E1182" t="inlineStr">
        <is>
          <t>admin-down</t>
        </is>
      </c>
    </row>
    <row r="1183">
      <c r="A1183" t="inlineStr">
        <is>
          <t>MH-DC-002-MMR-SW-03</t>
        </is>
      </c>
      <c r="B1183" t="inlineStr">
        <is>
          <t>Te0/0/0/5</t>
        </is>
      </c>
      <c r="C1183" t="inlineStr">
        <is>
          <t>10G SFP+</t>
        </is>
      </c>
      <c r="D1183" t="n">
        <v>10000</v>
      </c>
      <c r="E1183" t="inlineStr">
        <is>
          <t>up</t>
        </is>
      </c>
      <c r="F1183" t="inlineStr">
        <is>
          <t>Server NIC</t>
        </is>
      </c>
    </row>
    <row r="1184">
      <c r="A1184" t="inlineStr">
        <is>
          <t>MH-DC-002-MMR-SW-03</t>
        </is>
      </c>
      <c r="B1184" t="inlineStr">
        <is>
          <t>Te0/0/0/6</t>
        </is>
      </c>
      <c r="C1184" t="inlineStr">
        <is>
          <t>10G SFP+</t>
        </is>
      </c>
      <c r="D1184" t="n">
        <v>10000</v>
      </c>
      <c r="E1184" t="inlineStr">
        <is>
          <t>admin-down</t>
        </is>
      </c>
    </row>
    <row r="1185">
      <c r="A1185" t="inlineStr">
        <is>
          <t>MH-DC-002-MMR-SW-03</t>
        </is>
      </c>
      <c r="B1185" t="inlineStr">
        <is>
          <t>Te0/0/0/7</t>
        </is>
      </c>
      <c r="C1185" t="inlineStr">
        <is>
          <t>10G SFP+</t>
        </is>
      </c>
      <c r="D1185" t="n">
        <v>10000</v>
      </c>
      <c r="E1185" t="inlineStr">
        <is>
          <t>admin-down</t>
        </is>
      </c>
    </row>
    <row r="1186">
      <c r="A1186" t="inlineStr">
        <is>
          <t>MH-DC-002-MMR-SW-03</t>
        </is>
      </c>
      <c r="B1186" t="inlineStr">
        <is>
          <t>Te0/0/0/8</t>
        </is>
      </c>
      <c r="C1186" t="inlineStr">
        <is>
          <t>10G SFP+</t>
        </is>
      </c>
      <c r="D1186" t="n">
        <v>10000</v>
      </c>
      <c r="E1186" t="inlineStr">
        <is>
          <t>admin-down</t>
        </is>
      </c>
    </row>
    <row r="1187">
      <c r="A1187" t="inlineStr">
        <is>
          <t>MH-DC-002-MMR-SW-03</t>
        </is>
      </c>
      <c r="B1187" t="inlineStr">
        <is>
          <t>Te0/0/0/9</t>
        </is>
      </c>
      <c r="C1187" t="inlineStr">
        <is>
          <t>10G SFP+</t>
        </is>
      </c>
      <c r="D1187" t="n">
        <v>10000</v>
      </c>
      <c r="E1187" t="inlineStr">
        <is>
          <t>admin-down</t>
        </is>
      </c>
    </row>
    <row r="1188">
      <c r="A1188" t="inlineStr">
        <is>
          <t>MH-DC-002-MMR-SW-03</t>
        </is>
      </c>
      <c r="B1188" t="inlineStr">
        <is>
          <t>Te0/0/0/10</t>
        </is>
      </c>
      <c r="C1188" t="inlineStr">
        <is>
          <t>10G SFP+</t>
        </is>
      </c>
      <c r="D1188" t="n">
        <v>10000</v>
      </c>
      <c r="E1188" t="inlineStr">
        <is>
          <t>admin-down</t>
        </is>
      </c>
    </row>
    <row r="1189">
      <c r="A1189" t="inlineStr">
        <is>
          <t>MH-DC-002-MMR-SW-03</t>
        </is>
      </c>
      <c r="B1189" t="inlineStr">
        <is>
          <t>Te0/0/0/11</t>
        </is>
      </c>
      <c r="C1189" t="inlineStr">
        <is>
          <t>10G SFP+</t>
        </is>
      </c>
      <c r="D1189" t="n">
        <v>10000</v>
      </c>
      <c r="E1189" t="inlineStr">
        <is>
          <t>admin-down</t>
        </is>
      </c>
    </row>
    <row r="1190">
      <c r="A1190" t="inlineStr">
        <is>
          <t>MH-DC-002-MMR-SW-03</t>
        </is>
      </c>
      <c r="B1190" t="inlineStr">
        <is>
          <t>Te0/0/0/12</t>
        </is>
      </c>
      <c r="C1190" t="inlineStr">
        <is>
          <t>10G SFP+</t>
        </is>
      </c>
      <c r="D1190" t="n">
        <v>10000</v>
      </c>
      <c r="E1190" t="inlineStr">
        <is>
          <t>up</t>
        </is>
      </c>
      <c r="F1190" t="inlineStr">
        <is>
          <t>Server NIC</t>
        </is>
      </c>
    </row>
    <row r="1191">
      <c r="A1191" t="inlineStr">
        <is>
          <t>MH-DC-002-MMR-SW-03</t>
        </is>
      </c>
      <c r="B1191" t="inlineStr">
        <is>
          <t>Te0/0/0/13</t>
        </is>
      </c>
      <c r="C1191" t="inlineStr">
        <is>
          <t>10G SFP+</t>
        </is>
      </c>
      <c r="D1191" t="n">
        <v>10000</v>
      </c>
      <c r="E1191" t="inlineStr">
        <is>
          <t>admin-down</t>
        </is>
      </c>
    </row>
    <row r="1192">
      <c r="A1192" t="inlineStr">
        <is>
          <t>MH-DC-002-MMR-SW-03</t>
        </is>
      </c>
      <c r="B1192" t="inlineStr">
        <is>
          <t>Te0/0/0/14</t>
        </is>
      </c>
      <c r="C1192" t="inlineStr">
        <is>
          <t>10G SFP+</t>
        </is>
      </c>
      <c r="D1192" t="n">
        <v>10000</v>
      </c>
      <c r="E1192" t="inlineStr">
        <is>
          <t>admin-down</t>
        </is>
      </c>
    </row>
    <row r="1193">
      <c r="A1193" t="inlineStr">
        <is>
          <t>MH-DC-002-MMR-SW-03</t>
        </is>
      </c>
      <c r="B1193" t="inlineStr">
        <is>
          <t>Te0/0/0/15</t>
        </is>
      </c>
      <c r="C1193" t="inlineStr">
        <is>
          <t>10G SFP+</t>
        </is>
      </c>
      <c r="D1193" t="n">
        <v>10000</v>
      </c>
      <c r="E1193" t="inlineStr">
        <is>
          <t>admin-down</t>
        </is>
      </c>
    </row>
    <row r="1194">
      <c r="A1194" t="inlineStr">
        <is>
          <t>MH-DC-002-MMR-SW-03</t>
        </is>
      </c>
      <c r="B1194" t="inlineStr">
        <is>
          <t>Te0/0/0/16</t>
        </is>
      </c>
      <c r="C1194" t="inlineStr">
        <is>
          <t>10G SFP+</t>
        </is>
      </c>
      <c r="D1194" t="n">
        <v>10000</v>
      </c>
      <c r="E1194" t="inlineStr">
        <is>
          <t>admin-down</t>
        </is>
      </c>
    </row>
    <row r="1195">
      <c r="A1195" t="inlineStr">
        <is>
          <t>MH-DC-002-MMR-SW-03</t>
        </is>
      </c>
      <c r="B1195" t="inlineStr">
        <is>
          <t>Te0/0/0/17</t>
        </is>
      </c>
      <c r="C1195" t="inlineStr">
        <is>
          <t>10G SFP+</t>
        </is>
      </c>
      <c r="D1195" t="n">
        <v>10000</v>
      </c>
      <c r="E1195" t="inlineStr">
        <is>
          <t>up</t>
        </is>
      </c>
      <c r="F1195" t="inlineStr">
        <is>
          <t>Server NIC</t>
        </is>
      </c>
    </row>
    <row r="1196">
      <c r="A1196" t="inlineStr">
        <is>
          <t>MH-DC-002-MMR-SW-03</t>
        </is>
      </c>
      <c r="B1196" t="inlineStr">
        <is>
          <t>Te0/0/0/18</t>
        </is>
      </c>
      <c r="C1196" t="inlineStr">
        <is>
          <t>10G SFP+</t>
        </is>
      </c>
      <c r="D1196" t="n">
        <v>10000</v>
      </c>
      <c r="E1196" t="inlineStr">
        <is>
          <t>up</t>
        </is>
      </c>
      <c r="F1196" t="inlineStr">
        <is>
          <t>Server NIC</t>
        </is>
      </c>
    </row>
    <row r="1197">
      <c r="A1197" t="inlineStr">
        <is>
          <t>MH-DC-002-MMR-SW-03</t>
        </is>
      </c>
      <c r="B1197" t="inlineStr">
        <is>
          <t>Te0/0/0/19</t>
        </is>
      </c>
      <c r="C1197" t="inlineStr">
        <is>
          <t>10G SFP+</t>
        </is>
      </c>
      <c r="D1197" t="n">
        <v>10000</v>
      </c>
      <c r="E1197" t="inlineStr">
        <is>
          <t>up</t>
        </is>
      </c>
      <c r="F1197" t="inlineStr">
        <is>
          <t>Server NIC</t>
        </is>
      </c>
    </row>
    <row r="1198">
      <c r="A1198" t="inlineStr">
        <is>
          <t>MH-DC-002-MMR-SW-03</t>
        </is>
      </c>
      <c r="B1198" t="inlineStr">
        <is>
          <t>Te0/0/0/20</t>
        </is>
      </c>
      <c r="C1198" t="inlineStr">
        <is>
          <t>10G SFP+</t>
        </is>
      </c>
      <c r="D1198" t="n">
        <v>10000</v>
      </c>
      <c r="E1198" t="inlineStr">
        <is>
          <t>up</t>
        </is>
      </c>
      <c r="F1198" t="inlineStr">
        <is>
          <t>Server NIC</t>
        </is>
      </c>
    </row>
    <row r="1199">
      <c r="A1199" t="inlineStr">
        <is>
          <t>MH-DC-002-MMR-SW-03</t>
        </is>
      </c>
      <c r="B1199" t="inlineStr">
        <is>
          <t>Te0/0/0/21</t>
        </is>
      </c>
      <c r="C1199" t="inlineStr">
        <is>
          <t>10G SFP+</t>
        </is>
      </c>
      <c r="D1199" t="n">
        <v>10000</v>
      </c>
      <c r="E1199" t="inlineStr">
        <is>
          <t>up</t>
        </is>
      </c>
      <c r="F1199" t="inlineStr">
        <is>
          <t>Server NIC</t>
        </is>
      </c>
    </row>
    <row r="1200">
      <c r="A1200" t="inlineStr">
        <is>
          <t>MH-DC-002-MMR-SW-03</t>
        </is>
      </c>
      <c r="B1200" t="inlineStr">
        <is>
          <t>Te0/0/0/22</t>
        </is>
      </c>
      <c r="C1200" t="inlineStr">
        <is>
          <t>10G SFP+</t>
        </is>
      </c>
      <c r="D1200" t="n">
        <v>10000</v>
      </c>
      <c r="E1200" t="inlineStr">
        <is>
          <t>up</t>
        </is>
      </c>
      <c r="F1200" t="inlineStr">
        <is>
          <t>Server NIC</t>
        </is>
      </c>
    </row>
    <row r="1201">
      <c r="A1201" t="inlineStr">
        <is>
          <t>MH-DC-002-MMR-SW-03</t>
        </is>
      </c>
      <c r="B1201" t="inlineStr">
        <is>
          <t>Te0/0/0/23</t>
        </is>
      </c>
      <c r="C1201" t="inlineStr">
        <is>
          <t>10G SFP+</t>
        </is>
      </c>
      <c r="D1201" t="n">
        <v>10000</v>
      </c>
      <c r="E1201" t="inlineStr">
        <is>
          <t>up</t>
        </is>
      </c>
      <c r="F1201" t="inlineStr">
        <is>
          <t>Server NIC</t>
        </is>
      </c>
    </row>
    <row r="1202">
      <c r="A1202" t="inlineStr">
        <is>
          <t>MH-DC-002-MMR-SW-03</t>
        </is>
      </c>
      <c r="B1202" t="inlineStr">
        <is>
          <t>Te0/0/0/24</t>
        </is>
      </c>
      <c r="C1202" t="inlineStr">
        <is>
          <t>10G SFP+</t>
        </is>
      </c>
      <c r="D1202" t="n">
        <v>10000</v>
      </c>
      <c r="E1202" t="inlineStr">
        <is>
          <t>up</t>
        </is>
      </c>
      <c r="F1202" t="inlineStr">
        <is>
          <t>Server NIC</t>
        </is>
      </c>
    </row>
    <row r="1203">
      <c r="A1203" t="inlineStr">
        <is>
          <t>MH-DC-002-MMR-SW-03</t>
        </is>
      </c>
      <c r="B1203" t="inlineStr">
        <is>
          <t>Te0/0/0/25</t>
        </is>
      </c>
      <c r="C1203" t="inlineStr">
        <is>
          <t>10G SFP+</t>
        </is>
      </c>
      <c r="D1203" t="n">
        <v>10000</v>
      </c>
      <c r="E1203" t="inlineStr">
        <is>
          <t>admin-down</t>
        </is>
      </c>
    </row>
    <row r="1204">
      <c r="A1204" t="inlineStr">
        <is>
          <t>MH-DC-002-MMR-SW-03</t>
        </is>
      </c>
      <c r="B1204" t="inlineStr">
        <is>
          <t>Te0/0/0/26</t>
        </is>
      </c>
      <c r="C1204" t="inlineStr">
        <is>
          <t>10G SFP+</t>
        </is>
      </c>
      <c r="D1204" t="n">
        <v>10000</v>
      </c>
      <c r="E1204" t="inlineStr">
        <is>
          <t>up</t>
        </is>
      </c>
      <c r="F1204" t="inlineStr">
        <is>
          <t>Server NIC</t>
        </is>
      </c>
    </row>
    <row r="1205">
      <c r="A1205" t="inlineStr">
        <is>
          <t>MH-DC-002-MMR-SW-03</t>
        </is>
      </c>
      <c r="B1205" t="inlineStr">
        <is>
          <t>Te0/0/0/27</t>
        </is>
      </c>
      <c r="C1205" t="inlineStr">
        <is>
          <t>10G SFP+</t>
        </is>
      </c>
      <c r="D1205" t="n">
        <v>10000</v>
      </c>
      <c r="E1205" t="inlineStr">
        <is>
          <t>up</t>
        </is>
      </c>
      <c r="F1205" t="inlineStr">
        <is>
          <t>Server NIC</t>
        </is>
      </c>
    </row>
    <row r="1206">
      <c r="A1206" t="inlineStr">
        <is>
          <t>MH-DC-002-MMR-SW-03</t>
        </is>
      </c>
      <c r="B1206" t="inlineStr">
        <is>
          <t>Te0/0/0/28</t>
        </is>
      </c>
      <c r="C1206" t="inlineStr">
        <is>
          <t>10G SFP+</t>
        </is>
      </c>
      <c r="D1206" t="n">
        <v>10000</v>
      </c>
      <c r="E1206" t="inlineStr">
        <is>
          <t>up</t>
        </is>
      </c>
      <c r="F1206" t="inlineStr">
        <is>
          <t>Server NIC</t>
        </is>
      </c>
    </row>
    <row r="1207">
      <c r="A1207" t="inlineStr">
        <is>
          <t>MH-DC-002-MMR-SW-03</t>
        </is>
      </c>
      <c r="B1207" t="inlineStr">
        <is>
          <t>Te0/0/0/29</t>
        </is>
      </c>
      <c r="C1207" t="inlineStr">
        <is>
          <t>10G SFP+</t>
        </is>
      </c>
      <c r="D1207" t="n">
        <v>10000</v>
      </c>
      <c r="E1207" t="inlineStr">
        <is>
          <t>up</t>
        </is>
      </c>
      <c r="F1207" t="inlineStr">
        <is>
          <t>Server NIC</t>
        </is>
      </c>
    </row>
    <row r="1208">
      <c r="A1208" t="inlineStr">
        <is>
          <t>MH-DC-002-MMR-SW-03</t>
        </is>
      </c>
      <c r="B1208" t="inlineStr">
        <is>
          <t>Te0/0/0/30</t>
        </is>
      </c>
      <c r="C1208" t="inlineStr">
        <is>
          <t>10G SFP+</t>
        </is>
      </c>
      <c r="D1208" t="n">
        <v>10000</v>
      </c>
      <c r="E1208" t="inlineStr">
        <is>
          <t>reserved</t>
        </is>
      </c>
    </row>
    <row r="1209">
      <c r="A1209" t="inlineStr">
        <is>
          <t>MH-DC-002-MMR-SW-03</t>
        </is>
      </c>
      <c r="B1209" t="inlineStr">
        <is>
          <t>Te0/0/0/31</t>
        </is>
      </c>
      <c r="C1209" t="inlineStr">
        <is>
          <t>10G SFP+</t>
        </is>
      </c>
      <c r="D1209" t="n">
        <v>10000</v>
      </c>
      <c r="E1209" t="inlineStr">
        <is>
          <t>up</t>
        </is>
      </c>
      <c r="F1209" t="inlineStr">
        <is>
          <t>Server NIC</t>
        </is>
      </c>
    </row>
    <row r="1210">
      <c r="A1210" t="inlineStr">
        <is>
          <t>MH-DC-002-MMR-SW-03</t>
        </is>
      </c>
      <c r="B1210" t="inlineStr">
        <is>
          <t>Te0/0/0/32</t>
        </is>
      </c>
      <c r="C1210" t="inlineStr">
        <is>
          <t>10G SFP+</t>
        </is>
      </c>
      <c r="D1210" t="n">
        <v>10000</v>
      </c>
      <c r="E1210" t="inlineStr">
        <is>
          <t>up</t>
        </is>
      </c>
      <c r="F1210" t="inlineStr">
        <is>
          <t>Server NIC</t>
        </is>
      </c>
    </row>
    <row r="1211">
      <c r="A1211" t="inlineStr">
        <is>
          <t>MH-DC-002-MMR-SW-03</t>
        </is>
      </c>
      <c r="B1211" t="inlineStr">
        <is>
          <t>Te0/0/0/33</t>
        </is>
      </c>
      <c r="C1211" t="inlineStr">
        <is>
          <t>10G SFP+</t>
        </is>
      </c>
      <c r="D1211" t="n">
        <v>10000</v>
      </c>
      <c r="E1211" t="inlineStr">
        <is>
          <t>admin-down</t>
        </is>
      </c>
    </row>
    <row r="1212">
      <c r="A1212" t="inlineStr">
        <is>
          <t>MH-DC-002-MMR-SW-03</t>
        </is>
      </c>
      <c r="B1212" t="inlineStr">
        <is>
          <t>Te0/0/0/34</t>
        </is>
      </c>
      <c r="C1212" t="inlineStr">
        <is>
          <t>10G SFP+</t>
        </is>
      </c>
      <c r="D1212" t="n">
        <v>10000</v>
      </c>
      <c r="E1212" t="inlineStr">
        <is>
          <t>admin-down</t>
        </is>
      </c>
    </row>
    <row r="1213">
      <c r="A1213" t="inlineStr">
        <is>
          <t>MH-DC-002-MMR-SW-03</t>
        </is>
      </c>
      <c r="B1213" t="inlineStr">
        <is>
          <t>Te0/0/0/35</t>
        </is>
      </c>
      <c r="C1213" t="inlineStr">
        <is>
          <t>10G SFP+</t>
        </is>
      </c>
      <c r="D1213" t="n">
        <v>10000</v>
      </c>
      <c r="E1213" t="inlineStr">
        <is>
          <t>up</t>
        </is>
      </c>
      <c r="F1213" t="inlineStr">
        <is>
          <t>Server NIC</t>
        </is>
      </c>
    </row>
    <row r="1214">
      <c r="A1214" t="inlineStr">
        <is>
          <t>MH-DC-002-MMR-SW-03</t>
        </is>
      </c>
      <c r="B1214" t="inlineStr">
        <is>
          <t>Te0/0/0/36</t>
        </is>
      </c>
      <c r="C1214" t="inlineStr">
        <is>
          <t>10G SFP+</t>
        </is>
      </c>
      <c r="D1214" t="n">
        <v>10000</v>
      </c>
      <c r="E1214" t="inlineStr">
        <is>
          <t>admin-down</t>
        </is>
      </c>
    </row>
    <row r="1215">
      <c r="A1215" t="inlineStr">
        <is>
          <t>MH-DC-002-MMR-SW-03</t>
        </is>
      </c>
      <c r="B1215" t="inlineStr">
        <is>
          <t>Te0/0/0/37</t>
        </is>
      </c>
      <c r="C1215" t="inlineStr">
        <is>
          <t>10G SFP+</t>
        </is>
      </c>
      <c r="D1215" t="n">
        <v>10000</v>
      </c>
      <c r="E1215" t="inlineStr">
        <is>
          <t>up</t>
        </is>
      </c>
      <c r="F1215" t="inlineStr">
        <is>
          <t>Server NIC</t>
        </is>
      </c>
    </row>
    <row r="1216">
      <c r="A1216" t="inlineStr">
        <is>
          <t>MH-DC-002-MMR-SW-03</t>
        </is>
      </c>
      <c r="B1216" t="inlineStr">
        <is>
          <t>Te0/0/0/38</t>
        </is>
      </c>
      <c r="C1216" t="inlineStr">
        <is>
          <t>10G SFP+</t>
        </is>
      </c>
      <c r="D1216" t="n">
        <v>10000</v>
      </c>
      <c r="E1216" t="inlineStr">
        <is>
          <t>admin-down</t>
        </is>
      </c>
    </row>
    <row r="1217">
      <c r="A1217" t="inlineStr">
        <is>
          <t>MH-DC-002-MMR-SW-03</t>
        </is>
      </c>
      <c r="B1217" t="inlineStr">
        <is>
          <t>Te0/0/0/39</t>
        </is>
      </c>
      <c r="C1217" t="inlineStr">
        <is>
          <t>10G SFP+</t>
        </is>
      </c>
      <c r="D1217" t="n">
        <v>10000</v>
      </c>
      <c r="E1217" t="inlineStr">
        <is>
          <t>up</t>
        </is>
      </c>
      <c r="F1217" t="inlineStr">
        <is>
          <t>Server NIC</t>
        </is>
      </c>
    </row>
    <row r="1218">
      <c r="A1218" t="inlineStr">
        <is>
          <t>MH-DC-002-MMR-SW-03</t>
        </is>
      </c>
      <c r="B1218" t="inlineStr">
        <is>
          <t>Te0/0/0/40</t>
        </is>
      </c>
      <c r="C1218" t="inlineStr">
        <is>
          <t>10G SFP+</t>
        </is>
      </c>
      <c r="D1218" t="n">
        <v>10000</v>
      </c>
      <c r="E1218" t="inlineStr">
        <is>
          <t>admin-down</t>
        </is>
      </c>
    </row>
    <row r="1219">
      <c r="A1219" t="inlineStr">
        <is>
          <t>MH-DC-002-MMR-SW-03</t>
        </is>
      </c>
      <c r="B1219" t="inlineStr">
        <is>
          <t>Te0/0/0/41</t>
        </is>
      </c>
      <c r="C1219" t="inlineStr">
        <is>
          <t>10G SFP+</t>
        </is>
      </c>
      <c r="D1219" t="n">
        <v>10000</v>
      </c>
      <c r="E1219" t="inlineStr">
        <is>
          <t>up</t>
        </is>
      </c>
      <c r="F1219" t="inlineStr">
        <is>
          <t>Server NIC</t>
        </is>
      </c>
    </row>
    <row r="1220">
      <c r="A1220" t="inlineStr">
        <is>
          <t>MH-DC-002-MMR-SW-03</t>
        </is>
      </c>
      <c r="B1220" t="inlineStr">
        <is>
          <t>Te0/0/0/42</t>
        </is>
      </c>
      <c r="C1220" t="inlineStr">
        <is>
          <t>10G SFP+</t>
        </is>
      </c>
      <c r="D1220" t="n">
        <v>10000</v>
      </c>
      <c r="E1220" t="inlineStr">
        <is>
          <t>admin-down</t>
        </is>
      </c>
    </row>
    <row r="1221">
      <c r="A1221" t="inlineStr">
        <is>
          <t>MH-DC-002-MMR-SW-03</t>
        </is>
      </c>
      <c r="B1221" t="inlineStr">
        <is>
          <t>Te0/0/0/43</t>
        </is>
      </c>
      <c r="C1221" t="inlineStr">
        <is>
          <t>10G SFP+</t>
        </is>
      </c>
      <c r="D1221" t="n">
        <v>10000</v>
      </c>
      <c r="E1221" t="inlineStr">
        <is>
          <t>admin-down</t>
        </is>
      </c>
    </row>
    <row r="1222">
      <c r="A1222" t="inlineStr">
        <is>
          <t>MH-DC-002-MMR-SW-03</t>
        </is>
      </c>
      <c r="B1222" t="inlineStr">
        <is>
          <t>Te0/0/0/44</t>
        </is>
      </c>
      <c r="C1222" t="inlineStr">
        <is>
          <t>10G SFP+</t>
        </is>
      </c>
      <c r="D1222" t="n">
        <v>10000</v>
      </c>
      <c r="E1222" t="inlineStr">
        <is>
          <t>admin-down</t>
        </is>
      </c>
    </row>
    <row r="1223">
      <c r="A1223" t="inlineStr">
        <is>
          <t>MH-DC-002-MMR-SW-03</t>
        </is>
      </c>
      <c r="B1223" t="inlineStr">
        <is>
          <t>Te0/0/0/45</t>
        </is>
      </c>
      <c r="C1223" t="inlineStr">
        <is>
          <t>10G SFP+</t>
        </is>
      </c>
      <c r="D1223" t="n">
        <v>10000</v>
      </c>
      <c r="E1223" t="inlineStr">
        <is>
          <t>up</t>
        </is>
      </c>
      <c r="F1223" t="inlineStr">
        <is>
          <t>Server NIC</t>
        </is>
      </c>
    </row>
    <row r="1224">
      <c r="A1224" t="inlineStr">
        <is>
          <t>MH-DC-002-MMR-SW-03</t>
        </is>
      </c>
      <c r="B1224" t="inlineStr">
        <is>
          <t>Te0/0/0/46</t>
        </is>
      </c>
      <c r="C1224" t="inlineStr">
        <is>
          <t>10G SFP+</t>
        </is>
      </c>
      <c r="D1224" t="n">
        <v>10000</v>
      </c>
      <c r="E1224" t="inlineStr">
        <is>
          <t>up</t>
        </is>
      </c>
      <c r="F1224" t="inlineStr">
        <is>
          <t>Server NIC</t>
        </is>
      </c>
    </row>
    <row r="1225">
      <c r="A1225" t="inlineStr">
        <is>
          <t>MH-DC-002-MMR-SW-03</t>
        </is>
      </c>
      <c r="B1225" t="inlineStr">
        <is>
          <t>Te0/0/0/47</t>
        </is>
      </c>
      <c r="C1225" t="inlineStr">
        <is>
          <t>10G SFP+</t>
        </is>
      </c>
      <c r="D1225" t="n">
        <v>10000</v>
      </c>
      <c r="E1225" t="inlineStr">
        <is>
          <t>up</t>
        </is>
      </c>
      <c r="F1225" t="inlineStr">
        <is>
          <t>Server NIC</t>
        </is>
      </c>
    </row>
    <row r="1226">
      <c r="A1226" t="inlineStr">
        <is>
          <t>MH-DC-002-MMR-SW-03</t>
        </is>
      </c>
      <c r="B1226" t="inlineStr">
        <is>
          <t>Hu0/0/1/0</t>
        </is>
      </c>
      <c r="C1226" t="inlineStr">
        <is>
          <t>100G QSFP28</t>
        </is>
      </c>
      <c r="D1226" t="n">
        <v>100000</v>
      </c>
      <c r="E1226" t="inlineStr">
        <is>
          <t>up</t>
        </is>
      </c>
      <c r="F1226" t="inlineStr">
        <is>
          <t>Uplink to MH-DC-002-AGG-R01</t>
        </is>
      </c>
      <c r="G1226" t="inlineStr">
        <is>
          <t>QSFP28-100G-LR4</t>
        </is>
      </c>
    </row>
    <row r="1227">
      <c r="A1227" t="inlineStr">
        <is>
          <t>MH-DC-002-MMR-SW-03</t>
        </is>
      </c>
      <c r="B1227" t="inlineStr">
        <is>
          <t>Hu0/0/1/1</t>
        </is>
      </c>
      <c r="C1227" t="inlineStr">
        <is>
          <t>100G QSFP28</t>
        </is>
      </c>
      <c r="D1227" t="n">
        <v>100000</v>
      </c>
      <c r="E1227" t="inlineStr">
        <is>
          <t>up</t>
        </is>
      </c>
      <c r="F1227" t="inlineStr">
        <is>
          <t>Uplink to MH-DC-002-AGG-R02</t>
        </is>
      </c>
      <c r="G1227" t="inlineStr">
        <is>
          <t>QSFP28-100G-LR4</t>
        </is>
      </c>
    </row>
    <row r="1228">
      <c r="A1228" t="inlineStr">
        <is>
          <t>MH-DC-002-MMR-SW-03</t>
        </is>
      </c>
      <c r="B1228" t="inlineStr">
        <is>
          <t>Hu0/0/1/2</t>
        </is>
      </c>
      <c r="C1228" t="inlineStr">
        <is>
          <t>100G QSFP28</t>
        </is>
      </c>
      <c r="D1228" t="n">
        <v>100000</v>
      </c>
      <c r="E1228" t="inlineStr">
        <is>
          <t>admin-down</t>
        </is>
      </c>
    </row>
    <row r="1229">
      <c r="A1229" t="inlineStr">
        <is>
          <t>MH-DC-002-MMR-SW-03</t>
        </is>
      </c>
      <c r="B1229" t="inlineStr">
        <is>
          <t>Hu0/0/1/3</t>
        </is>
      </c>
      <c r="C1229" t="inlineStr">
        <is>
          <t>100G QSFP28</t>
        </is>
      </c>
      <c r="D1229" t="n">
        <v>100000</v>
      </c>
      <c r="E1229" t="inlineStr">
        <is>
          <t>admin-down</t>
        </is>
      </c>
    </row>
    <row r="1230">
      <c r="A1230" t="inlineStr">
        <is>
          <t>MH-DC-002-MMR-SW-04</t>
        </is>
      </c>
      <c r="B1230" t="inlineStr">
        <is>
          <t>Te0/0/0/0</t>
        </is>
      </c>
      <c r="C1230" t="inlineStr">
        <is>
          <t>10G SFP+</t>
        </is>
      </c>
      <c r="D1230" t="n">
        <v>10000</v>
      </c>
      <c r="E1230" t="inlineStr">
        <is>
          <t>up</t>
        </is>
      </c>
      <c r="F1230" t="inlineStr">
        <is>
          <t>Access to MH-DC-002-TOR-003</t>
        </is>
      </c>
      <c r="G1230" t="inlineStr">
        <is>
          <t>SFP-10G-LR</t>
        </is>
      </c>
    </row>
    <row r="1231">
      <c r="A1231" t="inlineStr">
        <is>
          <t>MH-DC-002-MMR-SW-04</t>
        </is>
      </c>
      <c r="B1231" t="inlineStr">
        <is>
          <t>Te0/0/0/1</t>
        </is>
      </c>
      <c r="C1231" t="inlineStr">
        <is>
          <t>10G SFP+</t>
        </is>
      </c>
      <c r="D1231" t="n">
        <v>10000</v>
      </c>
      <c r="E1231" t="inlineStr">
        <is>
          <t>up</t>
        </is>
      </c>
      <c r="F1231" t="inlineStr">
        <is>
          <t>Server NIC</t>
        </is>
      </c>
    </row>
    <row r="1232">
      <c r="A1232" t="inlineStr">
        <is>
          <t>MH-DC-002-MMR-SW-04</t>
        </is>
      </c>
      <c r="B1232" t="inlineStr">
        <is>
          <t>Te0/0/0/2</t>
        </is>
      </c>
      <c r="C1232" t="inlineStr">
        <is>
          <t>10G SFP+</t>
        </is>
      </c>
      <c r="D1232" t="n">
        <v>10000</v>
      </c>
      <c r="E1232" t="inlineStr">
        <is>
          <t>up</t>
        </is>
      </c>
      <c r="F1232" t="inlineStr">
        <is>
          <t>Server NIC</t>
        </is>
      </c>
    </row>
    <row r="1233">
      <c r="A1233" t="inlineStr">
        <is>
          <t>MH-DC-002-MMR-SW-04</t>
        </is>
      </c>
      <c r="B1233" t="inlineStr">
        <is>
          <t>Te0/0/0/3</t>
        </is>
      </c>
      <c r="C1233" t="inlineStr">
        <is>
          <t>10G SFP+</t>
        </is>
      </c>
      <c r="D1233" t="n">
        <v>10000</v>
      </c>
      <c r="E1233" t="inlineStr">
        <is>
          <t>up</t>
        </is>
      </c>
      <c r="F1233" t="inlineStr">
        <is>
          <t>Server NIC</t>
        </is>
      </c>
    </row>
    <row r="1234">
      <c r="A1234" t="inlineStr">
        <is>
          <t>MH-DC-002-MMR-SW-04</t>
        </is>
      </c>
      <c r="B1234" t="inlineStr">
        <is>
          <t>Te0/0/0/4</t>
        </is>
      </c>
      <c r="C1234" t="inlineStr">
        <is>
          <t>10G SFP+</t>
        </is>
      </c>
      <c r="D1234" t="n">
        <v>10000</v>
      </c>
      <c r="E1234" t="inlineStr">
        <is>
          <t>up</t>
        </is>
      </c>
      <c r="F1234" t="inlineStr">
        <is>
          <t>Server NIC</t>
        </is>
      </c>
    </row>
    <row r="1235">
      <c r="A1235" t="inlineStr">
        <is>
          <t>MH-DC-002-MMR-SW-04</t>
        </is>
      </c>
      <c r="B1235" t="inlineStr">
        <is>
          <t>Te0/0/0/5</t>
        </is>
      </c>
      <c r="C1235" t="inlineStr">
        <is>
          <t>10G SFP+</t>
        </is>
      </c>
      <c r="D1235" t="n">
        <v>10000</v>
      </c>
      <c r="E1235" t="inlineStr">
        <is>
          <t>up</t>
        </is>
      </c>
      <c r="F1235" t="inlineStr">
        <is>
          <t>Server NIC</t>
        </is>
      </c>
    </row>
    <row r="1236">
      <c r="A1236" t="inlineStr">
        <is>
          <t>MH-DC-002-MMR-SW-04</t>
        </is>
      </c>
      <c r="B1236" t="inlineStr">
        <is>
          <t>Te0/0/0/6</t>
        </is>
      </c>
      <c r="C1236" t="inlineStr">
        <is>
          <t>10G SFP+</t>
        </is>
      </c>
      <c r="D1236" t="n">
        <v>10000</v>
      </c>
      <c r="E1236" t="inlineStr">
        <is>
          <t>up</t>
        </is>
      </c>
      <c r="F1236" t="inlineStr">
        <is>
          <t>Server NIC</t>
        </is>
      </c>
    </row>
    <row r="1237">
      <c r="A1237" t="inlineStr">
        <is>
          <t>MH-DC-002-MMR-SW-04</t>
        </is>
      </c>
      <c r="B1237" t="inlineStr">
        <is>
          <t>Te0/0/0/7</t>
        </is>
      </c>
      <c r="C1237" t="inlineStr">
        <is>
          <t>10G SFP+</t>
        </is>
      </c>
      <c r="D1237" t="n">
        <v>10000</v>
      </c>
      <c r="E1237" t="inlineStr">
        <is>
          <t>up</t>
        </is>
      </c>
      <c r="F1237" t="inlineStr">
        <is>
          <t>Server NIC</t>
        </is>
      </c>
    </row>
    <row r="1238">
      <c r="A1238" t="inlineStr">
        <is>
          <t>MH-DC-002-MMR-SW-04</t>
        </is>
      </c>
      <c r="B1238" t="inlineStr">
        <is>
          <t>Te0/0/0/8</t>
        </is>
      </c>
      <c r="C1238" t="inlineStr">
        <is>
          <t>10G SFP+</t>
        </is>
      </c>
      <c r="D1238" t="n">
        <v>10000</v>
      </c>
      <c r="E1238" t="inlineStr">
        <is>
          <t>up</t>
        </is>
      </c>
      <c r="F1238" t="inlineStr">
        <is>
          <t>Server NIC</t>
        </is>
      </c>
    </row>
    <row r="1239">
      <c r="A1239" t="inlineStr">
        <is>
          <t>MH-DC-002-MMR-SW-04</t>
        </is>
      </c>
      <c r="B1239" t="inlineStr">
        <is>
          <t>Te0/0/0/9</t>
        </is>
      </c>
      <c r="C1239" t="inlineStr">
        <is>
          <t>10G SFP+</t>
        </is>
      </c>
      <c r="D1239" t="n">
        <v>10000</v>
      </c>
      <c r="E1239" t="inlineStr">
        <is>
          <t>admin-down</t>
        </is>
      </c>
    </row>
    <row r="1240">
      <c r="A1240" t="inlineStr">
        <is>
          <t>MH-DC-002-MMR-SW-04</t>
        </is>
      </c>
      <c r="B1240" t="inlineStr">
        <is>
          <t>Te0/0/0/10</t>
        </is>
      </c>
      <c r="C1240" t="inlineStr">
        <is>
          <t>10G SFP+</t>
        </is>
      </c>
      <c r="D1240" t="n">
        <v>10000</v>
      </c>
      <c r="E1240" t="inlineStr">
        <is>
          <t>admin-down</t>
        </is>
      </c>
    </row>
    <row r="1241">
      <c r="A1241" t="inlineStr">
        <is>
          <t>MH-DC-002-MMR-SW-04</t>
        </is>
      </c>
      <c r="B1241" t="inlineStr">
        <is>
          <t>Te0/0/0/11</t>
        </is>
      </c>
      <c r="C1241" t="inlineStr">
        <is>
          <t>10G SFP+</t>
        </is>
      </c>
      <c r="D1241" t="n">
        <v>10000</v>
      </c>
      <c r="E1241" t="inlineStr">
        <is>
          <t>admin-down</t>
        </is>
      </c>
    </row>
    <row r="1242">
      <c r="A1242" t="inlineStr">
        <is>
          <t>MH-DC-002-MMR-SW-04</t>
        </is>
      </c>
      <c r="B1242" t="inlineStr">
        <is>
          <t>Te0/0/0/12</t>
        </is>
      </c>
      <c r="C1242" t="inlineStr">
        <is>
          <t>10G SFP+</t>
        </is>
      </c>
      <c r="D1242" t="n">
        <v>10000</v>
      </c>
      <c r="E1242" t="inlineStr">
        <is>
          <t>up</t>
        </is>
      </c>
      <c r="F1242" t="inlineStr">
        <is>
          <t>Server NIC</t>
        </is>
      </c>
    </row>
    <row r="1243">
      <c r="A1243" t="inlineStr">
        <is>
          <t>MH-DC-002-MMR-SW-04</t>
        </is>
      </c>
      <c r="B1243" t="inlineStr">
        <is>
          <t>Te0/0/0/13</t>
        </is>
      </c>
      <c r="C1243" t="inlineStr">
        <is>
          <t>10G SFP+</t>
        </is>
      </c>
      <c r="D1243" t="n">
        <v>10000</v>
      </c>
      <c r="E1243" t="inlineStr">
        <is>
          <t>up</t>
        </is>
      </c>
      <c r="F1243" t="inlineStr">
        <is>
          <t>Server NIC</t>
        </is>
      </c>
    </row>
    <row r="1244">
      <c r="A1244" t="inlineStr">
        <is>
          <t>MH-DC-002-MMR-SW-04</t>
        </is>
      </c>
      <c r="B1244" t="inlineStr">
        <is>
          <t>Te0/0/0/14</t>
        </is>
      </c>
      <c r="C1244" t="inlineStr">
        <is>
          <t>10G SFP+</t>
        </is>
      </c>
      <c r="D1244" t="n">
        <v>10000</v>
      </c>
      <c r="E1244" t="inlineStr">
        <is>
          <t>up</t>
        </is>
      </c>
      <c r="F1244" t="inlineStr">
        <is>
          <t>Server NIC</t>
        </is>
      </c>
    </row>
    <row r="1245">
      <c r="A1245" t="inlineStr">
        <is>
          <t>MH-DC-002-MMR-SW-04</t>
        </is>
      </c>
      <c r="B1245" t="inlineStr">
        <is>
          <t>Te0/0/0/15</t>
        </is>
      </c>
      <c r="C1245" t="inlineStr">
        <is>
          <t>10G SFP+</t>
        </is>
      </c>
      <c r="D1245" t="n">
        <v>10000</v>
      </c>
      <c r="E1245" t="inlineStr">
        <is>
          <t>up</t>
        </is>
      </c>
      <c r="F1245" t="inlineStr">
        <is>
          <t>Server NIC</t>
        </is>
      </c>
    </row>
    <row r="1246">
      <c r="A1246" t="inlineStr">
        <is>
          <t>MH-DC-002-MMR-SW-04</t>
        </is>
      </c>
      <c r="B1246" t="inlineStr">
        <is>
          <t>Te0/0/0/16</t>
        </is>
      </c>
      <c r="C1246" t="inlineStr">
        <is>
          <t>10G SFP+</t>
        </is>
      </c>
      <c r="D1246" t="n">
        <v>10000</v>
      </c>
      <c r="E1246" t="inlineStr">
        <is>
          <t>admin-down</t>
        </is>
      </c>
    </row>
    <row r="1247">
      <c r="A1247" t="inlineStr">
        <is>
          <t>MH-DC-002-MMR-SW-04</t>
        </is>
      </c>
      <c r="B1247" t="inlineStr">
        <is>
          <t>Te0/0/0/17</t>
        </is>
      </c>
      <c r="C1247" t="inlineStr">
        <is>
          <t>10G SFP+</t>
        </is>
      </c>
      <c r="D1247" t="n">
        <v>10000</v>
      </c>
      <c r="E1247" t="inlineStr">
        <is>
          <t>admin-down</t>
        </is>
      </c>
    </row>
    <row r="1248">
      <c r="A1248" t="inlineStr">
        <is>
          <t>MH-DC-002-MMR-SW-04</t>
        </is>
      </c>
      <c r="B1248" t="inlineStr">
        <is>
          <t>Te0/0/0/18</t>
        </is>
      </c>
      <c r="C1248" t="inlineStr">
        <is>
          <t>10G SFP+</t>
        </is>
      </c>
      <c r="D1248" t="n">
        <v>10000</v>
      </c>
      <c r="E1248" t="inlineStr">
        <is>
          <t>up</t>
        </is>
      </c>
      <c r="F1248" t="inlineStr">
        <is>
          <t>Server NIC</t>
        </is>
      </c>
    </row>
    <row r="1249">
      <c r="A1249" t="inlineStr">
        <is>
          <t>MH-DC-002-MMR-SW-04</t>
        </is>
      </c>
      <c r="B1249" t="inlineStr">
        <is>
          <t>Te0/0/0/19</t>
        </is>
      </c>
      <c r="C1249" t="inlineStr">
        <is>
          <t>10G SFP+</t>
        </is>
      </c>
      <c r="D1249" t="n">
        <v>10000</v>
      </c>
      <c r="E1249" t="inlineStr">
        <is>
          <t>up</t>
        </is>
      </c>
      <c r="F1249" t="inlineStr">
        <is>
          <t>Server NIC</t>
        </is>
      </c>
    </row>
    <row r="1250">
      <c r="A1250" t="inlineStr">
        <is>
          <t>MH-DC-002-MMR-SW-04</t>
        </is>
      </c>
      <c r="B1250" t="inlineStr">
        <is>
          <t>Te0/0/0/20</t>
        </is>
      </c>
      <c r="C1250" t="inlineStr">
        <is>
          <t>10G SFP+</t>
        </is>
      </c>
      <c r="D1250" t="n">
        <v>10000</v>
      </c>
      <c r="E1250" t="inlineStr">
        <is>
          <t>admin-down</t>
        </is>
      </c>
    </row>
    <row r="1251">
      <c r="A1251" t="inlineStr">
        <is>
          <t>MH-DC-002-MMR-SW-04</t>
        </is>
      </c>
      <c r="B1251" t="inlineStr">
        <is>
          <t>Te0/0/0/21</t>
        </is>
      </c>
      <c r="C1251" t="inlineStr">
        <is>
          <t>10G SFP+</t>
        </is>
      </c>
      <c r="D1251" t="n">
        <v>10000</v>
      </c>
      <c r="E1251" t="inlineStr">
        <is>
          <t>up</t>
        </is>
      </c>
      <c r="F1251" t="inlineStr">
        <is>
          <t>Server NIC</t>
        </is>
      </c>
    </row>
    <row r="1252">
      <c r="A1252" t="inlineStr">
        <is>
          <t>MH-DC-002-MMR-SW-04</t>
        </is>
      </c>
      <c r="B1252" t="inlineStr">
        <is>
          <t>Te0/0/0/22</t>
        </is>
      </c>
      <c r="C1252" t="inlineStr">
        <is>
          <t>10G SFP+</t>
        </is>
      </c>
      <c r="D1252" t="n">
        <v>10000</v>
      </c>
      <c r="E1252" t="inlineStr">
        <is>
          <t>up</t>
        </is>
      </c>
      <c r="F1252" t="inlineStr">
        <is>
          <t>Server NIC</t>
        </is>
      </c>
    </row>
    <row r="1253">
      <c r="A1253" t="inlineStr">
        <is>
          <t>MH-DC-002-MMR-SW-04</t>
        </is>
      </c>
      <c r="B1253" t="inlineStr">
        <is>
          <t>Te0/0/0/23</t>
        </is>
      </c>
      <c r="C1253" t="inlineStr">
        <is>
          <t>10G SFP+</t>
        </is>
      </c>
      <c r="D1253" t="n">
        <v>10000</v>
      </c>
      <c r="E1253" t="inlineStr">
        <is>
          <t>up</t>
        </is>
      </c>
      <c r="F1253" t="inlineStr">
        <is>
          <t>Server NIC</t>
        </is>
      </c>
    </row>
    <row r="1254">
      <c r="A1254" t="inlineStr">
        <is>
          <t>MH-DC-002-MMR-SW-04</t>
        </is>
      </c>
      <c r="B1254" t="inlineStr">
        <is>
          <t>Te0/0/0/24</t>
        </is>
      </c>
      <c r="C1254" t="inlineStr">
        <is>
          <t>10G SFP+</t>
        </is>
      </c>
      <c r="D1254" t="n">
        <v>10000</v>
      </c>
      <c r="E1254" t="inlineStr">
        <is>
          <t>up</t>
        </is>
      </c>
      <c r="F1254" t="inlineStr">
        <is>
          <t>Server NIC</t>
        </is>
      </c>
    </row>
    <row r="1255">
      <c r="A1255" t="inlineStr">
        <is>
          <t>MH-DC-002-MMR-SW-04</t>
        </is>
      </c>
      <c r="B1255" t="inlineStr">
        <is>
          <t>Te0/0/0/25</t>
        </is>
      </c>
      <c r="C1255" t="inlineStr">
        <is>
          <t>10G SFP+</t>
        </is>
      </c>
      <c r="D1255" t="n">
        <v>10000</v>
      </c>
      <c r="E1255" t="inlineStr">
        <is>
          <t>reserved</t>
        </is>
      </c>
    </row>
    <row r="1256">
      <c r="A1256" t="inlineStr">
        <is>
          <t>MH-DC-002-MMR-SW-04</t>
        </is>
      </c>
      <c r="B1256" t="inlineStr">
        <is>
          <t>Te0/0/0/26</t>
        </is>
      </c>
      <c r="C1256" t="inlineStr">
        <is>
          <t>10G SFP+</t>
        </is>
      </c>
      <c r="D1256" t="n">
        <v>10000</v>
      </c>
      <c r="E1256" t="inlineStr">
        <is>
          <t>up</t>
        </is>
      </c>
      <c r="F1256" t="inlineStr">
        <is>
          <t>Server NIC</t>
        </is>
      </c>
    </row>
    <row r="1257">
      <c r="A1257" t="inlineStr">
        <is>
          <t>MH-DC-002-MMR-SW-04</t>
        </is>
      </c>
      <c r="B1257" t="inlineStr">
        <is>
          <t>Te0/0/0/27</t>
        </is>
      </c>
      <c r="C1257" t="inlineStr">
        <is>
          <t>10G SFP+</t>
        </is>
      </c>
      <c r="D1257" t="n">
        <v>10000</v>
      </c>
      <c r="E1257" t="inlineStr">
        <is>
          <t>up</t>
        </is>
      </c>
      <c r="F1257" t="inlineStr">
        <is>
          <t>Server NIC</t>
        </is>
      </c>
    </row>
    <row r="1258">
      <c r="A1258" t="inlineStr">
        <is>
          <t>MH-DC-002-MMR-SW-04</t>
        </is>
      </c>
      <c r="B1258" t="inlineStr">
        <is>
          <t>Te0/0/0/28</t>
        </is>
      </c>
      <c r="C1258" t="inlineStr">
        <is>
          <t>10G SFP+</t>
        </is>
      </c>
      <c r="D1258" t="n">
        <v>10000</v>
      </c>
      <c r="E1258" t="inlineStr">
        <is>
          <t>up</t>
        </is>
      </c>
      <c r="F1258" t="inlineStr">
        <is>
          <t>Server NIC</t>
        </is>
      </c>
    </row>
    <row r="1259">
      <c r="A1259" t="inlineStr">
        <is>
          <t>MH-DC-002-MMR-SW-04</t>
        </is>
      </c>
      <c r="B1259" t="inlineStr">
        <is>
          <t>Te0/0/0/29</t>
        </is>
      </c>
      <c r="C1259" t="inlineStr">
        <is>
          <t>10G SFP+</t>
        </is>
      </c>
      <c r="D1259" t="n">
        <v>10000</v>
      </c>
      <c r="E1259" t="inlineStr">
        <is>
          <t>admin-down</t>
        </is>
      </c>
    </row>
    <row r="1260">
      <c r="A1260" t="inlineStr">
        <is>
          <t>MH-DC-002-MMR-SW-04</t>
        </is>
      </c>
      <c r="B1260" t="inlineStr">
        <is>
          <t>Te0/0/0/30</t>
        </is>
      </c>
      <c r="C1260" t="inlineStr">
        <is>
          <t>10G SFP+</t>
        </is>
      </c>
      <c r="D1260" t="n">
        <v>10000</v>
      </c>
      <c r="E1260" t="inlineStr">
        <is>
          <t>admin-down</t>
        </is>
      </c>
    </row>
    <row r="1261">
      <c r="A1261" t="inlineStr">
        <is>
          <t>MH-DC-002-MMR-SW-04</t>
        </is>
      </c>
      <c r="B1261" t="inlineStr">
        <is>
          <t>Te0/0/0/31</t>
        </is>
      </c>
      <c r="C1261" t="inlineStr">
        <is>
          <t>10G SFP+</t>
        </is>
      </c>
      <c r="D1261" t="n">
        <v>10000</v>
      </c>
      <c r="E1261" t="inlineStr">
        <is>
          <t>up</t>
        </is>
      </c>
      <c r="F1261" t="inlineStr">
        <is>
          <t>Server NIC</t>
        </is>
      </c>
    </row>
    <row r="1262">
      <c r="A1262" t="inlineStr">
        <is>
          <t>MH-DC-002-MMR-SW-04</t>
        </is>
      </c>
      <c r="B1262" t="inlineStr">
        <is>
          <t>Te0/0/0/32</t>
        </is>
      </c>
      <c r="C1262" t="inlineStr">
        <is>
          <t>10G SFP+</t>
        </is>
      </c>
      <c r="D1262" t="n">
        <v>10000</v>
      </c>
      <c r="E1262" t="inlineStr">
        <is>
          <t>admin-down</t>
        </is>
      </c>
    </row>
    <row r="1263">
      <c r="A1263" t="inlineStr">
        <is>
          <t>MH-DC-002-MMR-SW-04</t>
        </is>
      </c>
      <c r="B1263" t="inlineStr">
        <is>
          <t>Te0/0/0/33</t>
        </is>
      </c>
      <c r="C1263" t="inlineStr">
        <is>
          <t>10G SFP+</t>
        </is>
      </c>
      <c r="D1263" t="n">
        <v>10000</v>
      </c>
      <c r="E1263" t="inlineStr">
        <is>
          <t>up</t>
        </is>
      </c>
      <c r="F1263" t="inlineStr">
        <is>
          <t>Server NIC</t>
        </is>
      </c>
    </row>
    <row r="1264">
      <c r="A1264" t="inlineStr">
        <is>
          <t>MH-DC-002-MMR-SW-04</t>
        </is>
      </c>
      <c r="B1264" t="inlineStr">
        <is>
          <t>Te0/0/0/34</t>
        </is>
      </c>
      <c r="C1264" t="inlineStr">
        <is>
          <t>10G SFP+</t>
        </is>
      </c>
      <c r="D1264" t="n">
        <v>10000</v>
      </c>
      <c r="E1264" t="inlineStr">
        <is>
          <t>admin-down</t>
        </is>
      </c>
    </row>
    <row r="1265">
      <c r="A1265" t="inlineStr">
        <is>
          <t>MH-DC-002-MMR-SW-04</t>
        </is>
      </c>
      <c r="B1265" t="inlineStr">
        <is>
          <t>Te0/0/0/35</t>
        </is>
      </c>
      <c r="C1265" t="inlineStr">
        <is>
          <t>10G SFP+</t>
        </is>
      </c>
      <c r="D1265" t="n">
        <v>10000</v>
      </c>
      <c r="E1265" t="inlineStr">
        <is>
          <t>admin-down</t>
        </is>
      </c>
    </row>
    <row r="1266">
      <c r="A1266" t="inlineStr">
        <is>
          <t>MH-DC-002-MMR-SW-04</t>
        </is>
      </c>
      <c r="B1266" t="inlineStr">
        <is>
          <t>Te0/0/0/36</t>
        </is>
      </c>
      <c r="C1266" t="inlineStr">
        <is>
          <t>10G SFP+</t>
        </is>
      </c>
      <c r="D1266" t="n">
        <v>10000</v>
      </c>
      <c r="E1266" t="inlineStr">
        <is>
          <t>up</t>
        </is>
      </c>
      <c r="F1266" t="inlineStr">
        <is>
          <t>Server NIC</t>
        </is>
      </c>
    </row>
    <row r="1267">
      <c r="A1267" t="inlineStr">
        <is>
          <t>MH-DC-002-MMR-SW-04</t>
        </is>
      </c>
      <c r="B1267" t="inlineStr">
        <is>
          <t>Te0/0/0/37</t>
        </is>
      </c>
      <c r="C1267" t="inlineStr">
        <is>
          <t>10G SFP+</t>
        </is>
      </c>
      <c r="D1267" t="n">
        <v>10000</v>
      </c>
      <c r="E1267" t="inlineStr">
        <is>
          <t>admin-down</t>
        </is>
      </c>
    </row>
    <row r="1268">
      <c r="A1268" t="inlineStr">
        <is>
          <t>MH-DC-002-MMR-SW-04</t>
        </is>
      </c>
      <c r="B1268" t="inlineStr">
        <is>
          <t>Te0/0/0/38</t>
        </is>
      </c>
      <c r="C1268" t="inlineStr">
        <is>
          <t>10G SFP+</t>
        </is>
      </c>
      <c r="D1268" t="n">
        <v>10000</v>
      </c>
      <c r="E1268" t="inlineStr">
        <is>
          <t>up</t>
        </is>
      </c>
      <c r="F1268" t="inlineStr">
        <is>
          <t>Server NIC</t>
        </is>
      </c>
    </row>
    <row r="1269">
      <c r="A1269" t="inlineStr">
        <is>
          <t>MH-DC-002-MMR-SW-04</t>
        </is>
      </c>
      <c r="B1269" t="inlineStr">
        <is>
          <t>Te0/0/0/39</t>
        </is>
      </c>
      <c r="C1269" t="inlineStr">
        <is>
          <t>10G SFP+</t>
        </is>
      </c>
      <c r="D1269" t="n">
        <v>10000</v>
      </c>
      <c r="E1269" t="inlineStr">
        <is>
          <t>up</t>
        </is>
      </c>
      <c r="F1269" t="inlineStr">
        <is>
          <t>Server NIC</t>
        </is>
      </c>
    </row>
    <row r="1270">
      <c r="A1270" t="inlineStr">
        <is>
          <t>MH-DC-002-MMR-SW-04</t>
        </is>
      </c>
      <c r="B1270" t="inlineStr">
        <is>
          <t>Te0/0/0/40</t>
        </is>
      </c>
      <c r="C1270" t="inlineStr">
        <is>
          <t>10G SFP+</t>
        </is>
      </c>
      <c r="D1270" t="n">
        <v>10000</v>
      </c>
      <c r="E1270" t="inlineStr">
        <is>
          <t>up</t>
        </is>
      </c>
      <c r="F1270" t="inlineStr">
        <is>
          <t>Server NIC</t>
        </is>
      </c>
    </row>
    <row r="1271">
      <c r="A1271" t="inlineStr">
        <is>
          <t>MH-DC-002-MMR-SW-04</t>
        </is>
      </c>
      <c r="B1271" t="inlineStr">
        <is>
          <t>Te0/0/0/41</t>
        </is>
      </c>
      <c r="C1271" t="inlineStr">
        <is>
          <t>10G SFP+</t>
        </is>
      </c>
      <c r="D1271" t="n">
        <v>10000</v>
      </c>
      <c r="E1271" t="inlineStr">
        <is>
          <t>admin-down</t>
        </is>
      </c>
    </row>
    <row r="1272">
      <c r="A1272" t="inlineStr">
        <is>
          <t>MH-DC-002-MMR-SW-04</t>
        </is>
      </c>
      <c r="B1272" t="inlineStr">
        <is>
          <t>Te0/0/0/42</t>
        </is>
      </c>
      <c r="C1272" t="inlineStr">
        <is>
          <t>10G SFP+</t>
        </is>
      </c>
      <c r="D1272" t="n">
        <v>10000</v>
      </c>
      <c r="E1272" t="inlineStr">
        <is>
          <t>up</t>
        </is>
      </c>
      <c r="F1272" t="inlineStr">
        <is>
          <t>Server NIC</t>
        </is>
      </c>
    </row>
    <row r="1273">
      <c r="A1273" t="inlineStr">
        <is>
          <t>MH-DC-002-MMR-SW-04</t>
        </is>
      </c>
      <c r="B1273" t="inlineStr">
        <is>
          <t>Te0/0/0/43</t>
        </is>
      </c>
      <c r="C1273" t="inlineStr">
        <is>
          <t>10G SFP+</t>
        </is>
      </c>
      <c r="D1273" t="n">
        <v>10000</v>
      </c>
      <c r="E1273" t="inlineStr">
        <is>
          <t>up</t>
        </is>
      </c>
      <c r="F1273" t="inlineStr">
        <is>
          <t>Server NIC</t>
        </is>
      </c>
    </row>
    <row r="1274">
      <c r="A1274" t="inlineStr">
        <is>
          <t>MH-DC-002-MMR-SW-04</t>
        </is>
      </c>
      <c r="B1274" t="inlineStr">
        <is>
          <t>Te0/0/0/44</t>
        </is>
      </c>
      <c r="C1274" t="inlineStr">
        <is>
          <t>10G SFP+</t>
        </is>
      </c>
      <c r="D1274" t="n">
        <v>10000</v>
      </c>
      <c r="E1274" t="inlineStr">
        <is>
          <t>up</t>
        </is>
      </c>
      <c r="F1274" t="inlineStr">
        <is>
          <t>Server NIC</t>
        </is>
      </c>
    </row>
    <row r="1275">
      <c r="A1275" t="inlineStr">
        <is>
          <t>MH-DC-002-MMR-SW-04</t>
        </is>
      </c>
      <c r="B1275" t="inlineStr">
        <is>
          <t>Te0/0/0/45</t>
        </is>
      </c>
      <c r="C1275" t="inlineStr">
        <is>
          <t>10G SFP+</t>
        </is>
      </c>
      <c r="D1275" t="n">
        <v>10000</v>
      </c>
      <c r="E1275" t="inlineStr">
        <is>
          <t>up</t>
        </is>
      </c>
      <c r="F1275" t="inlineStr">
        <is>
          <t>Server NIC</t>
        </is>
      </c>
    </row>
    <row r="1276">
      <c r="A1276" t="inlineStr">
        <is>
          <t>MH-DC-002-MMR-SW-04</t>
        </is>
      </c>
      <c r="B1276" t="inlineStr">
        <is>
          <t>Te0/0/0/46</t>
        </is>
      </c>
      <c r="C1276" t="inlineStr">
        <is>
          <t>10G SFP+</t>
        </is>
      </c>
      <c r="D1276" t="n">
        <v>10000</v>
      </c>
      <c r="E1276" t="inlineStr">
        <is>
          <t>up</t>
        </is>
      </c>
      <c r="F1276" t="inlineStr">
        <is>
          <t>Server NIC</t>
        </is>
      </c>
    </row>
    <row r="1277">
      <c r="A1277" t="inlineStr">
        <is>
          <t>MH-DC-002-MMR-SW-04</t>
        </is>
      </c>
      <c r="B1277" t="inlineStr">
        <is>
          <t>Te0/0/0/47</t>
        </is>
      </c>
      <c r="C1277" t="inlineStr">
        <is>
          <t>10G SFP+</t>
        </is>
      </c>
      <c r="D1277" t="n">
        <v>10000</v>
      </c>
      <c r="E1277" t="inlineStr">
        <is>
          <t>admin-down</t>
        </is>
      </c>
    </row>
    <row r="1278">
      <c r="A1278" t="inlineStr">
        <is>
          <t>MH-DC-002-MMR-SW-04</t>
        </is>
      </c>
      <c r="B1278" t="inlineStr">
        <is>
          <t>Hu0/0/1/0</t>
        </is>
      </c>
      <c r="C1278" t="inlineStr">
        <is>
          <t>100G QSFP28</t>
        </is>
      </c>
      <c r="D1278" t="n">
        <v>100000</v>
      </c>
      <c r="E1278" t="inlineStr">
        <is>
          <t>up</t>
        </is>
      </c>
      <c r="F1278" t="inlineStr">
        <is>
          <t>Uplink to MH-DC-002-AGG-R02</t>
        </is>
      </c>
      <c r="G1278" t="inlineStr">
        <is>
          <t>QSFP28-100G-LR4</t>
        </is>
      </c>
    </row>
    <row r="1279">
      <c r="A1279" t="inlineStr">
        <is>
          <t>MH-DC-002-MMR-SW-04</t>
        </is>
      </c>
      <c r="B1279" t="inlineStr">
        <is>
          <t>Hu0/0/1/1</t>
        </is>
      </c>
      <c r="C1279" t="inlineStr">
        <is>
          <t>100G QSFP28</t>
        </is>
      </c>
      <c r="D1279" t="n">
        <v>100000</v>
      </c>
      <c r="E1279" t="inlineStr">
        <is>
          <t>up</t>
        </is>
      </c>
      <c r="F1279" t="inlineStr">
        <is>
          <t>Uplink to MH-DC-002-AGG-R01</t>
        </is>
      </c>
      <c r="G1279" t="inlineStr">
        <is>
          <t>QSFP28-100G-LR4</t>
        </is>
      </c>
    </row>
    <row r="1280">
      <c r="A1280" t="inlineStr">
        <is>
          <t>MH-DC-002-MMR-SW-04</t>
        </is>
      </c>
      <c r="B1280" t="inlineStr">
        <is>
          <t>Hu0/0/1/2</t>
        </is>
      </c>
      <c r="C1280" t="inlineStr">
        <is>
          <t>100G QSFP28</t>
        </is>
      </c>
      <c r="D1280" t="n">
        <v>100000</v>
      </c>
      <c r="E1280" t="inlineStr">
        <is>
          <t>admin-down</t>
        </is>
      </c>
    </row>
    <row r="1281">
      <c r="A1281" t="inlineStr">
        <is>
          <t>MH-DC-002-MMR-SW-04</t>
        </is>
      </c>
      <c r="B1281" t="inlineStr">
        <is>
          <t>Hu0/0/1/3</t>
        </is>
      </c>
      <c r="C1281" t="inlineStr">
        <is>
          <t>100G QSFP28</t>
        </is>
      </c>
      <c r="D1281" t="n">
        <v>100000</v>
      </c>
      <c r="E1281" t="inlineStr">
        <is>
          <t>admin-down</t>
        </is>
      </c>
    </row>
    <row r="1282">
      <c r="A1282" t="inlineStr">
        <is>
          <t>MH-DC-002-TOR-001</t>
        </is>
      </c>
      <c r="B1282" t="inlineStr">
        <is>
          <t>xe-0/0/0</t>
        </is>
      </c>
      <c r="C1282" t="inlineStr">
        <is>
          <t>10G SFP+</t>
        </is>
      </c>
      <c r="D1282" t="n">
        <v>10000</v>
      </c>
      <c r="E1282" t="inlineStr">
        <is>
          <t>up</t>
        </is>
      </c>
      <c r="F1282" t="inlineStr">
        <is>
          <t>Access to MH-DC-002-MMR-SW-01</t>
        </is>
      </c>
      <c r="G1282" t="inlineStr">
        <is>
          <t>SFP-10G-LR</t>
        </is>
      </c>
    </row>
    <row r="1283">
      <c r="A1283" t="inlineStr">
        <is>
          <t>MH-DC-002-TOR-001</t>
        </is>
      </c>
      <c r="B1283" t="inlineStr">
        <is>
          <t>xe-0/0/1</t>
        </is>
      </c>
      <c r="C1283" t="inlineStr">
        <is>
          <t>10G SFP+</t>
        </is>
      </c>
      <c r="D1283" t="n">
        <v>10000</v>
      </c>
      <c r="E1283" t="inlineStr">
        <is>
          <t>up</t>
        </is>
      </c>
      <c r="F1283" t="inlineStr">
        <is>
          <t>Access to MH-DC-002-MMR-SW-02</t>
        </is>
      </c>
      <c r="G1283" t="inlineStr">
        <is>
          <t>SFP-10G-LR</t>
        </is>
      </c>
    </row>
    <row r="1284">
      <c r="A1284" t="inlineStr">
        <is>
          <t>MH-DC-002-TOR-001</t>
        </is>
      </c>
      <c r="B1284" t="inlineStr">
        <is>
          <t>xe-0/0/2</t>
        </is>
      </c>
      <c r="C1284" t="inlineStr">
        <is>
          <t>10G SFP+</t>
        </is>
      </c>
      <c r="D1284" t="n">
        <v>10000</v>
      </c>
      <c r="E1284" t="inlineStr">
        <is>
          <t>up</t>
        </is>
      </c>
      <c r="F1284" t="inlineStr">
        <is>
          <t>Access to MH-DC-002-BMS-01</t>
        </is>
      </c>
      <c r="G1284" t="inlineStr">
        <is>
          <t>SFP-10G-LR</t>
        </is>
      </c>
    </row>
    <row r="1285">
      <c r="A1285" t="inlineStr">
        <is>
          <t>MH-DC-002-TOR-001</t>
        </is>
      </c>
      <c r="B1285" t="inlineStr">
        <is>
          <t>xe-0/0/3</t>
        </is>
      </c>
      <c r="C1285" t="inlineStr">
        <is>
          <t>10G SFP+</t>
        </is>
      </c>
      <c r="D1285" t="n">
        <v>10000</v>
      </c>
      <c r="E1285" t="inlineStr">
        <is>
          <t>up</t>
        </is>
      </c>
      <c r="F1285" t="inlineStr">
        <is>
          <t>Access to MH-DC-002-BMS-02</t>
        </is>
      </c>
      <c r="G1285" t="inlineStr">
        <is>
          <t>SFP-10G-LR</t>
        </is>
      </c>
    </row>
    <row r="1286">
      <c r="A1286" t="inlineStr">
        <is>
          <t>MH-DC-002-TOR-001</t>
        </is>
      </c>
      <c r="B1286" t="inlineStr">
        <is>
          <t>xe-0/0/4</t>
        </is>
      </c>
      <c r="C1286" t="inlineStr">
        <is>
          <t>10G SFP+</t>
        </is>
      </c>
      <c r="D1286" t="n">
        <v>10000</v>
      </c>
      <c r="E1286" t="inlineStr">
        <is>
          <t>up</t>
        </is>
      </c>
      <c r="F1286" t="inlineStr">
        <is>
          <t>Server NIC</t>
        </is>
      </c>
    </row>
    <row r="1287">
      <c r="A1287" t="inlineStr">
        <is>
          <t>MH-DC-002-TOR-001</t>
        </is>
      </c>
      <c r="B1287" t="inlineStr">
        <is>
          <t>xe-0/0/5</t>
        </is>
      </c>
      <c r="C1287" t="inlineStr">
        <is>
          <t>10G SFP+</t>
        </is>
      </c>
      <c r="D1287" t="n">
        <v>10000</v>
      </c>
      <c r="E1287" t="inlineStr">
        <is>
          <t>up</t>
        </is>
      </c>
      <c r="F1287" t="inlineStr">
        <is>
          <t>Server NIC</t>
        </is>
      </c>
    </row>
    <row r="1288">
      <c r="A1288" t="inlineStr">
        <is>
          <t>MH-DC-002-TOR-001</t>
        </is>
      </c>
      <c r="B1288" t="inlineStr">
        <is>
          <t>xe-0/0/6</t>
        </is>
      </c>
      <c r="C1288" t="inlineStr">
        <is>
          <t>10G SFP+</t>
        </is>
      </c>
      <c r="D1288" t="n">
        <v>10000</v>
      </c>
      <c r="E1288" t="inlineStr">
        <is>
          <t>up</t>
        </is>
      </c>
      <c r="F1288" t="inlineStr">
        <is>
          <t>Server NIC</t>
        </is>
      </c>
    </row>
    <row r="1289">
      <c r="A1289" t="inlineStr">
        <is>
          <t>MH-DC-002-TOR-001</t>
        </is>
      </c>
      <c r="B1289" t="inlineStr">
        <is>
          <t>xe-0/0/7</t>
        </is>
      </c>
      <c r="C1289" t="inlineStr">
        <is>
          <t>10G SFP+</t>
        </is>
      </c>
      <c r="D1289" t="n">
        <v>10000</v>
      </c>
      <c r="E1289" t="inlineStr">
        <is>
          <t>up</t>
        </is>
      </c>
      <c r="F1289" t="inlineStr">
        <is>
          <t>Server NIC</t>
        </is>
      </c>
    </row>
    <row r="1290">
      <c r="A1290" t="inlineStr">
        <is>
          <t>MH-DC-002-TOR-001</t>
        </is>
      </c>
      <c r="B1290" t="inlineStr">
        <is>
          <t>xe-0/0/8</t>
        </is>
      </c>
      <c r="C1290" t="inlineStr">
        <is>
          <t>10G SFP+</t>
        </is>
      </c>
      <c r="D1290" t="n">
        <v>10000</v>
      </c>
      <c r="E1290" t="inlineStr">
        <is>
          <t>up</t>
        </is>
      </c>
      <c r="F1290" t="inlineStr">
        <is>
          <t>Server NIC</t>
        </is>
      </c>
    </row>
    <row r="1291">
      <c r="A1291" t="inlineStr">
        <is>
          <t>MH-DC-002-TOR-001</t>
        </is>
      </c>
      <c r="B1291" t="inlineStr">
        <is>
          <t>xe-0/0/9</t>
        </is>
      </c>
      <c r="C1291" t="inlineStr">
        <is>
          <t>10G SFP+</t>
        </is>
      </c>
      <c r="D1291" t="n">
        <v>10000</v>
      </c>
      <c r="E1291" t="inlineStr">
        <is>
          <t>up</t>
        </is>
      </c>
      <c r="F1291" t="inlineStr">
        <is>
          <t>Access to MH-DC-002-ACS-01</t>
        </is>
      </c>
      <c r="G1291" t="inlineStr">
        <is>
          <t>SFP-10G-LR</t>
        </is>
      </c>
    </row>
    <row r="1292">
      <c r="A1292" t="inlineStr">
        <is>
          <t>MH-DC-002-TOR-001</t>
        </is>
      </c>
      <c r="B1292" t="inlineStr">
        <is>
          <t>xe-0/0/10</t>
        </is>
      </c>
      <c r="C1292" t="inlineStr">
        <is>
          <t>10G SFP+</t>
        </is>
      </c>
      <c r="D1292" t="n">
        <v>10000</v>
      </c>
      <c r="E1292" t="inlineStr">
        <is>
          <t>up</t>
        </is>
      </c>
      <c r="F1292" t="inlineStr">
        <is>
          <t>Server NIC</t>
        </is>
      </c>
    </row>
    <row r="1293">
      <c r="A1293" t="inlineStr">
        <is>
          <t>MH-DC-002-TOR-001</t>
        </is>
      </c>
      <c r="B1293" t="inlineStr">
        <is>
          <t>xe-0/0/11</t>
        </is>
      </c>
      <c r="C1293" t="inlineStr">
        <is>
          <t>10G SFP+</t>
        </is>
      </c>
      <c r="D1293" t="n">
        <v>10000</v>
      </c>
      <c r="E1293" t="inlineStr">
        <is>
          <t>up</t>
        </is>
      </c>
      <c r="F1293" t="inlineStr">
        <is>
          <t>Server NIC</t>
        </is>
      </c>
    </row>
    <row r="1294">
      <c r="A1294" t="inlineStr">
        <is>
          <t>MH-DC-002-TOR-001</t>
        </is>
      </c>
      <c r="B1294" t="inlineStr">
        <is>
          <t>xe-0/0/12</t>
        </is>
      </c>
      <c r="C1294" t="inlineStr">
        <is>
          <t>10G SFP+</t>
        </is>
      </c>
      <c r="D1294" t="n">
        <v>10000</v>
      </c>
      <c r="E1294" t="inlineStr">
        <is>
          <t>up</t>
        </is>
      </c>
      <c r="F1294" t="inlineStr">
        <is>
          <t>Server NIC</t>
        </is>
      </c>
    </row>
    <row r="1295">
      <c r="A1295" t="inlineStr">
        <is>
          <t>MH-DC-002-TOR-001</t>
        </is>
      </c>
      <c r="B1295" t="inlineStr">
        <is>
          <t>xe-0/0/13</t>
        </is>
      </c>
      <c r="C1295" t="inlineStr">
        <is>
          <t>10G SFP+</t>
        </is>
      </c>
      <c r="D1295" t="n">
        <v>10000</v>
      </c>
      <c r="E1295" t="inlineStr">
        <is>
          <t>up</t>
        </is>
      </c>
      <c r="F1295" t="inlineStr">
        <is>
          <t>Server NIC</t>
        </is>
      </c>
    </row>
    <row r="1296">
      <c r="A1296" t="inlineStr">
        <is>
          <t>MH-DC-002-TOR-001</t>
        </is>
      </c>
      <c r="B1296" t="inlineStr">
        <is>
          <t>xe-0/0/14</t>
        </is>
      </c>
      <c r="C1296" t="inlineStr">
        <is>
          <t>10G SFP+</t>
        </is>
      </c>
      <c r="D1296" t="n">
        <v>10000</v>
      </c>
      <c r="E1296" t="inlineStr">
        <is>
          <t>up</t>
        </is>
      </c>
      <c r="F1296" t="inlineStr">
        <is>
          <t>Server NIC</t>
        </is>
      </c>
    </row>
    <row r="1297">
      <c r="A1297" t="inlineStr">
        <is>
          <t>MH-DC-002-TOR-001</t>
        </is>
      </c>
      <c r="B1297" t="inlineStr">
        <is>
          <t>xe-0/0/15</t>
        </is>
      </c>
      <c r="C1297" t="inlineStr">
        <is>
          <t>10G SFP+</t>
        </is>
      </c>
      <c r="D1297" t="n">
        <v>10000</v>
      </c>
      <c r="E1297" t="inlineStr">
        <is>
          <t>up</t>
        </is>
      </c>
      <c r="F1297" t="inlineStr">
        <is>
          <t>Access to MH-DC-002-NVR-01</t>
        </is>
      </c>
      <c r="G1297" t="inlineStr">
        <is>
          <t>SFP-10G-LR</t>
        </is>
      </c>
    </row>
    <row r="1298">
      <c r="A1298" t="inlineStr">
        <is>
          <t>MH-DC-002-TOR-001</t>
        </is>
      </c>
      <c r="B1298" t="inlineStr">
        <is>
          <t>xe-0/0/16</t>
        </is>
      </c>
      <c r="C1298" t="inlineStr">
        <is>
          <t>10G SFP+</t>
        </is>
      </c>
      <c r="D1298" t="n">
        <v>10000</v>
      </c>
      <c r="E1298" t="inlineStr">
        <is>
          <t>up</t>
        </is>
      </c>
      <c r="F1298" t="inlineStr">
        <is>
          <t>Server NIC</t>
        </is>
      </c>
    </row>
    <row r="1299">
      <c r="A1299" t="inlineStr">
        <is>
          <t>MH-DC-002-TOR-001</t>
        </is>
      </c>
      <c r="B1299" t="inlineStr">
        <is>
          <t>xe-0/0/17</t>
        </is>
      </c>
      <c r="C1299" t="inlineStr">
        <is>
          <t>10G SFP+</t>
        </is>
      </c>
      <c r="D1299" t="n">
        <v>10000</v>
      </c>
      <c r="E1299" t="inlineStr">
        <is>
          <t>up</t>
        </is>
      </c>
      <c r="F1299" t="inlineStr">
        <is>
          <t>Server NIC</t>
        </is>
      </c>
    </row>
    <row r="1300">
      <c r="A1300" t="inlineStr">
        <is>
          <t>MH-DC-002-TOR-001</t>
        </is>
      </c>
      <c r="B1300" t="inlineStr">
        <is>
          <t>xe-0/0/18</t>
        </is>
      </c>
      <c r="C1300" t="inlineStr">
        <is>
          <t>10G SFP+</t>
        </is>
      </c>
      <c r="D1300" t="n">
        <v>10000</v>
      </c>
      <c r="E1300" t="inlineStr">
        <is>
          <t>up</t>
        </is>
      </c>
      <c r="F1300" t="inlineStr">
        <is>
          <t>Server NIC</t>
        </is>
      </c>
    </row>
    <row r="1301">
      <c r="A1301" t="inlineStr">
        <is>
          <t>MH-DC-002-TOR-001</t>
        </is>
      </c>
      <c r="B1301" t="inlineStr">
        <is>
          <t>xe-0/0/19</t>
        </is>
      </c>
      <c r="C1301" t="inlineStr">
        <is>
          <t>10G SFP+</t>
        </is>
      </c>
      <c r="D1301" t="n">
        <v>10000</v>
      </c>
      <c r="E1301" t="inlineStr">
        <is>
          <t>up</t>
        </is>
      </c>
      <c r="F1301" t="inlineStr">
        <is>
          <t>Server NIC</t>
        </is>
      </c>
    </row>
    <row r="1302">
      <c r="A1302" t="inlineStr">
        <is>
          <t>MH-DC-002-TOR-001</t>
        </is>
      </c>
      <c r="B1302" t="inlineStr">
        <is>
          <t>xe-0/0/20</t>
        </is>
      </c>
      <c r="C1302" t="inlineStr">
        <is>
          <t>10G SFP+</t>
        </is>
      </c>
      <c r="D1302" t="n">
        <v>10000</v>
      </c>
      <c r="E1302" t="inlineStr">
        <is>
          <t>up</t>
        </is>
      </c>
      <c r="F1302" t="inlineStr">
        <is>
          <t>Access to MH-DC-002-JMP-01</t>
        </is>
      </c>
      <c r="G1302" t="inlineStr">
        <is>
          <t>SFP-10G-LR</t>
        </is>
      </c>
    </row>
    <row r="1303">
      <c r="A1303" t="inlineStr">
        <is>
          <t>MH-DC-002-TOR-001</t>
        </is>
      </c>
      <c r="B1303" t="inlineStr">
        <is>
          <t>xe-0/0/21</t>
        </is>
      </c>
      <c r="C1303" t="inlineStr">
        <is>
          <t>10G SFP+</t>
        </is>
      </c>
      <c r="D1303" t="n">
        <v>10000</v>
      </c>
      <c r="E1303" t="inlineStr">
        <is>
          <t>up</t>
        </is>
      </c>
      <c r="F1303" t="inlineStr">
        <is>
          <t>Access to MH-DC-002-BKP-01</t>
        </is>
      </c>
      <c r="G1303" t="inlineStr">
        <is>
          <t>SFP-10G-LR</t>
        </is>
      </c>
    </row>
    <row r="1304">
      <c r="A1304" t="inlineStr">
        <is>
          <t>MH-DC-002-TOR-001</t>
        </is>
      </c>
      <c r="B1304" t="inlineStr">
        <is>
          <t>xe-0/0/22</t>
        </is>
      </c>
      <c r="C1304" t="inlineStr">
        <is>
          <t>10G SFP+</t>
        </is>
      </c>
      <c r="D1304" t="n">
        <v>10000</v>
      </c>
      <c r="E1304" t="inlineStr">
        <is>
          <t>up</t>
        </is>
      </c>
      <c r="F1304" t="inlineStr">
        <is>
          <t>Access to MH-DC-002-DCIM-01</t>
        </is>
      </c>
      <c r="G1304" t="inlineStr">
        <is>
          <t>SFP-10G-LR</t>
        </is>
      </c>
    </row>
    <row r="1305">
      <c r="A1305" t="inlineStr">
        <is>
          <t>MH-DC-002-TOR-001</t>
        </is>
      </c>
      <c r="B1305" t="inlineStr">
        <is>
          <t>xe-0/0/23</t>
        </is>
      </c>
      <c r="C1305" t="inlineStr">
        <is>
          <t>10G SFP+</t>
        </is>
      </c>
      <c r="D1305" t="n">
        <v>10000</v>
      </c>
      <c r="E1305" t="inlineStr">
        <is>
          <t>up</t>
        </is>
      </c>
      <c r="F1305" t="inlineStr">
        <is>
          <t>Server NIC</t>
        </is>
      </c>
    </row>
    <row r="1306">
      <c r="A1306" t="inlineStr">
        <is>
          <t>MH-DC-002-TOR-001</t>
        </is>
      </c>
      <c r="B1306" t="inlineStr">
        <is>
          <t>et-0/1/0</t>
        </is>
      </c>
      <c r="C1306" t="inlineStr">
        <is>
          <t>100G QSFP28</t>
        </is>
      </c>
      <c r="D1306" t="n">
        <v>100000</v>
      </c>
      <c r="E1306" t="inlineStr">
        <is>
          <t>admin-down</t>
        </is>
      </c>
    </row>
    <row r="1307">
      <c r="A1307" t="inlineStr">
        <is>
          <t>MH-DC-002-TOR-001</t>
        </is>
      </c>
      <c r="B1307" t="inlineStr">
        <is>
          <t>et-0/1/1</t>
        </is>
      </c>
      <c r="C1307" t="inlineStr">
        <is>
          <t>100G QSFP28</t>
        </is>
      </c>
      <c r="D1307" t="n">
        <v>100000</v>
      </c>
      <c r="E1307" t="inlineStr">
        <is>
          <t>admin-down</t>
        </is>
      </c>
    </row>
    <row r="1308">
      <c r="A1308" t="inlineStr">
        <is>
          <t>MH-DC-002-TOR-002</t>
        </is>
      </c>
      <c r="B1308" t="inlineStr">
        <is>
          <t>xe-0/0/0</t>
        </is>
      </c>
      <c r="C1308" t="inlineStr">
        <is>
          <t>10G SFP+</t>
        </is>
      </c>
      <c r="D1308" t="n">
        <v>10000</v>
      </c>
      <c r="E1308" t="inlineStr">
        <is>
          <t>up</t>
        </is>
      </c>
      <c r="F1308" t="inlineStr">
        <is>
          <t>Access to MH-DC-002-MMR-SW-02</t>
        </is>
      </c>
      <c r="G1308" t="inlineStr">
        <is>
          <t>SFP-10G-LR</t>
        </is>
      </c>
    </row>
    <row r="1309">
      <c r="A1309" t="inlineStr">
        <is>
          <t>MH-DC-002-TOR-002</t>
        </is>
      </c>
      <c r="B1309" t="inlineStr">
        <is>
          <t>xe-0/0/1</t>
        </is>
      </c>
      <c r="C1309" t="inlineStr">
        <is>
          <t>10G SFP+</t>
        </is>
      </c>
      <c r="D1309" t="n">
        <v>10000</v>
      </c>
      <c r="E1309" t="inlineStr">
        <is>
          <t>up</t>
        </is>
      </c>
      <c r="F1309" t="inlineStr">
        <is>
          <t>Access to MH-DC-002-MMR-SW-03</t>
        </is>
      </c>
      <c r="G1309" t="inlineStr">
        <is>
          <t>SFP-10G-LR</t>
        </is>
      </c>
    </row>
    <row r="1310">
      <c r="A1310" t="inlineStr">
        <is>
          <t>MH-DC-002-TOR-002</t>
        </is>
      </c>
      <c r="B1310" t="inlineStr">
        <is>
          <t>xe-0/0/2</t>
        </is>
      </c>
      <c r="C1310" t="inlineStr">
        <is>
          <t>10G SFP+</t>
        </is>
      </c>
      <c r="D1310" t="n">
        <v>10000</v>
      </c>
      <c r="E1310" t="inlineStr">
        <is>
          <t>up</t>
        </is>
      </c>
      <c r="F1310" t="inlineStr">
        <is>
          <t>Server NIC</t>
        </is>
      </c>
    </row>
    <row r="1311">
      <c r="A1311" t="inlineStr">
        <is>
          <t>MH-DC-002-TOR-002</t>
        </is>
      </c>
      <c r="B1311" t="inlineStr">
        <is>
          <t>xe-0/0/3</t>
        </is>
      </c>
      <c r="C1311" t="inlineStr">
        <is>
          <t>10G SFP+</t>
        </is>
      </c>
      <c r="D1311" t="n">
        <v>10000</v>
      </c>
      <c r="E1311" t="inlineStr">
        <is>
          <t>up</t>
        </is>
      </c>
      <c r="F1311" t="inlineStr">
        <is>
          <t>Server NIC</t>
        </is>
      </c>
    </row>
    <row r="1312">
      <c r="A1312" t="inlineStr">
        <is>
          <t>MH-DC-002-TOR-002</t>
        </is>
      </c>
      <c r="B1312" t="inlineStr">
        <is>
          <t>xe-0/0/4</t>
        </is>
      </c>
      <c r="C1312" t="inlineStr">
        <is>
          <t>10G SFP+</t>
        </is>
      </c>
      <c r="D1312" t="n">
        <v>10000</v>
      </c>
      <c r="E1312" t="inlineStr">
        <is>
          <t>up</t>
        </is>
      </c>
      <c r="F1312" t="inlineStr">
        <is>
          <t>Access to MH-DC-002-BMS-01</t>
        </is>
      </c>
      <c r="G1312" t="inlineStr">
        <is>
          <t>SFP-10G-LR</t>
        </is>
      </c>
    </row>
    <row r="1313">
      <c r="A1313" t="inlineStr">
        <is>
          <t>MH-DC-002-TOR-002</t>
        </is>
      </c>
      <c r="B1313" t="inlineStr">
        <is>
          <t>xe-0/0/5</t>
        </is>
      </c>
      <c r="C1313" t="inlineStr">
        <is>
          <t>10G SFP+</t>
        </is>
      </c>
      <c r="D1313" t="n">
        <v>10000</v>
      </c>
      <c r="E1313" t="inlineStr">
        <is>
          <t>up</t>
        </is>
      </c>
      <c r="F1313" t="inlineStr">
        <is>
          <t>Server NIC</t>
        </is>
      </c>
    </row>
    <row r="1314">
      <c r="A1314" t="inlineStr">
        <is>
          <t>MH-DC-002-TOR-002</t>
        </is>
      </c>
      <c r="B1314" t="inlineStr">
        <is>
          <t>xe-0/0/6</t>
        </is>
      </c>
      <c r="C1314" t="inlineStr">
        <is>
          <t>10G SFP+</t>
        </is>
      </c>
      <c r="D1314" t="n">
        <v>10000</v>
      </c>
      <c r="E1314" t="inlineStr">
        <is>
          <t>up</t>
        </is>
      </c>
      <c r="F1314" t="inlineStr">
        <is>
          <t>Access to MH-DC-002-BMS-02</t>
        </is>
      </c>
      <c r="G1314" t="inlineStr">
        <is>
          <t>SFP-10G-LR</t>
        </is>
      </c>
    </row>
    <row r="1315">
      <c r="A1315" t="inlineStr">
        <is>
          <t>MH-DC-002-TOR-002</t>
        </is>
      </c>
      <c r="B1315" t="inlineStr">
        <is>
          <t>xe-0/0/7</t>
        </is>
      </c>
      <c r="C1315" t="inlineStr">
        <is>
          <t>10G SFP+</t>
        </is>
      </c>
      <c r="D1315" t="n">
        <v>10000</v>
      </c>
      <c r="E1315" t="inlineStr">
        <is>
          <t>up</t>
        </is>
      </c>
      <c r="F1315" t="inlineStr">
        <is>
          <t>Server NIC</t>
        </is>
      </c>
    </row>
    <row r="1316">
      <c r="A1316" t="inlineStr">
        <is>
          <t>MH-DC-002-TOR-002</t>
        </is>
      </c>
      <c r="B1316" t="inlineStr">
        <is>
          <t>xe-0/0/8</t>
        </is>
      </c>
      <c r="C1316" t="inlineStr">
        <is>
          <t>10G SFP+</t>
        </is>
      </c>
      <c r="D1316" t="n">
        <v>10000</v>
      </c>
      <c r="E1316" t="inlineStr">
        <is>
          <t>up</t>
        </is>
      </c>
      <c r="F1316" t="inlineStr">
        <is>
          <t>Server NIC</t>
        </is>
      </c>
    </row>
    <row r="1317">
      <c r="A1317" t="inlineStr">
        <is>
          <t>MH-DC-002-TOR-002</t>
        </is>
      </c>
      <c r="B1317" t="inlineStr">
        <is>
          <t>xe-0/0/9</t>
        </is>
      </c>
      <c r="C1317" t="inlineStr">
        <is>
          <t>10G SFP+</t>
        </is>
      </c>
      <c r="D1317" t="n">
        <v>10000</v>
      </c>
      <c r="E1317" t="inlineStr">
        <is>
          <t>up</t>
        </is>
      </c>
      <c r="F1317" t="inlineStr">
        <is>
          <t>Access to MH-DC-002-ACS-01</t>
        </is>
      </c>
      <c r="G1317" t="inlineStr">
        <is>
          <t>SFP-10G-LR</t>
        </is>
      </c>
    </row>
    <row r="1318">
      <c r="A1318" t="inlineStr">
        <is>
          <t>MH-DC-002-TOR-002</t>
        </is>
      </c>
      <c r="B1318" t="inlineStr">
        <is>
          <t>xe-0/0/10</t>
        </is>
      </c>
      <c r="C1318" t="inlineStr">
        <is>
          <t>10G SFP+</t>
        </is>
      </c>
      <c r="D1318" t="n">
        <v>10000</v>
      </c>
      <c r="E1318" t="inlineStr">
        <is>
          <t>up</t>
        </is>
      </c>
      <c r="F1318" t="inlineStr">
        <is>
          <t>Server NIC</t>
        </is>
      </c>
    </row>
    <row r="1319">
      <c r="A1319" t="inlineStr">
        <is>
          <t>MH-DC-002-TOR-002</t>
        </is>
      </c>
      <c r="B1319" t="inlineStr">
        <is>
          <t>xe-0/0/11</t>
        </is>
      </c>
      <c r="C1319" t="inlineStr">
        <is>
          <t>10G SFP+</t>
        </is>
      </c>
      <c r="D1319" t="n">
        <v>10000</v>
      </c>
      <c r="E1319" t="inlineStr">
        <is>
          <t>up</t>
        </is>
      </c>
      <c r="F1319" t="inlineStr">
        <is>
          <t>Server NIC</t>
        </is>
      </c>
    </row>
    <row r="1320">
      <c r="A1320" t="inlineStr">
        <is>
          <t>MH-DC-002-TOR-002</t>
        </is>
      </c>
      <c r="B1320" t="inlineStr">
        <is>
          <t>xe-0/0/12</t>
        </is>
      </c>
      <c r="C1320" t="inlineStr">
        <is>
          <t>10G SFP+</t>
        </is>
      </c>
      <c r="D1320" t="n">
        <v>10000</v>
      </c>
      <c r="E1320" t="inlineStr">
        <is>
          <t>up</t>
        </is>
      </c>
      <c r="F1320" t="inlineStr">
        <is>
          <t>Server NIC</t>
        </is>
      </c>
    </row>
    <row r="1321">
      <c r="A1321" t="inlineStr">
        <is>
          <t>MH-DC-002-TOR-002</t>
        </is>
      </c>
      <c r="B1321" t="inlineStr">
        <is>
          <t>xe-0/0/13</t>
        </is>
      </c>
      <c r="C1321" t="inlineStr">
        <is>
          <t>10G SFP+</t>
        </is>
      </c>
      <c r="D1321" t="n">
        <v>10000</v>
      </c>
      <c r="E1321" t="inlineStr">
        <is>
          <t>up</t>
        </is>
      </c>
      <c r="F1321" t="inlineStr">
        <is>
          <t>Server NIC</t>
        </is>
      </c>
    </row>
    <row r="1322">
      <c r="A1322" t="inlineStr">
        <is>
          <t>MH-DC-002-TOR-002</t>
        </is>
      </c>
      <c r="B1322" t="inlineStr">
        <is>
          <t>xe-0/0/14</t>
        </is>
      </c>
      <c r="C1322" t="inlineStr">
        <is>
          <t>10G SFP+</t>
        </is>
      </c>
      <c r="D1322" t="n">
        <v>10000</v>
      </c>
      <c r="E1322" t="inlineStr">
        <is>
          <t>up</t>
        </is>
      </c>
      <c r="F1322" t="inlineStr">
        <is>
          <t>Server NIC</t>
        </is>
      </c>
    </row>
    <row r="1323">
      <c r="A1323" t="inlineStr">
        <is>
          <t>MH-DC-002-TOR-002</t>
        </is>
      </c>
      <c r="B1323" t="inlineStr">
        <is>
          <t>xe-0/0/15</t>
        </is>
      </c>
      <c r="C1323" t="inlineStr">
        <is>
          <t>10G SFP+</t>
        </is>
      </c>
      <c r="D1323" t="n">
        <v>10000</v>
      </c>
      <c r="E1323" t="inlineStr">
        <is>
          <t>up</t>
        </is>
      </c>
      <c r="F1323" t="inlineStr">
        <is>
          <t>Access to MH-DC-002-NVR-01</t>
        </is>
      </c>
      <c r="G1323" t="inlineStr">
        <is>
          <t>SFP-10G-LR</t>
        </is>
      </c>
    </row>
    <row r="1324">
      <c r="A1324" t="inlineStr">
        <is>
          <t>MH-DC-002-TOR-002</t>
        </is>
      </c>
      <c r="B1324" t="inlineStr">
        <is>
          <t>xe-0/0/16</t>
        </is>
      </c>
      <c r="C1324" t="inlineStr">
        <is>
          <t>10G SFP+</t>
        </is>
      </c>
      <c r="D1324" t="n">
        <v>10000</v>
      </c>
      <c r="E1324" t="inlineStr">
        <is>
          <t>up</t>
        </is>
      </c>
      <c r="F1324" t="inlineStr">
        <is>
          <t>Server NIC</t>
        </is>
      </c>
    </row>
    <row r="1325">
      <c r="A1325" t="inlineStr">
        <is>
          <t>MH-DC-002-TOR-002</t>
        </is>
      </c>
      <c r="B1325" t="inlineStr">
        <is>
          <t>xe-0/0/17</t>
        </is>
      </c>
      <c r="C1325" t="inlineStr">
        <is>
          <t>10G SFP+</t>
        </is>
      </c>
      <c r="D1325" t="n">
        <v>10000</v>
      </c>
      <c r="E1325" t="inlineStr">
        <is>
          <t>up</t>
        </is>
      </c>
      <c r="F1325" t="inlineStr">
        <is>
          <t>Access to MH-DC-002-JMP-01</t>
        </is>
      </c>
      <c r="G1325" t="inlineStr">
        <is>
          <t>SFP-10G-LR</t>
        </is>
      </c>
    </row>
    <row r="1326">
      <c r="A1326" t="inlineStr">
        <is>
          <t>MH-DC-002-TOR-002</t>
        </is>
      </c>
      <c r="B1326" t="inlineStr">
        <is>
          <t>xe-0/0/18</t>
        </is>
      </c>
      <c r="C1326" t="inlineStr">
        <is>
          <t>10G SFP+</t>
        </is>
      </c>
      <c r="D1326" t="n">
        <v>10000</v>
      </c>
      <c r="E1326" t="inlineStr">
        <is>
          <t>up</t>
        </is>
      </c>
      <c r="F1326" t="inlineStr">
        <is>
          <t>Access to MH-DC-002-BKP-01</t>
        </is>
      </c>
      <c r="G1326" t="inlineStr">
        <is>
          <t>SFP-10G-LR</t>
        </is>
      </c>
    </row>
    <row r="1327">
      <c r="A1327" t="inlineStr">
        <is>
          <t>MH-DC-002-TOR-002</t>
        </is>
      </c>
      <c r="B1327" t="inlineStr">
        <is>
          <t>xe-0/0/19</t>
        </is>
      </c>
      <c r="C1327" t="inlineStr">
        <is>
          <t>10G SFP+</t>
        </is>
      </c>
      <c r="D1327" t="n">
        <v>10000</v>
      </c>
      <c r="E1327" t="inlineStr">
        <is>
          <t>up</t>
        </is>
      </c>
      <c r="F1327" t="inlineStr">
        <is>
          <t>Server NIC</t>
        </is>
      </c>
    </row>
    <row r="1328">
      <c r="A1328" t="inlineStr">
        <is>
          <t>MH-DC-002-TOR-002</t>
        </is>
      </c>
      <c r="B1328" t="inlineStr">
        <is>
          <t>xe-0/0/20</t>
        </is>
      </c>
      <c r="C1328" t="inlineStr">
        <is>
          <t>10G SFP+</t>
        </is>
      </c>
      <c r="D1328" t="n">
        <v>10000</v>
      </c>
      <c r="E1328" t="inlineStr">
        <is>
          <t>up</t>
        </is>
      </c>
      <c r="F1328" t="inlineStr">
        <is>
          <t>Server NIC</t>
        </is>
      </c>
    </row>
    <row r="1329">
      <c r="A1329" t="inlineStr">
        <is>
          <t>MH-DC-002-TOR-002</t>
        </is>
      </c>
      <c r="B1329" t="inlineStr">
        <is>
          <t>xe-0/0/21</t>
        </is>
      </c>
      <c r="C1329" t="inlineStr">
        <is>
          <t>10G SFP+</t>
        </is>
      </c>
      <c r="D1329" t="n">
        <v>10000</v>
      </c>
      <c r="E1329" t="inlineStr">
        <is>
          <t>up</t>
        </is>
      </c>
      <c r="F1329" t="inlineStr">
        <is>
          <t>Server NIC</t>
        </is>
      </c>
    </row>
    <row r="1330">
      <c r="A1330" t="inlineStr">
        <is>
          <t>MH-DC-002-TOR-002</t>
        </is>
      </c>
      <c r="B1330" t="inlineStr">
        <is>
          <t>xe-0/0/22</t>
        </is>
      </c>
      <c r="C1330" t="inlineStr">
        <is>
          <t>10G SFP+</t>
        </is>
      </c>
      <c r="D1330" t="n">
        <v>10000</v>
      </c>
      <c r="E1330" t="inlineStr">
        <is>
          <t>up</t>
        </is>
      </c>
      <c r="F1330" t="inlineStr">
        <is>
          <t>Access to MH-DC-002-DCIM-01</t>
        </is>
      </c>
      <c r="G1330" t="inlineStr">
        <is>
          <t>SFP-10G-LR</t>
        </is>
      </c>
    </row>
    <row r="1331">
      <c r="A1331" t="inlineStr">
        <is>
          <t>MH-DC-002-TOR-002</t>
        </is>
      </c>
      <c r="B1331" t="inlineStr">
        <is>
          <t>xe-0/0/23</t>
        </is>
      </c>
      <c r="C1331" t="inlineStr">
        <is>
          <t>10G SFP+</t>
        </is>
      </c>
      <c r="D1331" t="n">
        <v>10000</v>
      </c>
      <c r="E1331" t="inlineStr">
        <is>
          <t>admin-down</t>
        </is>
      </c>
    </row>
    <row r="1332">
      <c r="A1332" t="inlineStr">
        <is>
          <t>MH-DC-002-TOR-002</t>
        </is>
      </c>
      <c r="B1332" t="inlineStr">
        <is>
          <t>et-0/1/0</t>
        </is>
      </c>
      <c r="C1332" t="inlineStr">
        <is>
          <t>100G QSFP28</t>
        </is>
      </c>
      <c r="D1332" t="n">
        <v>100000</v>
      </c>
      <c r="E1332" t="inlineStr">
        <is>
          <t>admin-down</t>
        </is>
      </c>
    </row>
    <row r="1333">
      <c r="A1333" t="inlineStr">
        <is>
          <t>MH-DC-002-TOR-002</t>
        </is>
      </c>
      <c r="B1333" t="inlineStr">
        <is>
          <t>et-0/1/1</t>
        </is>
      </c>
      <c r="C1333" t="inlineStr">
        <is>
          <t>100G QSFP28</t>
        </is>
      </c>
      <c r="D1333" t="n">
        <v>100000</v>
      </c>
      <c r="E1333" t="inlineStr">
        <is>
          <t>admin-down</t>
        </is>
      </c>
    </row>
    <row r="1334">
      <c r="A1334" t="inlineStr">
        <is>
          <t>MH-DC-002-TOR-003</t>
        </is>
      </c>
      <c r="B1334" t="inlineStr">
        <is>
          <t>Te0/0/0/0</t>
        </is>
      </c>
      <c r="C1334" t="inlineStr">
        <is>
          <t>10G SFP+</t>
        </is>
      </c>
      <c r="D1334" t="n">
        <v>10000</v>
      </c>
      <c r="E1334" t="inlineStr">
        <is>
          <t>up</t>
        </is>
      </c>
      <c r="F1334" t="inlineStr">
        <is>
          <t>Access to MH-DC-002-MMR-SW-03</t>
        </is>
      </c>
      <c r="G1334" t="inlineStr">
        <is>
          <t>SFP-10G-LR</t>
        </is>
      </c>
    </row>
    <row r="1335">
      <c r="A1335" t="inlineStr">
        <is>
          <t>MH-DC-002-TOR-003</t>
        </is>
      </c>
      <c r="B1335" t="inlineStr">
        <is>
          <t>Te0/0/0/1</t>
        </is>
      </c>
      <c r="C1335" t="inlineStr">
        <is>
          <t>10G SFP+</t>
        </is>
      </c>
      <c r="D1335" t="n">
        <v>10000</v>
      </c>
      <c r="E1335" t="inlineStr">
        <is>
          <t>up</t>
        </is>
      </c>
      <c r="F1335" t="inlineStr">
        <is>
          <t>Access to MH-DC-002-MMR-SW-04</t>
        </is>
      </c>
      <c r="G1335" t="inlineStr">
        <is>
          <t>SFP-10G-LR</t>
        </is>
      </c>
    </row>
    <row r="1336">
      <c r="A1336" t="inlineStr">
        <is>
          <t>MH-DC-002-TOR-003</t>
        </is>
      </c>
      <c r="B1336" t="inlineStr">
        <is>
          <t>Te0/0/0/2</t>
        </is>
      </c>
      <c r="C1336" t="inlineStr">
        <is>
          <t>10G SFP+</t>
        </is>
      </c>
      <c r="D1336" t="n">
        <v>10000</v>
      </c>
      <c r="E1336" t="inlineStr">
        <is>
          <t>up</t>
        </is>
      </c>
      <c r="F1336" t="inlineStr">
        <is>
          <t>Server NIC</t>
        </is>
      </c>
    </row>
    <row r="1337">
      <c r="A1337" t="inlineStr">
        <is>
          <t>MH-DC-002-TOR-003</t>
        </is>
      </c>
      <c r="B1337" t="inlineStr">
        <is>
          <t>Te0/0/0/3</t>
        </is>
      </c>
      <c r="C1337" t="inlineStr">
        <is>
          <t>10G SFP+</t>
        </is>
      </c>
      <c r="D1337" t="n">
        <v>10000</v>
      </c>
      <c r="E1337" t="inlineStr">
        <is>
          <t>admin-down</t>
        </is>
      </c>
    </row>
    <row r="1338">
      <c r="A1338" t="inlineStr">
        <is>
          <t>MH-DC-002-TOR-003</t>
        </is>
      </c>
      <c r="B1338" t="inlineStr">
        <is>
          <t>Te0/0/0/4</t>
        </is>
      </c>
      <c r="C1338" t="inlineStr">
        <is>
          <t>10G SFP+</t>
        </is>
      </c>
      <c r="D1338" t="n">
        <v>10000</v>
      </c>
      <c r="E1338" t="inlineStr">
        <is>
          <t>admin-down</t>
        </is>
      </c>
    </row>
    <row r="1339">
      <c r="A1339" t="inlineStr">
        <is>
          <t>MH-DC-002-TOR-003</t>
        </is>
      </c>
      <c r="B1339" t="inlineStr">
        <is>
          <t>Te0/0/0/5</t>
        </is>
      </c>
      <c r="C1339" t="inlineStr">
        <is>
          <t>10G SFP+</t>
        </is>
      </c>
      <c r="D1339" t="n">
        <v>10000</v>
      </c>
      <c r="E1339" t="inlineStr">
        <is>
          <t>up</t>
        </is>
      </c>
      <c r="F1339" t="inlineStr">
        <is>
          <t>Server NIC</t>
        </is>
      </c>
    </row>
    <row r="1340">
      <c r="A1340" t="inlineStr">
        <is>
          <t>MH-DC-002-TOR-003</t>
        </is>
      </c>
      <c r="B1340" t="inlineStr">
        <is>
          <t>Te0/0/0/6</t>
        </is>
      </c>
      <c r="C1340" t="inlineStr">
        <is>
          <t>10G SFP+</t>
        </is>
      </c>
      <c r="D1340" t="n">
        <v>10000</v>
      </c>
      <c r="E1340" t="inlineStr">
        <is>
          <t>admin-down</t>
        </is>
      </c>
    </row>
    <row r="1341">
      <c r="A1341" t="inlineStr">
        <is>
          <t>MH-DC-002-TOR-003</t>
        </is>
      </c>
      <c r="B1341" t="inlineStr">
        <is>
          <t>Te0/0/0/7</t>
        </is>
      </c>
      <c r="C1341" t="inlineStr">
        <is>
          <t>10G SFP+</t>
        </is>
      </c>
      <c r="D1341" t="n">
        <v>10000</v>
      </c>
      <c r="E1341" t="inlineStr">
        <is>
          <t>up</t>
        </is>
      </c>
      <c r="F1341" t="inlineStr">
        <is>
          <t>Server NIC</t>
        </is>
      </c>
    </row>
    <row r="1342">
      <c r="A1342" t="inlineStr">
        <is>
          <t>MH-DC-002-TOR-003</t>
        </is>
      </c>
      <c r="B1342" t="inlineStr">
        <is>
          <t>Te0/0/0/8</t>
        </is>
      </c>
      <c r="C1342" t="inlineStr">
        <is>
          <t>10G SFP+</t>
        </is>
      </c>
      <c r="D1342" t="n">
        <v>10000</v>
      </c>
      <c r="E1342" t="inlineStr">
        <is>
          <t>reserved</t>
        </is>
      </c>
    </row>
    <row r="1343">
      <c r="A1343" t="inlineStr">
        <is>
          <t>MH-DC-002-TOR-003</t>
        </is>
      </c>
      <c r="B1343" t="inlineStr">
        <is>
          <t>Te0/0/0/9</t>
        </is>
      </c>
      <c r="C1343" t="inlineStr">
        <is>
          <t>10G SFP+</t>
        </is>
      </c>
      <c r="D1343" t="n">
        <v>10000</v>
      </c>
      <c r="E1343" t="inlineStr">
        <is>
          <t>up</t>
        </is>
      </c>
      <c r="F1343" t="inlineStr">
        <is>
          <t>Server NIC</t>
        </is>
      </c>
    </row>
    <row r="1344">
      <c r="A1344" t="inlineStr">
        <is>
          <t>MH-DC-002-TOR-003</t>
        </is>
      </c>
      <c r="B1344" t="inlineStr">
        <is>
          <t>Te0/0/0/10</t>
        </is>
      </c>
      <c r="C1344" t="inlineStr">
        <is>
          <t>10G SFP+</t>
        </is>
      </c>
      <c r="D1344" t="n">
        <v>10000</v>
      </c>
      <c r="E1344" t="inlineStr">
        <is>
          <t>up</t>
        </is>
      </c>
      <c r="F1344" t="inlineStr">
        <is>
          <t>Server NIC</t>
        </is>
      </c>
    </row>
    <row r="1345">
      <c r="A1345" t="inlineStr">
        <is>
          <t>MH-DC-002-TOR-003</t>
        </is>
      </c>
      <c r="B1345" t="inlineStr">
        <is>
          <t>Te0/0/0/11</t>
        </is>
      </c>
      <c r="C1345" t="inlineStr">
        <is>
          <t>10G SFP+</t>
        </is>
      </c>
      <c r="D1345" t="n">
        <v>10000</v>
      </c>
      <c r="E1345" t="inlineStr">
        <is>
          <t>up</t>
        </is>
      </c>
      <c r="F1345" t="inlineStr">
        <is>
          <t>Server NIC</t>
        </is>
      </c>
    </row>
    <row r="1346">
      <c r="A1346" t="inlineStr">
        <is>
          <t>MH-DC-002-TOR-003</t>
        </is>
      </c>
      <c r="B1346" t="inlineStr">
        <is>
          <t>Te0/0/0/12</t>
        </is>
      </c>
      <c r="C1346" t="inlineStr">
        <is>
          <t>10G SFP+</t>
        </is>
      </c>
      <c r="D1346" t="n">
        <v>10000</v>
      </c>
      <c r="E1346" t="inlineStr">
        <is>
          <t>admin-down</t>
        </is>
      </c>
    </row>
    <row r="1347">
      <c r="A1347" t="inlineStr">
        <is>
          <t>MH-DC-002-TOR-003</t>
        </is>
      </c>
      <c r="B1347" t="inlineStr">
        <is>
          <t>Te0/0/0/13</t>
        </is>
      </c>
      <c r="C1347" t="inlineStr">
        <is>
          <t>10G SFP+</t>
        </is>
      </c>
      <c r="D1347" t="n">
        <v>10000</v>
      </c>
      <c r="E1347" t="inlineStr">
        <is>
          <t>admin-down</t>
        </is>
      </c>
    </row>
    <row r="1348">
      <c r="A1348" t="inlineStr">
        <is>
          <t>MH-DC-002-TOR-003</t>
        </is>
      </c>
      <c r="B1348" t="inlineStr">
        <is>
          <t>Te0/0/0/14</t>
        </is>
      </c>
      <c r="C1348" t="inlineStr">
        <is>
          <t>10G SFP+</t>
        </is>
      </c>
      <c r="D1348" t="n">
        <v>10000</v>
      </c>
      <c r="E1348" t="inlineStr">
        <is>
          <t>admin-down</t>
        </is>
      </c>
    </row>
    <row r="1349">
      <c r="A1349" t="inlineStr">
        <is>
          <t>MH-DC-002-TOR-003</t>
        </is>
      </c>
      <c r="B1349" t="inlineStr">
        <is>
          <t>Te0/0/0/15</t>
        </is>
      </c>
      <c r="C1349" t="inlineStr">
        <is>
          <t>10G SFP+</t>
        </is>
      </c>
      <c r="D1349" t="n">
        <v>10000</v>
      </c>
      <c r="E1349" t="inlineStr">
        <is>
          <t>up</t>
        </is>
      </c>
      <c r="F1349" t="inlineStr">
        <is>
          <t>Server NIC</t>
        </is>
      </c>
    </row>
    <row r="1350">
      <c r="A1350" t="inlineStr">
        <is>
          <t>MH-DC-002-TOR-003</t>
        </is>
      </c>
      <c r="B1350" t="inlineStr">
        <is>
          <t>Te0/0/0/16</t>
        </is>
      </c>
      <c r="C1350" t="inlineStr">
        <is>
          <t>10G SFP+</t>
        </is>
      </c>
      <c r="D1350" t="n">
        <v>10000</v>
      </c>
      <c r="E1350" t="inlineStr">
        <is>
          <t>admin-down</t>
        </is>
      </c>
    </row>
    <row r="1351">
      <c r="A1351" t="inlineStr">
        <is>
          <t>MH-DC-002-TOR-003</t>
        </is>
      </c>
      <c r="B1351" t="inlineStr">
        <is>
          <t>Te0/0/0/17</t>
        </is>
      </c>
      <c r="C1351" t="inlineStr">
        <is>
          <t>10G SFP+</t>
        </is>
      </c>
      <c r="D1351" t="n">
        <v>10000</v>
      </c>
      <c r="E1351" t="inlineStr">
        <is>
          <t>up</t>
        </is>
      </c>
      <c r="F1351" t="inlineStr">
        <is>
          <t>Server NIC</t>
        </is>
      </c>
    </row>
    <row r="1352">
      <c r="A1352" t="inlineStr">
        <is>
          <t>MH-DC-002-TOR-003</t>
        </is>
      </c>
      <c r="B1352" t="inlineStr">
        <is>
          <t>Te0/0/0/18</t>
        </is>
      </c>
      <c r="C1352" t="inlineStr">
        <is>
          <t>10G SFP+</t>
        </is>
      </c>
      <c r="D1352" t="n">
        <v>10000</v>
      </c>
      <c r="E1352" t="inlineStr">
        <is>
          <t>admin-down</t>
        </is>
      </c>
    </row>
    <row r="1353">
      <c r="A1353" t="inlineStr">
        <is>
          <t>MH-DC-002-TOR-003</t>
        </is>
      </c>
      <c r="B1353" t="inlineStr">
        <is>
          <t>Te0/0/0/19</t>
        </is>
      </c>
      <c r="C1353" t="inlineStr">
        <is>
          <t>10G SFP+</t>
        </is>
      </c>
      <c r="D1353" t="n">
        <v>10000</v>
      </c>
      <c r="E1353" t="inlineStr">
        <is>
          <t>up</t>
        </is>
      </c>
      <c r="F1353" t="inlineStr">
        <is>
          <t>Server NIC</t>
        </is>
      </c>
    </row>
    <row r="1354">
      <c r="A1354" t="inlineStr">
        <is>
          <t>MH-DC-002-TOR-003</t>
        </is>
      </c>
      <c r="B1354" t="inlineStr">
        <is>
          <t>Te0/0/0/20</t>
        </is>
      </c>
      <c r="C1354" t="inlineStr">
        <is>
          <t>10G SFP+</t>
        </is>
      </c>
      <c r="D1354" t="n">
        <v>10000</v>
      </c>
      <c r="E1354" t="inlineStr">
        <is>
          <t>up</t>
        </is>
      </c>
      <c r="F1354" t="inlineStr">
        <is>
          <t>Server NIC</t>
        </is>
      </c>
    </row>
    <row r="1355">
      <c r="A1355" t="inlineStr">
        <is>
          <t>MH-DC-002-TOR-003</t>
        </is>
      </c>
      <c r="B1355" t="inlineStr">
        <is>
          <t>Te0/0/0/21</t>
        </is>
      </c>
      <c r="C1355" t="inlineStr">
        <is>
          <t>10G SFP+</t>
        </is>
      </c>
      <c r="D1355" t="n">
        <v>10000</v>
      </c>
      <c r="E1355" t="inlineStr">
        <is>
          <t>admin-down</t>
        </is>
      </c>
    </row>
    <row r="1356">
      <c r="A1356" t="inlineStr">
        <is>
          <t>MH-DC-002-TOR-003</t>
        </is>
      </c>
      <c r="B1356" t="inlineStr">
        <is>
          <t>Te0/0/0/22</t>
        </is>
      </c>
      <c r="C1356" t="inlineStr">
        <is>
          <t>10G SFP+</t>
        </is>
      </c>
      <c r="D1356" t="n">
        <v>10000</v>
      </c>
      <c r="E1356" t="inlineStr">
        <is>
          <t>up</t>
        </is>
      </c>
      <c r="F1356" t="inlineStr">
        <is>
          <t>Server NIC</t>
        </is>
      </c>
    </row>
    <row r="1357">
      <c r="A1357" t="inlineStr">
        <is>
          <t>MH-DC-002-TOR-003</t>
        </is>
      </c>
      <c r="B1357" t="inlineStr">
        <is>
          <t>Te0/0/0/23</t>
        </is>
      </c>
      <c r="C1357" t="inlineStr">
        <is>
          <t>10G SFP+</t>
        </is>
      </c>
      <c r="D1357" t="n">
        <v>10000</v>
      </c>
      <c r="E1357" t="inlineStr">
        <is>
          <t>up</t>
        </is>
      </c>
      <c r="F1357" t="inlineStr">
        <is>
          <t>Server NIC</t>
        </is>
      </c>
    </row>
    <row r="1358">
      <c r="A1358" t="inlineStr">
        <is>
          <t>MH-DC-002-TOR-003</t>
        </is>
      </c>
      <c r="B1358" t="inlineStr">
        <is>
          <t>Hu0/0/1/0</t>
        </is>
      </c>
      <c r="C1358" t="inlineStr">
        <is>
          <t>100G QSFP28</t>
        </is>
      </c>
      <c r="D1358" t="n">
        <v>100000</v>
      </c>
      <c r="E1358" t="inlineStr">
        <is>
          <t>admin-down</t>
        </is>
      </c>
    </row>
    <row r="1359">
      <c r="A1359" t="inlineStr">
        <is>
          <t>MH-DC-002-TOR-003</t>
        </is>
      </c>
      <c r="B1359" t="inlineStr">
        <is>
          <t>Hu0/0/1/1</t>
        </is>
      </c>
      <c r="C1359" t="inlineStr">
        <is>
          <t>100G QSFP28</t>
        </is>
      </c>
      <c r="D1359" t="n">
        <v>100000</v>
      </c>
      <c r="E1359" t="inlineStr">
        <is>
          <t>admin-down</t>
        </is>
      </c>
    </row>
    <row r="1360">
      <c r="A1360" t="inlineStr">
        <is>
          <t>MH-DC-002-BMS-01</t>
        </is>
      </c>
      <c r="B1360" t="inlineStr">
        <is>
          <t>eth0</t>
        </is>
      </c>
      <c r="C1360" t="inlineStr">
        <is>
          <t>10G SFP+</t>
        </is>
      </c>
      <c r="D1360" t="n">
        <v>10000</v>
      </c>
      <c r="E1360" t="inlineStr">
        <is>
          <t>up</t>
        </is>
      </c>
      <c r="F1360" t="inlineStr">
        <is>
          <t>Access to MH-DC-002-TOR-001</t>
        </is>
      </c>
      <c r="G1360" t="inlineStr">
        <is>
          <t>SFP-10G-LR</t>
        </is>
      </c>
    </row>
    <row r="1361">
      <c r="A1361" t="inlineStr">
        <is>
          <t>MH-DC-002-BMS-01</t>
        </is>
      </c>
      <c r="B1361" t="inlineStr">
        <is>
          <t>eth1</t>
        </is>
      </c>
      <c r="C1361" t="inlineStr">
        <is>
          <t>10G SFP+</t>
        </is>
      </c>
      <c r="D1361" t="n">
        <v>10000</v>
      </c>
      <c r="E1361" t="inlineStr">
        <is>
          <t>up</t>
        </is>
      </c>
      <c r="F1361" t="inlineStr">
        <is>
          <t>Access to MH-DC-002-TOR-002</t>
        </is>
      </c>
      <c r="G1361" t="inlineStr">
        <is>
          <t>SFP-10G-LR</t>
        </is>
      </c>
    </row>
    <row r="1362">
      <c r="A1362" t="inlineStr">
        <is>
          <t>MH-DC-002-BMS-02</t>
        </is>
      </c>
      <c r="B1362" t="inlineStr">
        <is>
          <t>eth0</t>
        </is>
      </c>
      <c r="C1362" t="inlineStr">
        <is>
          <t>10G SFP+</t>
        </is>
      </c>
      <c r="D1362" t="n">
        <v>10000</v>
      </c>
      <c r="E1362" t="inlineStr">
        <is>
          <t>up</t>
        </is>
      </c>
      <c r="F1362" t="inlineStr">
        <is>
          <t>Access to MH-DC-002-TOR-001</t>
        </is>
      </c>
      <c r="G1362" t="inlineStr">
        <is>
          <t>SFP-10G-LR</t>
        </is>
      </c>
    </row>
    <row r="1363">
      <c r="A1363" t="inlineStr">
        <is>
          <t>MH-DC-002-BMS-02</t>
        </is>
      </c>
      <c r="B1363" t="inlineStr">
        <is>
          <t>eth1</t>
        </is>
      </c>
      <c r="C1363" t="inlineStr">
        <is>
          <t>10G SFP+</t>
        </is>
      </c>
      <c r="D1363" t="n">
        <v>10000</v>
      </c>
      <c r="E1363" t="inlineStr">
        <is>
          <t>up</t>
        </is>
      </c>
      <c r="F1363" t="inlineStr">
        <is>
          <t>Access to MH-DC-002-TOR-002</t>
        </is>
      </c>
      <c r="G1363" t="inlineStr">
        <is>
          <t>SFP-10G-LR</t>
        </is>
      </c>
    </row>
    <row r="1364">
      <c r="A1364" t="inlineStr">
        <is>
          <t>MH-DC-002-ACS-01</t>
        </is>
      </c>
      <c r="B1364" t="inlineStr">
        <is>
          <t>eth0</t>
        </is>
      </c>
      <c r="C1364" t="inlineStr">
        <is>
          <t>10G SFP+</t>
        </is>
      </c>
      <c r="D1364" t="n">
        <v>10000</v>
      </c>
      <c r="E1364" t="inlineStr">
        <is>
          <t>up</t>
        </is>
      </c>
      <c r="F1364" t="inlineStr">
        <is>
          <t>Access to MH-DC-002-TOR-001</t>
        </is>
      </c>
      <c r="G1364" t="inlineStr">
        <is>
          <t>SFP-10G-LR</t>
        </is>
      </c>
    </row>
    <row r="1365">
      <c r="A1365" t="inlineStr">
        <is>
          <t>MH-DC-002-ACS-01</t>
        </is>
      </c>
      <c r="B1365" t="inlineStr">
        <is>
          <t>eth1</t>
        </is>
      </c>
      <c r="C1365" t="inlineStr">
        <is>
          <t>10G SFP+</t>
        </is>
      </c>
      <c r="D1365" t="n">
        <v>10000</v>
      </c>
      <c r="E1365" t="inlineStr">
        <is>
          <t>up</t>
        </is>
      </c>
      <c r="F1365" t="inlineStr">
        <is>
          <t>Access to MH-DC-002-TOR-002</t>
        </is>
      </c>
      <c r="G1365" t="inlineStr">
        <is>
          <t>SFP-10G-LR</t>
        </is>
      </c>
    </row>
    <row r="1366">
      <c r="A1366" t="inlineStr">
        <is>
          <t>MH-DC-002-NVR-01</t>
        </is>
      </c>
      <c r="B1366" t="inlineStr">
        <is>
          <t>eth0</t>
        </is>
      </c>
      <c r="C1366" t="inlineStr">
        <is>
          <t>10G SFP+</t>
        </is>
      </c>
      <c r="D1366" t="n">
        <v>10000</v>
      </c>
      <c r="E1366" t="inlineStr">
        <is>
          <t>up</t>
        </is>
      </c>
      <c r="F1366" t="inlineStr">
        <is>
          <t>Access to MH-DC-002-TOR-001</t>
        </is>
      </c>
      <c r="G1366" t="inlineStr">
        <is>
          <t>SFP-10G-LR</t>
        </is>
      </c>
    </row>
    <row r="1367">
      <c r="A1367" t="inlineStr">
        <is>
          <t>MH-DC-002-NVR-01</t>
        </is>
      </c>
      <c r="B1367" t="inlineStr">
        <is>
          <t>eth1</t>
        </is>
      </c>
      <c r="C1367" t="inlineStr">
        <is>
          <t>10G SFP+</t>
        </is>
      </c>
      <c r="D1367" t="n">
        <v>10000</v>
      </c>
      <c r="E1367" t="inlineStr">
        <is>
          <t>up</t>
        </is>
      </c>
      <c r="F1367" t="inlineStr">
        <is>
          <t>Access to MH-DC-002-TOR-002</t>
        </is>
      </c>
      <c r="G1367" t="inlineStr">
        <is>
          <t>SFP-10G-LR</t>
        </is>
      </c>
    </row>
    <row r="1368">
      <c r="A1368" t="inlineStr">
        <is>
          <t>MH-DC-002-JMP-01</t>
        </is>
      </c>
      <c r="B1368" t="inlineStr">
        <is>
          <t>eth0</t>
        </is>
      </c>
      <c r="C1368" t="inlineStr">
        <is>
          <t>10G SFP+</t>
        </is>
      </c>
      <c r="D1368" t="n">
        <v>10000</v>
      </c>
      <c r="E1368" t="inlineStr">
        <is>
          <t>up</t>
        </is>
      </c>
      <c r="F1368" t="inlineStr">
        <is>
          <t>Access to MH-DC-002-TOR-001</t>
        </is>
      </c>
      <c r="G1368" t="inlineStr">
        <is>
          <t>SFP-10G-LR</t>
        </is>
      </c>
    </row>
    <row r="1369">
      <c r="A1369" t="inlineStr">
        <is>
          <t>MH-DC-002-JMP-01</t>
        </is>
      </c>
      <c r="B1369" t="inlineStr">
        <is>
          <t>eth1</t>
        </is>
      </c>
      <c r="C1369" t="inlineStr">
        <is>
          <t>10G SFP+</t>
        </is>
      </c>
      <c r="D1369" t="n">
        <v>10000</v>
      </c>
      <c r="E1369" t="inlineStr">
        <is>
          <t>up</t>
        </is>
      </c>
      <c r="F1369" t="inlineStr">
        <is>
          <t>Access to MH-DC-002-TOR-002</t>
        </is>
      </c>
      <c r="G1369" t="inlineStr">
        <is>
          <t>SFP-10G-LR</t>
        </is>
      </c>
    </row>
    <row r="1370">
      <c r="A1370" t="inlineStr">
        <is>
          <t>MH-DC-002-BKP-01</t>
        </is>
      </c>
      <c r="B1370" t="inlineStr">
        <is>
          <t>eth0</t>
        </is>
      </c>
      <c r="C1370" t="inlineStr">
        <is>
          <t>10G SFP+</t>
        </is>
      </c>
      <c r="D1370" t="n">
        <v>10000</v>
      </c>
      <c r="E1370" t="inlineStr">
        <is>
          <t>up</t>
        </is>
      </c>
      <c r="F1370" t="inlineStr">
        <is>
          <t>Access to MH-DC-002-TOR-001</t>
        </is>
      </c>
      <c r="G1370" t="inlineStr">
        <is>
          <t>SFP-10G-LR</t>
        </is>
      </c>
    </row>
    <row r="1371">
      <c r="A1371" t="inlineStr">
        <is>
          <t>MH-DC-002-BKP-01</t>
        </is>
      </c>
      <c r="B1371" t="inlineStr">
        <is>
          <t>eth1</t>
        </is>
      </c>
      <c r="C1371" t="inlineStr">
        <is>
          <t>10G SFP+</t>
        </is>
      </c>
      <c r="D1371" t="n">
        <v>10000</v>
      </c>
      <c r="E1371" t="inlineStr">
        <is>
          <t>up</t>
        </is>
      </c>
      <c r="F1371" t="inlineStr">
        <is>
          <t>Access to MH-DC-002-TOR-002</t>
        </is>
      </c>
      <c r="G1371" t="inlineStr">
        <is>
          <t>SFP-10G-LR</t>
        </is>
      </c>
    </row>
    <row r="1372">
      <c r="A1372" t="inlineStr">
        <is>
          <t>MH-DC-002-DCIM-01</t>
        </is>
      </c>
      <c r="B1372" t="inlineStr">
        <is>
          <t>eth0</t>
        </is>
      </c>
      <c r="C1372" t="inlineStr">
        <is>
          <t>10G SFP+</t>
        </is>
      </c>
      <c r="D1372" t="n">
        <v>10000</v>
      </c>
      <c r="E1372" t="inlineStr">
        <is>
          <t>up</t>
        </is>
      </c>
      <c r="F1372" t="inlineStr">
        <is>
          <t>Access to MH-DC-002-TOR-001</t>
        </is>
      </c>
      <c r="G1372" t="inlineStr">
        <is>
          <t>SFP-10G-LR</t>
        </is>
      </c>
    </row>
    <row r="1373">
      <c r="A1373" t="inlineStr">
        <is>
          <t>MH-DC-002-DCIM-01</t>
        </is>
      </c>
      <c r="B1373" t="inlineStr">
        <is>
          <t>eth1</t>
        </is>
      </c>
      <c r="C1373" t="inlineStr">
        <is>
          <t>10G SFP+</t>
        </is>
      </c>
      <c r="D1373" t="n">
        <v>10000</v>
      </c>
      <c r="E1373" t="inlineStr">
        <is>
          <t>up</t>
        </is>
      </c>
      <c r="F1373" t="inlineStr">
        <is>
          <t>Access to MH-DC-002-TOR-002</t>
        </is>
      </c>
      <c r="G1373" t="inlineStr">
        <is>
          <t>SFP-10G-LR</t>
        </is>
      </c>
    </row>
    <row r="1374">
      <c r="A1374" t="inlineStr">
        <is>
          <t>MH-DC-002-DCIM-02</t>
        </is>
      </c>
      <c r="B1374" t="inlineStr">
        <is>
          <t>eth0</t>
        </is>
      </c>
      <c r="C1374" t="inlineStr">
        <is>
          <t>10G SFP+</t>
        </is>
      </c>
      <c r="D1374" t="n">
        <v>10000</v>
      </c>
      <c r="E1374" t="inlineStr">
        <is>
          <t>up</t>
        </is>
      </c>
      <c r="F1374" t="inlineStr">
        <is>
          <t>Access to MH-DC-002-MMR-SW-01</t>
        </is>
      </c>
      <c r="G1374" t="inlineStr">
        <is>
          <t>SFP-10G-LR</t>
        </is>
      </c>
    </row>
    <row r="1375">
      <c r="A1375" t="inlineStr">
        <is>
          <t>MH-DC-002-DCIM-02</t>
        </is>
      </c>
      <c r="B1375" t="inlineStr">
        <is>
          <t>eth1</t>
        </is>
      </c>
      <c r="C1375" t="inlineStr">
        <is>
          <t>10G SFP+</t>
        </is>
      </c>
      <c r="D1375" t="n">
        <v>10000</v>
      </c>
      <c r="E1375" t="inlineStr">
        <is>
          <t>up</t>
        </is>
      </c>
      <c r="F1375" t="inlineStr">
        <is>
          <t>Access to MH-DC-002-MMR-SW-02</t>
        </is>
      </c>
      <c r="G1375" t="inlineStr">
        <is>
          <t>SFP-10G-LR</t>
        </is>
      </c>
    </row>
    <row r="1376">
      <c r="A1376" t="inlineStr">
        <is>
          <t>MH-DC-002-MON-01</t>
        </is>
      </c>
      <c r="B1376" t="inlineStr">
        <is>
          <t>eth0</t>
        </is>
      </c>
      <c r="C1376" t="inlineStr">
        <is>
          <t>10G SFP+</t>
        </is>
      </c>
      <c r="D1376" t="n">
        <v>10000</v>
      </c>
      <c r="E1376" t="inlineStr">
        <is>
          <t>up</t>
        </is>
      </c>
      <c r="F1376" t="inlineStr">
        <is>
          <t>Access to MH-DC-002-MMR-SW-01</t>
        </is>
      </c>
      <c r="G1376" t="inlineStr">
        <is>
          <t>SFP-10G-LR</t>
        </is>
      </c>
    </row>
    <row r="1377">
      <c r="A1377" t="inlineStr">
        <is>
          <t>MH-DC-002-MON-01</t>
        </is>
      </c>
      <c r="B1377" t="inlineStr">
        <is>
          <t>eth1</t>
        </is>
      </c>
      <c r="C1377" t="inlineStr">
        <is>
          <t>10G SFP+</t>
        </is>
      </c>
      <c r="D1377" t="n">
        <v>10000</v>
      </c>
      <c r="E1377" t="inlineStr">
        <is>
          <t>up</t>
        </is>
      </c>
      <c r="F1377" t="inlineStr">
        <is>
          <t>Access to MH-DC-002-MMR-SW-02</t>
        </is>
      </c>
      <c r="G1377" t="inlineStr">
        <is>
          <t>SFP-10G-LR</t>
        </is>
      </c>
    </row>
    <row r="1378">
      <c r="A1378" t="inlineStr">
        <is>
          <t>MH-DC-002-MON-02</t>
        </is>
      </c>
      <c r="B1378" t="inlineStr">
        <is>
          <t>eth0</t>
        </is>
      </c>
      <c r="C1378" t="inlineStr">
        <is>
          <t>10G SFP+</t>
        </is>
      </c>
      <c r="D1378" t="n">
        <v>10000</v>
      </c>
      <c r="E1378" t="inlineStr">
        <is>
          <t>up</t>
        </is>
      </c>
      <c r="F1378" t="inlineStr">
        <is>
          <t>Access to MH-DC-002-MMR-SW-01</t>
        </is>
      </c>
      <c r="G1378" t="inlineStr">
        <is>
          <t>SFP-10G-LR</t>
        </is>
      </c>
    </row>
    <row r="1379">
      <c r="A1379" t="inlineStr">
        <is>
          <t>MH-DC-002-MON-02</t>
        </is>
      </c>
      <c r="B1379" t="inlineStr">
        <is>
          <t>eth1</t>
        </is>
      </c>
      <c r="C1379" t="inlineStr">
        <is>
          <t>10G SFP+</t>
        </is>
      </c>
      <c r="D1379" t="n">
        <v>10000</v>
      </c>
      <c r="E1379" t="inlineStr">
        <is>
          <t>up</t>
        </is>
      </c>
      <c r="F1379" t="inlineStr">
        <is>
          <t>Access to MH-DC-002-MMR-SW-02</t>
        </is>
      </c>
      <c r="G1379" t="inlineStr">
        <is>
          <t>SFP-10G-LR</t>
        </is>
      </c>
    </row>
  </sheetData>
  <autoFilter ref="A1:G1379"/>
  <dataValidations count="1">
    <dataValidation sqref="E2:E2000" showDropDown="0" showInputMessage="0" showErrorMessage="1" allowBlank="1" errorTitle="Not an allowed value" error="Pick a value from the list (Lookups → if_admin)." type="list">
      <formula1>=L_if_admin</formula1>
    </dataValidation>
  </dataValidations>
  <pageMargins left="0.75" right="0.75" top="1" bottom="1" header="0.5" footer="0.5"/>
  <legacyDrawing xmlns:r="http://schemas.openxmlformats.org/officeDocument/2006/relationships" r:id="anysvml"/>
</worksheet>
</file>

<file path=xl/worksheets/sheet17.xml><?xml version="1.0" encoding="utf-8"?>
<worksheet xmlns="http://schemas.openxmlformats.org/spreadsheetml/2006/main">
  <sheetPr>
    <tabColor rgb="002E6BD9"/>
    <outlinePr summaryBelow="1" summaryRight="1"/>
    <pageSetUpPr/>
  </sheetPr>
  <dimension ref="A1:M18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21" customWidth="1" min="2" max="2"/>
    <col width="14" customWidth="1" min="3" max="3"/>
    <col width="21" customWidth="1" min="4" max="4"/>
    <col width="14" customWidth="1" min="5" max="5"/>
    <col width="10" customWidth="1" min="6" max="6"/>
    <col width="13" customWidth="1" min="7" max="7"/>
    <col width="18" customWidth="1" min="8" max="8"/>
    <col width="20" customWidth="1" min="9" max="9"/>
    <col width="11" customWidth="1" min="10" max="10"/>
    <col width="17" customWidth="1" min="11" max="11"/>
    <col width="17" customWidth="1" min="12" max="12"/>
    <col width="23" customWidth="1" min="13" max="13"/>
  </cols>
  <sheetData>
    <row r="1" ht="30" customHeight="1">
      <c r="A1" s="16" t="inlineStr">
        <is>
          <t>link_id *</t>
        </is>
      </c>
      <c r="B1" s="16" t="inlineStr">
        <is>
          <t>a_device_id *</t>
        </is>
      </c>
      <c r="C1" s="16" t="inlineStr">
        <is>
          <t>a_if_name *</t>
        </is>
      </c>
      <c r="D1" s="16" t="inlineStr">
        <is>
          <t>z_device_id *</t>
        </is>
      </c>
      <c r="E1" s="16" t="inlineStr">
        <is>
          <t>z_if_name *</t>
        </is>
      </c>
      <c r="F1" s="16" t="inlineStr">
        <is>
          <t>role *</t>
        </is>
      </c>
      <c r="G1" s="17" t="inlineStr">
        <is>
          <t>protocol</t>
        </is>
      </c>
      <c r="H1" s="16" t="inlineStr">
        <is>
          <t>capacity_mbps *</t>
        </is>
      </c>
      <c r="I1" s="17" t="inlineStr">
        <is>
          <t>cable_id</t>
        </is>
      </c>
      <c r="J1" s="17" t="inlineStr">
        <is>
          <t>strand</t>
        </is>
      </c>
      <c r="K1" s="17" t="inlineStr">
        <is>
          <t>a_patch_port</t>
        </is>
      </c>
      <c r="L1" s="17" t="inlineStr">
        <is>
          <t>z_patch_port</t>
        </is>
      </c>
      <c r="M1" s="19" t="inlineStr">
        <is>
          <t>carrier_circuit_id</t>
        </is>
      </c>
    </row>
    <row r="2">
      <c r="A2" t="inlineStr">
        <is>
          <t>LNK-00001</t>
        </is>
      </c>
      <c r="B2" t="inlineStr">
        <is>
          <t>MH-DC-001-PE-T4-01</t>
        </is>
      </c>
      <c r="C2" t="inlineStr">
        <is>
          <t>et-0/1/0</t>
        </is>
      </c>
      <c r="D2" t="inlineStr">
        <is>
          <t>MH-DC-001-PE-T4-02</t>
        </is>
      </c>
      <c r="E2" t="inlineStr">
        <is>
          <t>et-0/1/0</t>
        </is>
      </c>
      <c r="F2" t="inlineStr">
        <is>
          <t>Fabric</t>
        </is>
      </c>
      <c r="G2" t="inlineStr">
        <is>
          <t>LLDP</t>
        </is>
      </c>
      <c r="H2" t="n">
        <v>100000</v>
      </c>
      <c r="I2" t="inlineStr">
        <is>
          <t>MH-DC-001-CBL-0001</t>
        </is>
      </c>
      <c r="J2" t="inlineStr">
        <is>
          <t>Red</t>
        </is>
      </c>
      <c r="K2" t="inlineStr">
        <is>
          <t>ODF-2/P24</t>
        </is>
      </c>
      <c r="L2" t="inlineStr">
        <is>
          <t>ODF-2/P15</t>
        </is>
      </c>
    </row>
    <row r="3">
      <c r="A3" t="inlineStr">
        <is>
          <t>LNK-00002</t>
        </is>
      </c>
      <c r="B3" t="inlineStr">
        <is>
          <t>MH-DC-001-PE-T4-01</t>
        </is>
      </c>
      <c r="C3" t="inlineStr">
        <is>
          <t>et-0/1/0</t>
        </is>
      </c>
      <c r="D3" t="inlineStr">
        <is>
          <t>MH-DC-001-PE-T4-02</t>
        </is>
      </c>
      <c r="E3" t="inlineStr">
        <is>
          <t>et-0/1/0</t>
        </is>
      </c>
      <c r="F3" t="inlineStr">
        <is>
          <t>Fabric</t>
        </is>
      </c>
      <c r="G3" t="inlineStr">
        <is>
          <t>OSPF</t>
        </is>
      </c>
      <c r="H3" t="n">
        <v>100000</v>
      </c>
    </row>
    <row r="4">
      <c r="A4" t="inlineStr">
        <is>
          <t>LNK-00003</t>
        </is>
      </c>
      <c r="B4" t="inlineStr">
        <is>
          <t>MH-DC-001-PE-T4-01</t>
        </is>
      </c>
      <c r="C4" t="inlineStr">
        <is>
          <t>et-0/1/0</t>
        </is>
      </c>
      <c r="D4" t="inlineStr">
        <is>
          <t>MH-DC-001-PE-T4-02</t>
        </is>
      </c>
      <c r="E4" t="inlineStr">
        <is>
          <t>et-0/1/0</t>
        </is>
      </c>
      <c r="F4" t="inlineStr">
        <is>
          <t>Fabric</t>
        </is>
      </c>
      <c r="G4" t="inlineStr">
        <is>
          <t>ISIS</t>
        </is>
      </c>
      <c r="H4" t="n">
        <v>100000</v>
      </c>
    </row>
    <row r="5">
      <c r="A5" t="inlineStr">
        <is>
          <t>LNK-00004</t>
        </is>
      </c>
      <c r="B5" t="inlineStr">
        <is>
          <t>MH-DC-001-PE-T4-01</t>
        </is>
      </c>
      <c r="C5" t="inlineStr">
        <is>
          <t>et-0/1/0</t>
        </is>
      </c>
      <c r="D5" t="inlineStr">
        <is>
          <t>MH-DC-001-PE-T4-02</t>
        </is>
      </c>
      <c r="E5" t="inlineStr">
        <is>
          <t>et-0/1/0</t>
        </is>
      </c>
      <c r="F5" t="inlineStr">
        <is>
          <t>Fabric</t>
        </is>
      </c>
      <c r="G5" t="inlineStr">
        <is>
          <t>BGP</t>
        </is>
      </c>
      <c r="H5" t="n">
        <v>100000</v>
      </c>
    </row>
    <row r="6">
      <c r="A6" t="inlineStr">
        <is>
          <t>LNK-00005</t>
        </is>
      </c>
      <c r="B6" t="inlineStr">
        <is>
          <t>MH-DC-001-PE-T4-01</t>
        </is>
      </c>
      <c r="C6" t="inlineStr">
        <is>
          <t>et-0/1/0</t>
        </is>
      </c>
      <c r="D6" t="inlineStr">
        <is>
          <t>MH-DC-001-PE-T4-02</t>
        </is>
      </c>
      <c r="E6" t="inlineStr">
        <is>
          <t>et-0/1/0</t>
        </is>
      </c>
      <c r="F6" t="inlineStr">
        <is>
          <t>Fabric</t>
        </is>
      </c>
      <c r="G6" t="inlineStr">
        <is>
          <t>LSP</t>
        </is>
      </c>
      <c r="H6" t="n">
        <v>100000</v>
      </c>
    </row>
    <row r="7">
      <c r="A7" t="inlineStr">
        <is>
          <t>LNK-00006</t>
        </is>
      </c>
      <c r="B7" t="inlineStr">
        <is>
          <t>MH-DC-001-PE-T4-01</t>
        </is>
      </c>
      <c r="C7" t="inlineStr">
        <is>
          <t>et-0/1/1</t>
        </is>
      </c>
      <c r="D7" t="inlineStr">
        <is>
          <t>MH-DC-001-PE-T4-03</t>
        </is>
      </c>
      <c r="E7" t="inlineStr">
        <is>
          <t>Hu0/0/1/0</t>
        </is>
      </c>
      <c r="F7" t="inlineStr">
        <is>
          <t>Fabric</t>
        </is>
      </c>
      <c r="G7" t="inlineStr">
        <is>
          <t>LLDP</t>
        </is>
      </c>
      <c r="H7" t="n">
        <v>100000</v>
      </c>
      <c r="I7" t="inlineStr">
        <is>
          <t>MH-DC-001-CBL-0002</t>
        </is>
      </c>
      <c r="J7" t="inlineStr">
        <is>
          <t>Yellow</t>
        </is>
      </c>
      <c r="K7" t="inlineStr">
        <is>
          <t>ODF-4/P13</t>
        </is>
      </c>
      <c r="L7" t="inlineStr">
        <is>
          <t>ODF-2/P12</t>
        </is>
      </c>
    </row>
    <row r="8">
      <c r="A8" t="inlineStr">
        <is>
          <t>LNK-00007</t>
        </is>
      </c>
      <c r="B8" t="inlineStr">
        <is>
          <t>MH-DC-001-PE-T4-01</t>
        </is>
      </c>
      <c r="C8" t="inlineStr">
        <is>
          <t>et-0/1/1</t>
        </is>
      </c>
      <c r="D8" t="inlineStr">
        <is>
          <t>MH-DC-001-PE-T4-03</t>
        </is>
      </c>
      <c r="E8" t="inlineStr">
        <is>
          <t>Hu0/0/1/0</t>
        </is>
      </c>
      <c r="F8" t="inlineStr">
        <is>
          <t>Fabric</t>
        </is>
      </c>
      <c r="G8" t="inlineStr">
        <is>
          <t>OSPF</t>
        </is>
      </c>
      <c r="H8" t="n">
        <v>100000</v>
      </c>
    </row>
    <row r="9">
      <c r="A9" t="inlineStr">
        <is>
          <t>LNK-00008</t>
        </is>
      </c>
      <c r="B9" t="inlineStr">
        <is>
          <t>MH-DC-001-PE-T4-01</t>
        </is>
      </c>
      <c r="C9" t="inlineStr">
        <is>
          <t>et-0/1/1</t>
        </is>
      </c>
      <c r="D9" t="inlineStr">
        <is>
          <t>MH-DC-001-PE-T4-03</t>
        </is>
      </c>
      <c r="E9" t="inlineStr">
        <is>
          <t>Hu0/0/1/0</t>
        </is>
      </c>
      <c r="F9" t="inlineStr">
        <is>
          <t>Fabric</t>
        </is>
      </c>
      <c r="G9" t="inlineStr">
        <is>
          <t>ISIS</t>
        </is>
      </c>
      <c r="H9" t="n">
        <v>100000</v>
      </c>
    </row>
    <row r="10">
      <c r="A10" t="inlineStr">
        <is>
          <t>LNK-00009</t>
        </is>
      </c>
      <c r="B10" t="inlineStr">
        <is>
          <t>MH-DC-001-PE-T4-01</t>
        </is>
      </c>
      <c r="C10" t="inlineStr">
        <is>
          <t>et-0/1/1</t>
        </is>
      </c>
      <c r="D10" t="inlineStr">
        <is>
          <t>MH-DC-001-PE-T4-03</t>
        </is>
      </c>
      <c r="E10" t="inlineStr">
        <is>
          <t>Hu0/0/1/0</t>
        </is>
      </c>
      <c r="F10" t="inlineStr">
        <is>
          <t>Fabric</t>
        </is>
      </c>
      <c r="G10" t="inlineStr">
        <is>
          <t>BGP</t>
        </is>
      </c>
      <c r="H10" t="n">
        <v>100000</v>
      </c>
    </row>
    <row r="11">
      <c r="A11" t="inlineStr">
        <is>
          <t>LNK-00010</t>
        </is>
      </c>
      <c r="B11" t="inlineStr">
        <is>
          <t>MH-DC-001-PE-T4-01</t>
        </is>
      </c>
      <c r="C11" t="inlineStr">
        <is>
          <t>et-0/1/1</t>
        </is>
      </c>
      <c r="D11" t="inlineStr">
        <is>
          <t>MH-DC-001-PE-T4-03</t>
        </is>
      </c>
      <c r="E11" t="inlineStr">
        <is>
          <t>Hu0/0/1/0</t>
        </is>
      </c>
      <c r="F11" t="inlineStr">
        <is>
          <t>Fabric</t>
        </is>
      </c>
      <c r="G11" t="inlineStr">
        <is>
          <t>LSP</t>
        </is>
      </c>
      <c r="H11" t="n">
        <v>100000</v>
      </c>
    </row>
    <row r="12">
      <c r="A12" t="inlineStr">
        <is>
          <t>LNK-00011</t>
        </is>
      </c>
      <c r="B12" t="inlineStr">
        <is>
          <t>MH-DC-001-PE-T4-01</t>
        </is>
      </c>
      <c r="C12" t="inlineStr">
        <is>
          <t>et-0/1/2</t>
        </is>
      </c>
      <c r="D12" t="inlineStr">
        <is>
          <t>MH-DC-001-PE-T4-04</t>
        </is>
      </c>
      <c r="E12" t="inlineStr">
        <is>
          <t>Hu0/0/1/0</t>
        </is>
      </c>
      <c r="F12" t="inlineStr">
        <is>
          <t>Fabric</t>
        </is>
      </c>
      <c r="G12" t="inlineStr">
        <is>
          <t>LLDP</t>
        </is>
      </c>
      <c r="H12" t="n">
        <v>100000</v>
      </c>
      <c r="I12" t="inlineStr">
        <is>
          <t>MH-DC-001-CBL-0003</t>
        </is>
      </c>
      <c r="J12" t="inlineStr">
        <is>
          <t>Rose</t>
        </is>
      </c>
      <c r="K12" t="inlineStr">
        <is>
          <t>ODF-2/P17</t>
        </is>
      </c>
      <c r="L12" t="inlineStr">
        <is>
          <t>ODF-2/P19</t>
        </is>
      </c>
    </row>
    <row r="13">
      <c r="A13" t="inlineStr">
        <is>
          <t>LNK-00012</t>
        </is>
      </c>
      <c r="B13" t="inlineStr">
        <is>
          <t>MH-DC-001-PE-T4-01</t>
        </is>
      </c>
      <c r="C13" t="inlineStr">
        <is>
          <t>et-0/1/2</t>
        </is>
      </c>
      <c r="D13" t="inlineStr">
        <is>
          <t>MH-DC-001-PE-T4-04</t>
        </is>
      </c>
      <c r="E13" t="inlineStr">
        <is>
          <t>Hu0/0/1/0</t>
        </is>
      </c>
      <c r="F13" t="inlineStr">
        <is>
          <t>Fabric</t>
        </is>
      </c>
      <c r="G13" t="inlineStr">
        <is>
          <t>OSPF</t>
        </is>
      </c>
      <c r="H13" t="n">
        <v>100000</v>
      </c>
    </row>
    <row r="14">
      <c r="A14" t="inlineStr">
        <is>
          <t>LNK-00013</t>
        </is>
      </c>
      <c r="B14" t="inlineStr">
        <is>
          <t>MH-DC-001-PE-T4-01</t>
        </is>
      </c>
      <c r="C14" t="inlineStr">
        <is>
          <t>et-0/1/2</t>
        </is>
      </c>
      <c r="D14" t="inlineStr">
        <is>
          <t>MH-DC-001-PE-T4-04</t>
        </is>
      </c>
      <c r="E14" t="inlineStr">
        <is>
          <t>Hu0/0/1/0</t>
        </is>
      </c>
      <c r="F14" t="inlineStr">
        <is>
          <t>Fabric</t>
        </is>
      </c>
      <c r="G14" t="inlineStr">
        <is>
          <t>ISIS</t>
        </is>
      </c>
      <c r="H14" t="n">
        <v>100000</v>
      </c>
    </row>
    <row r="15">
      <c r="A15" t="inlineStr">
        <is>
          <t>LNK-00014</t>
        </is>
      </c>
      <c r="B15" t="inlineStr">
        <is>
          <t>MH-DC-001-PE-T4-01</t>
        </is>
      </c>
      <c r="C15" t="inlineStr">
        <is>
          <t>et-0/1/2</t>
        </is>
      </c>
      <c r="D15" t="inlineStr">
        <is>
          <t>MH-DC-001-PE-T4-04</t>
        </is>
      </c>
      <c r="E15" t="inlineStr">
        <is>
          <t>Hu0/0/1/0</t>
        </is>
      </c>
      <c r="F15" t="inlineStr">
        <is>
          <t>Fabric</t>
        </is>
      </c>
      <c r="G15" t="inlineStr">
        <is>
          <t>BGP</t>
        </is>
      </c>
      <c r="H15" t="n">
        <v>100000</v>
      </c>
    </row>
    <row r="16">
      <c r="A16" t="inlineStr">
        <is>
          <t>LNK-00015</t>
        </is>
      </c>
      <c r="B16" t="inlineStr">
        <is>
          <t>MH-DC-001-PE-T4-01</t>
        </is>
      </c>
      <c r="C16" t="inlineStr">
        <is>
          <t>et-0/1/2</t>
        </is>
      </c>
      <c r="D16" t="inlineStr">
        <is>
          <t>MH-DC-001-PE-T4-04</t>
        </is>
      </c>
      <c r="E16" t="inlineStr">
        <is>
          <t>Hu0/0/1/0</t>
        </is>
      </c>
      <c r="F16" t="inlineStr">
        <is>
          <t>Fabric</t>
        </is>
      </c>
      <c r="G16" t="inlineStr">
        <is>
          <t>LSP</t>
        </is>
      </c>
      <c r="H16" t="n">
        <v>100000</v>
      </c>
    </row>
    <row r="17">
      <c r="A17" t="inlineStr">
        <is>
          <t>LNK-00016</t>
        </is>
      </c>
      <c r="B17" t="inlineStr">
        <is>
          <t>MH-DC-001-PE-T4-02</t>
        </is>
      </c>
      <c r="C17" t="inlineStr">
        <is>
          <t>et-0/1/1</t>
        </is>
      </c>
      <c r="D17" t="inlineStr">
        <is>
          <t>MH-DC-001-PE-T4-03</t>
        </is>
      </c>
      <c r="E17" t="inlineStr">
        <is>
          <t>Hu0/0/1/1</t>
        </is>
      </c>
      <c r="F17" t="inlineStr">
        <is>
          <t>Fabric</t>
        </is>
      </c>
      <c r="G17" t="inlineStr">
        <is>
          <t>LLDP</t>
        </is>
      </c>
      <c r="H17" t="n">
        <v>100000</v>
      </c>
      <c r="I17" t="inlineStr">
        <is>
          <t>MH-DC-001-CBL-0004</t>
        </is>
      </c>
      <c r="J17" t="inlineStr">
        <is>
          <t>Brown</t>
        </is>
      </c>
      <c r="K17" t="inlineStr">
        <is>
          <t>ODF-3/P24</t>
        </is>
      </c>
      <c r="L17" t="inlineStr">
        <is>
          <t>ODF-2/P20</t>
        </is>
      </c>
    </row>
    <row r="18">
      <c r="A18" t="inlineStr">
        <is>
          <t>LNK-00017</t>
        </is>
      </c>
      <c r="B18" t="inlineStr">
        <is>
          <t>MH-DC-001-PE-T4-02</t>
        </is>
      </c>
      <c r="C18" t="inlineStr">
        <is>
          <t>et-0/1/1</t>
        </is>
      </c>
      <c r="D18" t="inlineStr">
        <is>
          <t>MH-DC-001-PE-T4-03</t>
        </is>
      </c>
      <c r="E18" t="inlineStr">
        <is>
          <t>Hu0/0/1/1</t>
        </is>
      </c>
      <c r="F18" t="inlineStr">
        <is>
          <t>Fabric</t>
        </is>
      </c>
      <c r="G18" t="inlineStr">
        <is>
          <t>OSPF</t>
        </is>
      </c>
      <c r="H18" t="n">
        <v>100000</v>
      </c>
    </row>
    <row r="19">
      <c r="A19" t="inlineStr">
        <is>
          <t>LNK-00018</t>
        </is>
      </c>
      <c r="B19" t="inlineStr">
        <is>
          <t>MH-DC-001-PE-T4-02</t>
        </is>
      </c>
      <c r="C19" t="inlineStr">
        <is>
          <t>et-0/1/1</t>
        </is>
      </c>
      <c r="D19" t="inlineStr">
        <is>
          <t>MH-DC-001-PE-T4-03</t>
        </is>
      </c>
      <c r="E19" t="inlineStr">
        <is>
          <t>Hu0/0/1/1</t>
        </is>
      </c>
      <c r="F19" t="inlineStr">
        <is>
          <t>Fabric</t>
        </is>
      </c>
      <c r="G19" t="inlineStr">
        <is>
          <t>ISIS</t>
        </is>
      </c>
      <c r="H19" t="n">
        <v>100000</v>
      </c>
    </row>
    <row r="20">
      <c r="A20" t="inlineStr">
        <is>
          <t>LNK-00019</t>
        </is>
      </c>
      <c r="B20" t="inlineStr">
        <is>
          <t>MH-DC-001-PE-T4-02</t>
        </is>
      </c>
      <c r="C20" t="inlineStr">
        <is>
          <t>et-0/1/1</t>
        </is>
      </c>
      <c r="D20" t="inlineStr">
        <is>
          <t>MH-DC-001-PE-T4-03</t>
        </is>
      </c>
      <c r="E20" t="inlineStr">
        <is>
          <t>Hu0/0/1/1</t>
        </is>
      </c>
      <c r="F20" t="inlineStr">
        <is>
          <t>Fabric</t>
        </is>
      </c>
      <c r="G20" t="inlineStr">
        <is>
          <t>BGP</t>
        </is>
      </c>
      <c r="H20" t="n">
        <v>100000</v>
      </c>
    </row>
    <row r="21">
      <c r="A21" t="inlineStr">
        <is>
          <t>LNK-00020</t>
        </is>
      </c>
      <c r="B21" t="inlineStr">
        <is>
          <t>MH-DC-001-PE-T4-02</t>
        </is>
      </c>
      <c r="C21" t="inlineStr">
        <is>
          <t>et-0/1/1</t>
        </is>
      </c>
      <c r="D21" t="inlineStr">
        <is>
          <t>MH-DC-001-PE-T4-03</t>
        </is>
      </c>
      <c r="E21" t="inlineStr">
        <is>
          <t>Hu0/0/1/1</t>
        </is>
      </c>
      <c r="F21" t="inlineStr">
        <is>
          <t>Fabric</t>
        </is>
      </c>
      <c r="G21" t="inlineStr">
        <is>
          <t>LSP</t>
        </is>
      </c>
      <c r="H21" t="n">
        <v>100000</v>
      </c>
    </row>
    <row r="22">
      <c r="A22" t="inlineStr">
        <is>
          <t>LNK-00021</t>
        </is>
      </c>
      <c r="B22" t="inlineStr">
        <is>
          <t>MH-DC-001-PE-T4-02</t>
        </is>
      </c>
      <c r="C22" t="inlineStr">
        <is>
          <t>et-0/1/2</t>
        </is>
      </c>
      <c r="D22" t="inlineStr">
        <is>
          <t>MH-DC-001-PE-T4-04</t>
        </is>
      </c>
      <c r="E22" t="inlineStr">
        <is>
          <t>Hu0/0/1/1</t>
        </is>
      </c>
      <c r="F22" t="inlineStr">
        <is>
          <t>Fabric</t>
        </is>
      </c>
      <c r="G22" t="inlineStr">
        <is>
          <t>LLDP</t>
        </is>
      </c>
      <c r="H22" t="n">
        <v>100000</v>
      </c>
      <c r="I22" t="inlineStr">
        <is>
          <t>MH-DC-001-CBL-0005</t>
        </is>
      </c>
      <c r="J22" t="inlineStr">
        <is>
          <t>Black</t>
        </is>
      </c>
      <c r="K22" t="inlineStr">
        <is>
          <t>ODF-3/P2</t>
        </is>
      </c>
      <c r="L22" t="inlineStr">
        <is>
          <t>ODF-3/P12</t>
        </is>
      </c>
    </row>
    <row r="23">
      <c r="A23" t="inlineStr">
        <is>
          <t>LNK-00022</t>
        </is>
      </c>
      <c r="B23" t="inlineStr">
        <is>
          <t>MH-DC-001-PE-T4-02</t>
        </is>
      </c>
      <c r="C23" t="inlineStr">
        <is>
          <t>et-0/1/2</t>
        </is>
      </c>
      <c r="D23" t="inlineStr">
        <is>
          <t>MH-DC-001-PE-T4-04</t>
        </is>
      </c>
      <c r="E23" t="inlineStr">
        <is>
          <t>Hu0/0/1/1</t>
        </is>
      </c>
      <c r="F23" t="inlineStr">
        <is>
          <t>Fabric</t>
        </is>
      </c>
      <c r="G23" t="inlineStr">
        <is>
          <t>OSPF</t>
        </is>
      </c>
      <c r="H23" t="n">
        <v>100000</v>
      </c>
    </row>
    <row r="24">
      <c r="A24" t="inlineStr">
        <is>
          <t>LNK-00023</t>
        </is>
      </c>
      <c r="B24" t="inlineStr">
        <is>
          <t>MH-DC-001-PE-T4-02</t>
        </is>
      </c>
      <c r="C24" t="inlineStr">
        <is>
          <t>et-0/1/2</t>
        </is>
      </c>
      <c r="D24" t="inlineStr">
        <is>
          <t>MH-DC-001-PE-T4-04</t>
        </is>
      </c>
      <c r="E24" t="inlineStr">
        <is>
          <t>Hu0/0/1/1</t>
        </is>
      </c>
      <c r="F24" t="inlineStr">
        <is>
          <t>Fabric</t>
        </is>
      </c>
      <c r="G24" t="inlineStr">
        <is>
          <t>ISIS</t>
        </is>
      </c>
      <c r="H24" t="n">
        <v>100000</v>
      </c>
    </row>
    <row r="25">
      <c r="A25" t="inlineStr">
        <is>
          <t>LNK-00024</t>
        </is>
      </c>
      <c r="B25" t="inlineStr">
        <is>
          <t>MH-DC-001-PE-T4-02</t>
        </is>
      </c>
      <c r="C25" t="inlineStr">
        <is>
          <t>et-0/1/2</t>
        </is>
      </c>
      <c r="D25" t="inlineStr">
        <is>
          <t>MH-DC-001-PE-T4-04</t>
        </is>
      </c>
      <c r="E25" t="inlineStr">
        <is>
          <t>Hu0/0/1/1</t>
        </is>
      </c>
      <c r="F25" t="inlineStr">
        <is>
          <t>Fabric</t>
        </is>
      </c>
      <c r="G25" t="inlineStr">
        <is>
          <t>BGP</t>
        </is>
      </c>
      <c r="H25" t="n">
        <v>100000</v>
      </c>
    </row>
    <row r="26">
      <c r="A26" t="inlineStr">
        <is>
          <t>LNK-00025</t>
        </is>
      </c>
      <c r="B26" t="inlineStr">
        <is>
          <t>MH-DC-001-PE-T4-02</t>
        </is>
      </c>
      <c r="C26" t="inlineStr">
        <is>
          <t>et-0/1/2</t>
        </is>
      </c>
      <c r="D26" t="inlineStr">
        <is>
          <t>MH-DC-001-PE-T4-04</t>
        </is>
      </c>
      <c r="E26" t="inlineStr">
        <is>
          <t>Hu0/0/1/1</t>
        </is>
      </c>
      <c r="F26" t="inlineStr">
        <is>
          <t>Fabric</t>
        </is>
      </c>
      <c r="G26" t="inlineStr">
        <is>
          <t>LSP</t>
        </is>
      </c>
      <c r="H26" t="n">
        <v>100000</v>
      </c>
    </row>
    <row r="27">
      <c r="A27" t="inlineStr">
        <is>
          <t>LNK-00026</t>
        </is>
      </c>
      <c r="B27" t="inlineStr">
        <is>
          <t>MH-DC-001-PE-T4-03</t>
        </is>
      </c>
      <c r="C27" t="inlineStr">
        <is>
          <t>Hu0/0/1/2</t>
        </is>
      </c>
      <c r="D27" t="inlineStr">
        <is>
          <t>MH-DC-001-PE-T4-04</t>
        </is>
      </c>
      <c r="E27" t="inlineStr">
        <is>
          <t>Hu0/0/1/2</t>
        </is>
      </c>
      <c r="F27" t="inlineStr">
        <is>
          <t>Fabric</t>
        </is>
      </c>
      <c r="G27" t="inlineStr">
        <is>
          <t>LLDP</t>
        </is>
      </c>
      <c r="H27" t="n">
        <v>100000</v>
      </c>
      <c r="I27" t="inlineStr">
        <is>
          <t>MH-DC-001-CBL-0006</t>
        </is>
      </c>
      <c r="J27" t="inlineStr">
        <is>
          <t>Black</t>
        </is>
      </c>
      <c r="K27" t="inlineStr">
        <is>
          <t>ODF-3/P6</t>
        </is>
      </c>
      <c r="L27" t="inlineStr">
        <is>
          <t>ODF-4/P2</t>
        </is>
      </c>
    </row>
    <row r="28">
      <c r="A28" t="inlineStr">
        <is>
          <t>LNK-00027</t>
        </is>
      </c>
      <c r="B28" t="inlineStr">
        <is>
          <t>MH-DC-001-PE-T4-03</t>
        </is>
      </c>
      <c r="C28" t="inlineStr">
        <is>
          <t>Hu0/0/1/2</t>
        </is>
      </c>
      <c r="D28" t="inlineStr">
        <is>
          <t>MH-DC-001-PE-T4-04</t>
        </is>
      </c>
      <c r="E28" t="inlineStr">
        <is>
          <t>Hu0/0/1/2</t>
        </is>
      </c>
      <c r="F28" t="inlineStr">
        <is>
          <t>Fabric</t>
        </is>
      </c>
      <c r="G28" t="inlineStr">
        <is>
          <t>OSPF</t>
        </is>
      </c>
      <c r="H28" t="n">
        <v>100000</v>
      </c>
    </row>
    <row r="29">
      <c r="A29" t="inlineStr">
        <is>
          <t>LNK-00028</t>
        </is>
      </c>
      <c r="B29" t="inlineStr">
        <is>
          <t>MH-DC-001-PE-T4-03</t>
        </is>
      </c>
      <c r="C29" t="inlineStr">
        <is>
          <t>Hu0/0/1/2</t>
        </is>
      </c>
      <c r="D29" t="inlineStr">
        <is>
          <t>MH-DC-001-PE-T4-04</t>
        </is>
      </c>
      <c r="E29" t="inlineStr">
        <is>
          <t>Hu0/0/1/2</t>
        </is>
      </c>
      <c r="F29" t="inlineStr">
        <is>
          <t>Fabric</t>
        </is>
      </c>
      <c r="G29" t="inlineStr">
        <is>
          <t>ISIS</t>
        </is>
      </c>
      <c r="H29" t="n">
        <v>100000</v>
      </c>
    </row>
    <row r="30">
      <c r="A30" t="inlineStr">
        <is>
          <t>LNK-00029</t>
        </is>
      </c>
      <c r="B30" t="inlineStr">
        <is>
          <t>MH-DC-001-PE-T4-03</t>
        </is>
      </c>
      <c r="C30" t="inlineStr">
        <is>
          <t>Hu0/0/1/2</t>
        </is>
      </c>
      <c r="D30" t="inlineStr">
        <is>
          <t>MH-DC-001-PE-T4-04</t>
        </is>
      </c>
      <c r="E30" t="inlineStr">
        <is>
          <t>Hu0/0/1/2</t>
        </is>
      </c>
      <c r="F30" t="inlineStr">
        <is>
          <t>Fabric</t>
        </is>
      </c>
      <c r="G30" t="inlineStr">
        <is>
          <t>BGP</t>
        </is>
      </c>
      <c r="H30" t="n">
        <v>100000</v>
      </c>
    </row>
    <row r="31">
      <c r="A31" t="inlineStr">
        <is>
          <t>LNK-00030</t>
        </is>
      </c>
      <c r="B31" t="inlineStr">
        <is>
          <t>MH-DC-001-PE-T4-03</t>
        </is>
      </c>
      <c r="C31" t="inlineStr">
        <is>
          <t>Hu0/0/1/2</t>
        </is>
      </c>
      <c r="D31" t="inlineStr">
        <is>
          <t>MH-DC-001-PE-T4-04</t>
        </is>
      </c>
      <c r="E31" t="inlineStr">
        <is>
          <t>Hu0/0/1/2</t>
        </is>
      </c>
      <c r="F31" t="inlineStr">
        <is>
          <t>Fabric</t>
        </is>
      </c>
      <c r="G31" t="inlineStr">
        <is>
          <t>LSP</t>
        </is>
      </c>
      <c r="H31" t="n">
        <v>100000</v>
      </c>
    </row>
    <row r="32">
      <c r="A32" t="inlineStr">
        <is>
          <t>LNK-00031</t>
        </is>
      </c>
      <c r="B32" t="inlineStr">
        <is>
          <t>MH-DC-001-AGG-R01</t>
        </is>
      </c>
      <c r="C32" t="inlineStr">
        <is>
          <t>et-0/1/0</t>
        </is>
      </c>
      <c r="D32" t="inlineStr">
        <is>
          <t>MH-DC-001-PE-T4-01</t>
        </is>
      </c>
      <c r="E32" t="inlineStr">
        <is>
          <t>xe-0/0/6</t>
        </is>
      </c>
      <c r="F32" t="inlineStr">
        <is>
          <t>Uplink</t>
        </is>
      </c>
      <c r="G32" t="inlineStr">
        <is>
          <t>LLDP</t>
        </is>
      </c>
      <c r="H32" t="n">
        <v>10000</v>
      </c>
      <c r="I32" t="inlineStr">
        <is>
          <t>MH-DC-001-CBL-0007</t>
        </is>
      </c>
      <c r="J32" t="inlineStr">
        <is>
          <t>Green</t>
        </is>
      </c>
      <c r="K32" t="inlineStr">
        <is>
          <t>ODF-3/P22</t>
        </is>
      </c>
      <c r="L32" t="inlineStr">
        <is>
          <t>ODF-4/P23</t>
        </is>
      </c>
    </row>
    <row r="33">
      <c r="A33" t="inlineStr">
        <is>
          <t>LNK-00032</t>
        </is>
      </c>
      <c r="B33" t="inlineStr">
        <is>
          <t>MH-DC-001-AGG-R01</t>
        </is>
      </c>
      <c r="C33" t="inlineStr">
        <is>
          <t>et-0/1/0</t>
        </is>
      </c>
      <c r="D33" t="inlineStr">
        <is>
          <t>MH-DC-001-PE-T4-01</t>
        </is>
      </c>
      <c r="E33" t="inlineStr">
        <is>
          <t>xe-0/0/6</t>
        </is>
      </c>
      <c r="F33" t="inlineStr">
        <is>
          <t>Uplink</t>
        </is>
      </c>
      <c r="G33" t="inlineStr">
        <is>
          <t>OSPF</t>
        </is>
      </c>
      <c r="H33" t="n">
        <v>10000</v>
      </c>
    </row>
    <row r="34">
      <c r="A34" t="inlineStr">
        <is>
          <t>LNK-00033</t>
        </is>
      </c>
      <c r="B34" t="inlineStr">
        <is>
          <t>MH-DC-001-AGG-R01</t>
        </is>
      </c>
      <c r="C34" t="inlineStr">
        <is>
          <t>et-0/1/0</t>
        </is>
      </c>
      <c r="D34" t="inlineStr">
        <is>
          <t>MH-DC-001-PE-T4-01</t>
        </is>
      </c>
      <c r="E34" t="inlineStr">
        <is>
          <t>xe-0/0/6</t>
        </is>
      </c>
      <c r="F34" t="inlineStr">
        <is>
          <t>Uplink</t>
        </is>
      </c>
      <c r="G34" t="inlineStr">
        <is>
          <t>ISIS</t>
        </is>
      </c>
      <c r="H34" t="n">
        <v>10000</v>
      </c>
    </row>
    <row r="35">
      <c r="A35" t="inlineStr">
        <is>
          <t>LNK-00034</t>
        </is>
      </c>
      <c r="B35" t="inlineStr">
        <is>
          <t>MH-DC-001-AGG-R01</t>
        </is>
      </c>
      <c r="C35" t="inlineStr">
        <is>
          <t>et-0/1/1</t>
        </is>
      </c>
      <c r="D35" t="inlineStr">
        <is>
          <t>MH-DC-001-PE-T4-02</t>
        </is>
      </c>
      <c r="E35" t="inlineStr">
        <is>
          <t>xe-0/0/6</t>
        </is>
      </c>
      <c r="F35" t="inlineStr">
        <is>
          <t>Uplink</t>
        </is>
      </c>
      <c r="G35" t="inlineStr">
        <is>
          <t>LLDP</t>
        </is>
      </c>
      <c r="H35" t="n">
        <v>10000</v>
      </c>
      <c r="I35" t="inlineStr">
        <is>
          <t>MH-DC-001-CBL-0008</t>
        </is>
      </c>
      <c r="J35" t="inlineStr">
        <is>
          <t>Green</t>
        </is>
      </c>
      <c r="K35" t="inlineStr">
        <is>
          <t>ODF-2/P2</t>
        </is>
      </c>
      <c r="L35" t="inlineStr">
        <is>
          <t>ODF-2/P12</t>
        </is>
      </c>
    </row>
    <row r="36">
      <c r="A36" t="inlineStr">
        <is>
          <t>LNK-00035</t>
        </is>
      </c>
      <c r="B36" t="inlineStr">
        <is>
          <t>MH-DC-001-AGG-R01</t>
        </is>
      </c>
      <c r="C36" t="inlineStr">
        <is>
          <t>et-0/1/1</t>
        </is>
      </c>
      <c r="D36" t="inlineStr">
        <is>
          <t>MH-DC-001-PE-T4-02</t>
        </is>
      </c>
      <c r="E36" t="inlineStr">
        <is>
          <t>xe-0/0/6</t>
        </is>
      </c>
      <c r="F36" t="inlineStr">
        <is>
          <t>Uplink</t>
        </is>
      </c>
      <c r="G36" t="inlineStr">
        <is>
          <t>OSPF</t>
        </is>
      </c>
      <c r="H36" t="n">
        <v>10000</v>
      </c>
    </row>
    <row r="37">
      <c r="A37" t="inlineStr">
        <is>
          <t>LNK-00036</t>
        </is>
      </c>
      <c r="B37" t="inlineStr">
        <is>
          <t>MH-DC-001-AGG-R01</t>
        </is>
      </c>
      <c r="C37" t="inlineStr">
        <is>
          <t>et-0/1/1</t>
        </is>
      </c>
      <c r="D37" t="inlineStr">
        <is>
          <t>MH-DC-001-PE-T4-02</t>
        </is>
      </c>
      <c r="E37" t="inlineStr">
        <is>
          <t>xe-0/0/6</t>
        </is>
      </c>
      <c r="F37" t="inlineStr">
        <is>
          <t>Uplink</t>
        </is>
      </c>
      <c r="G37" t="inlineStr">
        <is>
          <t>ISIS</t>
        </is>
      </c>
      <c r="H37" t="n">
        <v>10000</v>
      </c>
    </row>
    <row r="38">
      <c r="A38" t="inlineStr">
        <is>
          <t>LNK-00037</t>
        </is>
      </c>
      <c r="B38" t="inlineStr">
        <is>
          <t>MH-DC-001-AGG-R02</t>
        </is>
      </c>
      <c r="C38" t="inlineStr">
        <is>
          <t>et-0/1/0</t>
        </is>
      </c>
      <c r="D38" t="inlineStr">
        <is>
          <t>MH-DC-001-PE-T4-02</t>
        </is>
      </c>
      <c r="E38" t="inlineStr">
        <is>
          <t>xe-0/0/7</t>
        </is>
      </c>
      <c r="F38" t="inlineStr">
        <is>
          <t>Uplink</t>
        </is>
      </c>
      <c r="G38" t="inlineStr">
        <is>
          <t>LLDP</t>
        </is>
      </c>
      <c r="H38" t="n">
        <v>10000</v>
      </c>
      <c r="I38" t="inlineStr">
        <is>
          <t>MH-DC-001-CBL-0009</t>
        </is>
      </c>
      <c r="J38" t="inlineStr">
        <is>
          <t>Yellow</t>
        </is>
      </c>
      <c r="K38" t="inlineStr">
        <is>
          <t>ODF-1/P13</t>
        </is>
      </c>
      <c r="L38" t="inlineStr">
        <is>
          <t>ODF-1/P16</t>
        </is>
      </c>
    </row>
    <row r="39">
      <c r="A39" t="inlineStr">
        <is>
          <t>LNK-00038</t>
        </is>
      </c>
      <c r="B39" t="inlineStr">
        <is>
          <t>MH-DC-001-AGG-R02</t>
        </is>
      </c>
      <c r="C39" t="inlineStr">
        <is>
          <t>et-0/1/0</t>
        </is>
      </c>
      <c r="D39" t="inlineStr">
        <is>
          <t>MH-DC-001-PE-T4-02</t>
        </is>
      </c>
      <c r="E39" t="inlineStr">
        <is>
          <t>xe-0/0/7</t>
        </is>
      </c>
      <c r="F39" t="inlineStr">
        <is>
          <t>Uplink</t>
        </is>
      </c>
      <c r="G39" t="inlineStr">
        <is>
          <t>OSPF</t>
        </is>
      </c>
      <c r="H39" t="n">
        <v>10000</v>
      </c>
    </row>
    <row r="40">
      <c r="A40" t="inlineStr">
        <is>
          <t>LNK-00039</t>
        </is>
      </c>
      <c r="B40" t="inlineStr">
        <is>
          <t>MH-DC-001-AGG-R02</t>
        </is>
      </c>
      <c r="C40" t="inlineStr">
        <is>
          <t>et-0/1/0</t>
        </is>
      </c>
      <c r="D40" t="inlineStr">
        <is>
          <t>MH-DC-001-PE-T4-02</t>
        </is>
      </c>
      <c r="E40" t="inlineStr">
        <is>
          <t>xe-0/0/7</t>
        </is>
      </c>
      <c r="F40" t="inlineStr">
        <is>
          <t>Uplink</t>
        </is>
      </c>
      <c r="G40" t="inlineStr">
        <is>
          <t>ISIS</t>
        </is>
      </c>
      <c r="H40" t="n">
        <v>10000</v>
      </c>
    </row>
    <row r="41">
      <c r="A41" t="inlineStr">
        <is>
          <t>LNK-00040</t>
        </is>
      </c>
      <c r="B41" t="inlineStr">
        <is>
          <t>MH-DC-001-AGG-R02</t>
        </is>
      </c>
      <c r="C41" t="inlineStr">
        <is>
          <t>et-0/1/1</t>
        </is>
      </c>
      <c r="D41" t="inlineStr">
        <is>
          <t>MH-DC-001-PE-T4-03</t>
        </is>
      </c>
      <c r="E41" t="inlineStr">
        <is>
          <t>Te0/0/0/6</t>
        </is>
      </c>
      <c r="F41" t="inlineStr">
        <is>
          <t>Uplink</t>
        </is>
      </c>
      <c r="G41" t="inlineStr">
        <is>
          <t>LLDP</t>
        </is>
      </c>
      <c r="H41" t="n">
        <v>10000</v>
      </c>
      <c r="I41" t="inlineStr">
        <is>
          <t>MH-DC-001-CBL-0010</t>
        </is>
      </c>
      <c r="J41" t="inlineStr">
        <is>
          <t>Yellow</t>
        </is>
      </c>
      <c r="K41" t="inlineStr">
        <is>
          <t>ODF-2/P16</t>
        </is>
      </c>
      <c r="L41" t="inlineStr">
        <is>
          <t>ODF-1/P3</t>
        </is>
      </c>
    </row>
    <row r="42">
      <c r="A42" t="inlineStr">
        <is>
          <t>LNK-00041</t>
        </is>
      </c>
      <c r="B42" t="inlineStr">
        <is>
          <t>MH-DC-001-AGG-R02</t>
        </is>
      </c>
      <c r="C42" t="inlineStr">
        <is>
          <t>et-0/1/1</t>
        </is>
      </c>
      <c r="D42" t="inlineStr">
        <is>
          <t>MH-DC-001-PE-T4-03</t>
        </is>
      </c>
      <c r="E42" t="inlineStr">
        <is>
          <t>Te0/0/0/6</t>
        </is>
      </c>
      <c r="F42" t="inlineStr">
        <is>
          <t>Uplink</t>
        </is>
      </c>
      <c r="G42" t="inlineStr">
        <is>
          <t>OSPF</t>
        </is>
      </c>
      <c r="H42" t="n">
        <v>10000</v>
      </c>
    </row>
    <row r="43">
      <c r="A43" t="inlineStr">
        <is>
          <t>LNK-00042</t>
        </is>
      </c>
      <c r="B43" t="inlineStr">
        <is>
          <t>MH-DC-001-AGG-R02</t>
        </is>
      </c>
      <c r="C43" t="inlineStr">
        <is>
          <t>et-0/1/1</t>
        </is>
      </c>
      <c r="D43" t="inlineStr">
        <is>
          <t>MH-DC-001-PE-T4-03</t>
        </is>
      </c>
      <c r="E43" t="inlineStr">
        <is>
          <t>Te0/0/0/6</t>
        </is>
      </c>
      <c r="F43" t="inlineStr">
        <is>
          <t>Uplink</t>
        </is>
      </c>
      <c r="G43" t="inlineStr">
        <is>
          <t>ISIS</t>
        </is>
      </c>
      <c r="H43" t="n">
        <v>10000</v>
      </c>
    </row>
    <row r="44">
      <c r="A44" t="inlineStr">
        <is>
          <t>LNK-00043</t>
        </is>
      </c>
      <c r="B44" t="inlineStr">
        <is>
          <t>MH-DC-001-AGG-R03</t>
        </is>
      </c>
      <c r="C44" t="inlineStr">
        <is>
          <t>et-0/1/0</t>
        </is>
      </c>
      <c r="D44" t="inlineStr">
        <is>
          <t>MH-DC-001-PE-T4-03</t>
        </is>
      </c>
      <c r="E44" t="inlineStr">
        <is>
          <t>Te0/0/0/7</t>
        </is>
      </c>
      <c r="F44" t="inlineStr">
        <is>
          <t>Uplink</t>
        </is>
      </c>
      <c r="G44" t="inlineStr">
        <is>
          <t>LLDP</t>
        </is>
      </c>
      <c r="H44" t="n">
        <v>10000</v>
      </c>
      <c r="I44" t="inlineStr">
        <is>
          <t>MH-DC-001-CBL-0011</t>
        </is>
      </c>
      <c r="J44" t="inlineStr">
        <is>
          <t>Orange</t>
        </is>
      </c>
      <c r="K44" t="inlineStr">
        <is>
          <t>ODF-1/P24</t>
        </is>
      </c>
      <c r="L44" t="inlineStr">
        <is>
          <t>ODF-3/P4</t>
        </is>
      </c>
    </row>
    <row r="45">
      <c r="A45" t="inlineStr">
        <is>
          <t>LNK-00044</t>
        </is>
      </c>
      <c r="B45" t="inlineStr">
        <is>
          <t>MH-DC-001-AGG-R03</t>
        </is>
      </c>
      <c r="C45" t="inlineStr">
        <is>
          <t>et-0/1/0</t>
        </is>
      </c>
      <c r="D45" t="inlineStr">
        <is>
          <t>MH-DC-001-PE-T4-03</t>
        </is>
      </c>
      <c r="E45" t="inlineStr">
        <is>
          <t>Te0/0/0/7</t>
        </is>
      </c>
      <c r="F45" t="inlineStr">
        <is>
          <t>Uplink</t>
        </is>
      </c>
      <c r="G45" t="inlineStr">
        <is>
          <t>OSPF</t>
        </is>
      </c>
      <c r="H45" t="n">
        <v>10000</v>
      </c>
    </row>
    <row r="46">
      <c r="A46" t="inlineStr">
        <is>
          <t>LNK-00045</t>
        </is>
      </c>
      <c r="B46" t="inlineStr">
        <is>
          <t>MH-DC-001-AGG-R03</t>
        </is>
      </c>
      <c r="C46" t="inlineStr">
        <is>
          <t>et-0/1/0</t>
        </is>
      </c>
      <c r="D46" t="inlineStr">
        <is>
          <t>MH-DC-001-PE-T4-03</t>
        </is>
      </c>
      <c r="E46" t="inlineStr">
        <is>
          <t>Te0/0/0/7</t>
        </is>
      </c>
      <c r="F46" t="inlineStr">
        <is>
          <t>Uplink</t>
        </is>
      </c>
      <c r="G46" t="inlineStr">
        <is>
          <t>ISIS</t>
        </is>
      </c>
      <c r="H46" t="n">
        <v>10000</v>
      </c>
    </row>
    <row r="47">
      <c r="A47" t="inlineStr">
        <is>
          <t>LNK-00046</t>
        </is>
      </c>
      <c r="B47" t="inlineStr">
        <is>
          <t>MH-DC-001-AGG-R03</t>
        </is>
      </c>
      <c r="C47" t="inlineStr">
        <is>
          <t>et-0/1/1</t>
        </is>
      </c>
      <c r="D47" t="inlineStr">
        <is>
          <t>MH-DC-001-PE-T4-04</t>
        </is>
      </c>
      <c r="E47" t="inlineStr">
        <is>
          <t>Te0/0/0/6</t>
        </is>
      </c>
      <c r="F47" t="inlineStr">
        <is>
          <t>Uplink</t>
        </is>
      </c>
      <c r="G47" t="inlineStr">
        <is>
          <t>LLDP</t>
        </is>
      </c>
      <c r="H47" t="n">
        <v>10000</v>
      </c>
      <c r="I47" t="inlineStr">
        <is>
          <t>MH-DC-001-CBL-0012</t>
        </is>
      </c>
      <c r="J47" t="inlineStr">
        <is>
          <t>Red</t>
        </is>
      </c>
      <c r="K47" t="inlineStr">
        <is>
          <t>ODF-4/P5</t>
        </is>
      </c>
      <c r="L47" t="inlineStr">
        <is>
          <t>ODF-2/P1</t>
        </is>
      </c>
    </row>
    <row r="48">
      <c r="A48" t="inlineStr">
        <is>
          <t>LNK-00047</t>
        </is>
      </c>
      <c r="B48" t="inlineStr">
        <is>
          <t>MH-DC-001-AGG-R03</t>
        </is>
      </c>
      <c r="C48" t="inlineStr">
        <is>
          <t>et-0/1/1</t>
        </is>
      </c>
      <c r="D48" t="inlineStr">
        <is>
          <t>MH-DC-001-PE-T4-04</t>
        </is>
      </c>
      <c r="E48" t="inlineStr">
        <is>
          <t>Te0/0/0/6</t>
        </is>
      </c>
      <c r="F48" t="inlineStr">
        <is>
          <t>Uplink</t>
        </is>
      </c>
      <c r="G48" t="inlineStr">
        <is>
          <t>OSPF</t>
        </is>
      </c>
      <c r="H48" t="n">
        <v>10000</v>
      </c>
    </row>
    <row r="49">
      <c r="A49" t="inlineStr">
        <is>
          <t>LNK-00048</t>
        </is>
      </c>
      <c r="B49" t="inlineStr">
        <is>
          <t>MH-DC-001-AGG-R03</t>
        </is>
      </c>
      <c r="C49" t="inlineStr">
        <is>
          <t>et-0/1/1</t>
        </is>
      </c>
      <c r="D49" t="inlineStr">
        <is>
          <t>MH-DC-001-PE-T4-04</t>
        </is>
      </c>
      <c r="E49" t="inlineStr">
        <is>
          <t>Te0/0/0/6</t>
        </is>
      </c>
      <c r="F49" t="inlineStr">
        <is>
          <t>Uplink</t>
        </is>
      </c>
      <c r="G49" t="inlineStr">
        <is>
          <t>ISIS</t>
        </is>
      </c>
      <c r="H49" t="n">
        <v>10000</v>
      </c>
    </row>
    <row r="50">
      <c r="A50" t="inlineStr">
        <is>
          <t>LNK-00049</t>
        </is>
      </c>
      <c r="B50" t="inlineStr">
        <is>
          <t>MH-DC-001-OLA-01</t>
        </is>
      </c>
      <c r="C50" t="inlineStr">
        <is>
          <t>1/2/c1</t>
        </is>
      </c>
      <c r="D50" t="inlineStr">
        <is>
          <t>MH-DC-001-AGG-R01</t>
        </is>
      </c>
      <c r="E50" t="inlineStr">
        <is>
          <t>et-0/1/2</t>
        </is>
      </c>
      <c r="F50" t="inlineStr">
        <is>
          <t>Uplink</t>
        </is>
      </c>
      <c r="G50" t="inlineStr">
        <is>
          <t>LLDP</t>
        </is>
      </c>
      <c r="H50" t="n">
        <v>100000</v>
      </c>
      <c r="I50" t="inlineStr">
        <is>
          <t>MH-DC-001-CBL-0013</t>
        </is>
      </c>
      <c r="J50" t="inlineStr">
        <is>
          <t>Slate</t>
        </is>
      </c>
      <c r="K50" t="inlineStr">
        <is>
          <t>ODF-2/P12</t>
        </is>
      </c>
      <c r="L50" t="inlineStr">
        <is>
          <t>ODF-2/P11</t>
        </is>
      </c>
    </row>
    <row r="51">
      <c r="A51" t="inlineStr">
        <is>
          <t>LNK-00050</t>
        </is>
      </c>
      <c r="B51" t="inlineStr">
        <is>
          <t>MH-DC-001-OLA-02</t>
        </is>
      </c>
      <c r="C51" t="inlineStr">
        <is>
          <t>1/2/c1</t>
        </is>
      </c>
      <c r="D51" t="inlineStr">
        <is>
          <t>MH-DC-001-AGG-R02</t>
        </is>
      </c>
      <c r="E51" t="inlineStr">
        <is>
          <t>et-0/1/2</t>
        </is>
      </c>
      <c r="F51" t="inlineStr">
        <is>
          <t>Uplink</t>
        </is>
      </c>
      <c r="G51" t="inlineStr">
        <is>
          <t>LLDP</t>
        </is>
      </c>
      <c r="H51" t="n">
        <v>100000</v>
      </c>
      <c r="I51" t="inlineStr">
        <is>
          <t>MH-DC-001-CBL-0014</t>
        </is>
      </c>
      <c r="J51" t="inlineStr">
        <is>
          <t>Aqua</t>
        </is>
      </c>
      <c r="K51" t="inlineStr">
        <is>
          <t>ODF-2/P20</t>
        </is>
      </c>
      <c r="L51" t="inlineStr">
        <is>
          <t>ODF-4/P23</t>
        </is>
      </c>
    </row>
    <row r="52">
      <c r="A52" t="inlineStr">
        <is>
          <t>LNK-00051</t>
        </is>
      </c>
      <c r="B52" t="inlineStr">
        <is>
          <t>MH-DC-001-FW-01</t>
        </is>
      </c>
      <c r="C52" t="inlineStr">
        <is>
          <t>port1</t>
        </is>
      </c>
      <c r="D52" t="inlineStr">
        <is>
          <t>MH-DC-001-AGG-R01</t>
        </is>
      </c>
      <c r="E52" t="inlineStr">
        <is>
          <t>xe-0/0/0</t>
        </is>
      </c>
      <c r="F52" t="inlineStr">
        <is>
          <t>Uplink</t>
        </is>
      </c>
      <c r="G52" t="inlineStr">
        <is>
          <t>LLDP</t>
        </is>
      </c>
      <c r="H52" t="n">
        <v>10000</v>
      </c>
      <c r="I52" t="inlineStr">
        <is>
          <t>MH-DC-001-CBL-0015</t>
        </is>
      </c>
      <c r="J52" t="inlineStr">
        <is>
          <t>Green</t>
        </is>
      </c>
      <c r="K52" t="inlineStr">
        <is>
          <t>ODF-3/P2</t>
        </is>
      </c>
      <c r="L52" t="inlineStr">
        <is>
          <t>ODF-2/P15</t>
        </is>
      </c>
    </row>
    <row r="53">
      <c r="A53" t="inlineStr">
        <is>
          <t>LNK-00052</t>
        </is>
      </c>
      <c r="B53" t="inlineStr">
        <is>
          <t>MH-DC-001-FW-01</t>
        </is>
      </c>
      <c r="C53" t="inlineStr">
        <is>
          <t>port2</t>
        </is>
      </c>
      <c r="D53" t="inlineStr">
        <is>
          <t>MH-DC-001-AGG-R02</t>
        </is>
      </c>
      <c r="E53" t="inlineStr">
        <is>
          <t>xe-0/0/0</t>
        </is>
      </c>
      <c r="F53" t="inlineStr">
        <is>
          <t>Uplink</t>
        </is>
      </c>
      <c r="G53" t="inlineStr">
        <is>
          <t>LLDP</t>
        </is>
      </c>
      <c r="H53" t="n">
        <v>10000</v>
      </c>
      <c r="I53" t="inlineStr">
        <is>
          <t>MH-DC-001-CBL-0016</t>
        </is>
      </c>
      <c r="J53" t="inlineStr">
        <is>
          <t>Yellow</t>
        </is>
      </c>
      <c r="K53" t="inlineStr">
        <is>
          <t>ODF-4/P6</t>
        </is>
      </c>
      <c r="L53" t="inlineStr">
        <is>
          <t>ODF-1/P13</t>
        </is>
      </c>
    </row>
    <row r="54">
      <c r="A54" t="inlineStr">
        <is>
          <t>LNK-00053</t>
        </is>
      </c>
      <c r="B54" t="inlineStr">
        <is>
          <t>MH-DC-001-FW-02</t>
        </is>
      </c>
      <c r="C54" t="inlineStr">
        <is>
          <t>port1</t>
        </is>
      </c>
      <c r="D54" t="inlineStr">
        <is>
          <t>MH-DC-001-AGG-R02</t>
        </is>
      </c>
      <c r="E54" t="inlineStr">
        <is>
          <t>xe-0/0/1</t>
        </is>
      </c>
      <c r="F54" t="inlineStr">
        <is>
          <t>Uplink</t>
        </is>
      </c>
      <c r="G54" t="inlineStr">
        <is>
          <t>LLDP</t>
        </is>
      </c>
      <c r="H54" t="n">
        <v>10000</v>
      </c>
      <c r="I54" t="inlineStr">
        <is>
          <t>MH-DC-001-CBL-0017</t>
        </is>
      </c>
      <c r="J54" t="inlineStr">
        <is>
          <t>Green</t>
        </is>
      </c>
      <c r="K54" t="inlineStr">
        <is>
          <t>ODF-1/P14</t>
        </is>
      </c>
      <c r="L54" t="inlineStr">
        <is>
          <t>ODF-3/P8</t>
        </is>
      </c>
    </row>
    <row r="55">
      <c r="A55" t="inlineStr">
        <is>
          <t>LNK-00054</t>
        </is>
      </c>
      <c r="B55" t="inlineStr">
        <is>
          <t>MH-DC-001-FW-02</t>
        </is>
      </c>
      <c r="C55" t="inlineStr">
        <is>
          <t>port2</t>
        </is>
      </c>
      <c r="D55" t="inlineStr">
        <is>
          <t>MH-DC-001-AGG-R03</t>
        </is>
      </c>
      <c r="E55" t="inlineStr">
        <is>
          <t>xe-0/0/0</t>
        </is>
      </c>
      <c r="F55" t="inlineStr">
        <is>
          <t>Uplink</t>
        </is>
      </c>
      <c r="G55" t="inlineStr">
        <is>
          <t>LLDP</t>
        </is>
      </c>
      <c r="H55" t="n">
        <v>10000</v>
      </c>
      <c r="I55" t="inlineStr">
        <is>
          <t>MH-DC-001-CBL-0018</t>
        </is>
      </c>
      <c r="J55" t="inlineStr">
        <is>
          <t>Slate</t>
        </is>
      </c>
      <c r="K55" t="inlineStr">
        <is>
          <t>ODF-1/P16</t>
        </is>
      </c>
      <c r="L55" t="inlineStr">
        <is>
          <t>ODF-2/P15</t>
        </is>
      </c>
    </row>
    <row r="56">
      <c r="A56" t="inlineStr">
        <is>
          <t>LNK-00055</t>
        </is>
      </c>
      <c r="B56" t="inlineStr">
        <is>
          <t>MH-DC-001-MMR-SW-01</t>
        </is>
      </c>
      <c r="C56" t="inlineStr">
        <is>
          <t>et-0/1/0</t>
        </is>
      </c>
      <c r="D56" t="inlineStr">
        <is>
          <t>MH-DC-001-AGG-R01</t>
        </is>
      </c>
      <c r="E56" t="inlineStr">
        <is>
          <t>xe-0/0/1</t>
        </is>
      </c>
      <c r="F56" t="inlineStr">
        <is>
          <t>Uplink</t>
        </is>
      </c>
      <c r="G56" t="inlineStr">
        <is>
          <t>LLDP</t>
        </is>
      </c>
      <c r="H56" t="n">
        <v>10000</v>
      </c>
      <c r="I56" t="inlineStr">
        <is>
          <t>MH-DC-001-CBL-0019</t>
        </is>
      </c>
      <c r="J56" t="inlineStr">
        <is>
          <t>Rose</t>
        </is>
      </c>
      <c r="K56" t="inlineStr">
        <is>
          <t>ODF-2/P22</t>
        </is>
      </c>
      <c r="L56" t="inlineStr">
        <is>
          <t>ODF-4/P7</t>
        </is>
      </c>
    </row>
    <row r="57">
      <c r="A57" t="inlineStr">
        <is>
          <t>LNK-00056</t>
        </is>
      </c>
      <c r="B57" t="inlineStr">
        <is>
          <t>MH-DC-001-MMR-SW-01</t>
        </is>
      </c>
      <c r="C57" t="inlineStr">
        <is>
          <t>et-0/1/1</t>
        </is>
      </c>
      <c r="D57" t="inlineStr">
        <is>
          <t>MH-DC-001-AGG-R01</t>
        </is>
      </c>
      <c r="E57" t="inlineStr">
        <is>
          <t>xe-0/0/2</t>
        </is>
      </c>
      <c r="F57" t="inlineStr">
        <is>
          <t>Uplink</t>
        </is>
      </c>
      <c r="G57" t="inlineStr">
        <is>
          <t>LLDP</t>
        </is>
      </c>
      <c r="H57" t="n">
        <v>10000</v>
      </c>
      <c r="I57" t="inlineStr">
        <is>
          <t>MH-DC-001-CBL-0020</t>
        </is>
      </c>
      <c r="J57" t="inlineStr">
        <is>
          <t>Blue</t>
        </is>
      </c>
      <c r="K57" t="inlineStr">
        <is>
          <t>ODF-3/P19</t>
        </is>
      </c>
      <c r="L57" t="inlineStr">
        <is>
          <t>ODF-4/P21</t>
        </is>
      </c>
    </row>
    <row r="58">
      <c r="A58" t="inlineStr">
        <is>
          <t>LNK-00057</t>
        </is>
      </c>
      <c r="B58" t="inlineStr">
        <is>
          <t>MH-DC-001-MMR-SW-02</t>
        </is>
      </c>
      <c r="C58" t="inlineStr">
        <is>
          <t>Hu0/0/1/0</t>
        </is>
      </c>
      <c r="D58" t="inlineStr">
        <is>
          <t>MH-DC-001-AGG-R02</t>
        </is>
      </c>
      <c r="E58" t="inlineStr">
        <is>
          <t>xe-0/0/2</t>
        </is>
      </c>
      <c r="F58" t="inlineStr">
        <is>
          <t>Uplink</t>
        </is>
      </c>
      <c r="G58" t="inlineStr">
        <is>
          <t>LLDP</t>
        </is>
      </c>
      <c r="H58" t="n">
        <v>10000</v>
      </c>
      <c r="I58" t="inlineStr">
        <is>
          <t>MH-DC-001-CBL-0021</t>
        </is>
      </c>
      <c r="J58" t="inlineStr">
        <is>
          <t>Black</t>
        </is>
      </c>
      <c r="K58" t="inlineStr">
        <is>
          <t>ODF-3/P17</t>
        </is>
      </c>
      <c r="L58" t="inlineStr">
        <is>
          <t>ODF-4/P13</t>
        </is>
      </c>
    </row>
    <row r="59">
      <c r="A59" t="inlineStr">
        <is>
          <t>LNK-00058</t>
        </is>
      </c>
      <c r="B59" t="inlineStr">
        <is>
          <t>MH-DC-001-MMR-SW-02</t>
        </is>
      </c>
      <c r="C59" t="inlineStr">
        <is>
          <t>Hu0/0/1/1</t>
        </is>
      </c>
      <c r="D59" t="inlineStr">
        <is>
          <t>MH-DC-001-AGG-R02</t>
        </is>
      </c>
      <c r="E59" t="inlineStr">
        <is>
          <t>xe-0/0/3</t>
        </is>
      </c>
      <c r="F59" t="inlineStr">
        <is>
          <t>Uplink</t>
        </is>
      </c>
      <c r="G59" t="inlineStr">
        <is>
          <t>LLDP</t>
        </is>
      </c>
      <c r="H59" t="n">
        <v>10000</v>
      </c>
      <c r="I59" t="inlineStr">
        <is>
          <t>MH-DC-001-CBL-0022</t>
        </is>
      </c>
      <c r="J59" t="inlineStr">
        <is>
          <t>Violet</t>
        </is>
      </c>
      <c r="K59" t="inlineStr">
        <is>
          <t>ODF-1/P15</t>
        </is>
      </c>
      <c r="L59" t="inlineStr">
        <is>
          <t>ODF-1/P23</t>
        </is>
      </c>
    </row>
    <row r="60">
      <c r="A60" t="inlineStr">
        <is>
          <t>LNK-00059</t>
        </is>
      </c>
      <c r="B60" t="inlineStr">
        <is>
          <t>MH-DC-001-MMR-SW-03</t>
        </is>
      </c>
      <c r="C60" t="inlineStr">
        <is>
          <t>Hu0/0/1/0</t>
        </is>
      </c>
      <c r="D60" t="inlineStr">
        <is>
          <t>MH-DC-001-AGG-R03</t>
        </is>
      </c>
      <c r="E60" t="inlineStr">
        <is>
          <t>xe-0/0/1</t>
        </is>
      </c>
      <c r="F60" t="inlineStr">
        <is>
          <t>Uplink</t>
        </is>
      </c>
      <c r="G60" t="inlineStr">
        <is>
          <t>LLDP</t>
        </is>
      </c>
      <c r="H60" t="n">
        <v>10000</v>
      </c>
      <c r="I60" t="inlineStr">
        <is>
          <t>MH-DC-001-CBL-0023</t>
        </is>
      </c>
      <c r="J60" t="inlineStr">
        <is>
          <t>Green</t>
        </is>
      </c>
      <c r="K60" t="inlineStr">
        <is>
          <t>ODF-3/P12</t>
        </is>
      </c>
      <c r="L60" t="inlineStr">
        <is>
          <t>ODF-2/P6</t>
        </is>
      </c>
    </row>
    <row r="61">
      <c r="A61" t="inlineStr">
        <is>
          <t>LNK-00060</t>
        </is>
      </c>
      <c r="B61" t="inlineStr">
        <is>
          <t>MH-DC-001-MMR-SW-03</t>
        </is>
      </c>
      <c r="C61" t="inlineStr">
        <is>
          <t>Hu0/0/1/1</t>
        </is>
      </c>
      <c r="D61" t="inlineStr">
        <is>
          <t>MH-DC-001-AGG-R03</t>
        </is>
      </c>
      <c r="E61" t="inlineStr">
        <is>
          <t>xe-0/0/2</t>
        </is>
      </c>
      <c r="F61" t="inlineStr">
        <is>
          <t>Uplink</t>
        </is>
      </c>
      <c r="G61" t="inlineStr">
        <is>
          <t>LLDP</t>
        </is>
      </c>
      <c r="H61" t="n">
        <v>10000</v>
      </c>
      <c r="I61" t="inlineStr">
        <is>
          <t>MH-DC-001-CBL-0024</t>
        </is>
      </c>
      <c r="J61" t="inlineStr">
        <is>
          <t>White</t>
        </is>
      </c>
      <c r="K61" t="inlineStr">
        <is>
          <t>ODF-4/P4</t>
        </is>
      </c>
      <c r="L61" t="inlineStr">
        <is>
          <t>ODF-4/P21</t>
        </is>
      </c>
    </row>
    <row r="62">
      <c r="A62" t="inlineStr">
        <is>
          <t>LNK-00061</t>
        </is>
      </c>
      <c r="B62" t="inlineStr">
        <is>
          <t>MH-DC-001-MMR-SW-04</t>
        </is>
      </c>
      <c r="C62" t="inlineStr">
        <is>
          <t>Hu0/0/1/0</t>
        </is>
      </c>
      <c r="D62" t="inlineStr">
        <is>
          <t>MH-DC-001-AGG-R01</t>
        </is>
      </c>
      <c r="E62" t="inlineStr">
        <is>
          <t>xe-0/0/3</t>
        </is>
      </c>
      <c r="F62" t="inlineStr">
        <is>
          <t>Uplink</t>
        </is>
      </c>
      <c r="G62" t="inlineStr">
        <is>
          <t>LLDP</t>
        </is>
      </c>
      <c r="H62" t="n">
        <v>10000</v>
      </c>
      <c r="I62" t="inlineStr">
        <is>
          <t>MH-DC-001-CBL-0025</t>
        </is>
      </c>
      <c r="J62" t="inlineStr">
        <is>
          <t>White</t>
        </is>
      </c>
      <c r="K62" t="inlineStr">
        <is>
          <t>ODF-1/P17</t>
        </is>
      </c>
      <c r="L62" t="inlineStr">
        <is>
          <t>ODF-1/P21</t>
        </is>
      </c>
    </row>
    <row r="63">
      <c r="A63" t="inlineStr">
        <is>
          <t>LNK-00062</t>
        </is>
      </c>
      <c r="B63" t="inlineStr">
        <is>
          <t>MH-DC-001-MMR-SW-04</t>
        </is>
      </c>
      <c r="C63" t="inlineStr">
        <is>
          <t>Hu0/0/1/1</t>
        </is>
      </c>
      <c r="D63" t="inlineStr">
        <is>
          <t>MH-DC-001-AGG-R01</t>
        </is>
      </c>
      <c r="E63" t="inlineStr">
        <is>
          <t>xe-0/0/4</t>
        </is>
      </c>
      <c r="F63" t="inlineStr">
        <is>
          <t>Uplink</t>
        </is>
      </c>
      <c r="G63" t="inlineStr">
        <is>
          <t>LLDP</t>
        </is>
      </c>
      <c r="H63" t="n">
        <v>10000</v>
      </c>
      <c r="I63" t="inlineStr">
        <is>
          <t>MH-DC-001-CBL-0026</t>
        </is>
      </c>
      <c r="J63" t="inlineStr">
        <is>
          <t>Rose</t>
        </is>
      </c>
      <c r="K63" t="inlineStr">
        <is>
          <t>ODF-4/P8</t>
        </is>
      </c>
      <c r="L63" t="inlineStr">
        <is>
          <t>ODF-4/P10</t>
        </is>
      </c>
    </row>
    <row r="64">
      <c r="A64" t="inlineStr">
        <is>
          <t>LNK-00063</t>
        </is>
      </c>
      <c r="B64" t="inlineStr">
        <is>
          <t>MH-DC-001-MMR-SW-05</t>
        </is>
      </c>
      <c r="C64" t="inlineStr">
        <is>
          <t>et-0/1/0</t>
        </is>
      </c>
      <c r="D64" t="inlineStr">
        <is>
          <t>MH-DC-001-AGG-R02</t>
        </is>
      </c>
      <c r="E64" t="inlineStr">
        <is>
          <t>xe-0/0/4</t>
        </is>
      </c>
      <c r="F64" t="inlineStr">
        <is>
          <t>Uplink</t>
        </is>
      </c>
      <c r="G64" t="inlineStr">
        <is>
          <t>LLDP</t>
        </is>
      </c>
      <c r="H64" t="n">
        <v>10000</v>
      </c>
      <c r="I64" t="inlineStr">
        <is>
          <t>MH-DC-001-CBL-0027</t>
        </is>
      </c>
      <c r="J64" t="inlineStr">
        <is>
          <t>Orange</t>
        </is>
      </c>
      <c r="K64" t="inlineStr">
        <is>
          <t>ODF-3/P17</t>
        </is>
      </c>
      <c r="L64" t="inlineStr">
        <is>
          <t>ODF-3/P17</t>
        </is>
      </c>
    </row>
    <row r="65">
      <c r="A65" t="inlineStr">
        <is>
          <t>LNK-00064</t>
        </is>
      </c>
      <c r="B65" t="inlineStr">
        <is>
          <t>MH-DC-001-MMR-SW-05</t>
        </is>
      </c>
      <c r="C65" t="inlineStr">
        <is>
          <t>et-0/1/1</t>
        </is>
      </c>
      <c r="D65" t="inlineStr">
        <is>
          <t>MH-DC-001-AGG-R02</t>
        </is>
      </c>
      <c r="E65" t="inlineStr">
        <is>
          <t>xe-0/0/5</t>
        </is>
      </c>
      <c r="F65" t="inlineStr">
        <is>
          <t>Uplink</t>
        </is>
      </c>
      <c r="G65" t="inlineStr">
        <is>
          <t>LLDP</t>
        </is>
      </c>
      <c r="H65" t="n">
        <v>10000</v>
      </c>
      <c r="I65" t="inlineStr">
        <is>
          <t>MH-DC-001-CBL-0028</t>
        </is>
      </c>
      <c r="J65" t="inlineStr">
        <is>
          <t>Yellow</t>
        </is>
      </c>
      <c r="K65" t="inlineStr">
        <is>
          <t>ODF-4/P17</t>
        </is>
      </c>
      <c r="L65" t="inlineStr">
        <is>
          <t>ODF-3/P17</t>
        </is>
      </c>
    </row>
    <row r="66">
      <c r="A66" t="inlineStr">
        <is>
          <t>LNK-00065</t>
        </is>
      </c>
      <c r="B66" t="inlineStr">
        <is>
          <t>MH-DC-001-MMR-SW-06</t>
        </is>
      </c>
      <c r="C66" t="inlineStr">
        <is>
          <t>Hu0/0/1/0</t>
        </is>
      </c>
      <c r="D66" t="inlineStr">
        <is>
          <t>MH-DC-001-AGG-R03</t>
        </is>
      </c>
      <c r="E66" t="inlineStr">
        <is>
          <t>xe-0/0/3</t>
        </is>
      </c>
      <c r="F66" t="inlineStr">
        <is>
          <t>Uplink</t>
        </is>
      </c>
      <c r="G66" t="inlineStr">
        <is>
          <t>LLDP</t>
        </is>
      </c>
      <c r="H66" t="n">
        <v>10000</v>
      </c>
      <c r="I66" t="inlineStr">
        <is>
          <t>MH-DC-001-CBL-0029</t>
        </is>
      </c>
      <c r="J66" t="inlineStr">
        <is>
          <t>White</t>
        </is>
      </c>
      <c r="K66" t="inlineStr">
        <is>
          <t>ODF-3/P15</t>
        </is>
      </c>
      <c r="L66" t="inlineStr">
        <is>
          <t>ODF-4/P13</t>
        </is>
      </c>
    </row>
    <row r="67">
      <c r="A67" t="inlineStr">
        <is>
          <t>LNK-00066</t>
        </is>
      </c>
      <c r="B67" t="inlineStr">
        <is>
          <t>MH-DC-001-MMR-SW-06</t>
        </is>
      </c>
      <c r="C67" t="inlineStr">
        <is>
          <t>Hu0/0/1/1</t>
        </is>
      </c>
      <c r="D67" t="inlineStr">
        <is>
          <t>MH-DC-001-AGG-R03</t>
        </is>
      </c>
      <c r="E67" t="inlineStr">
        <is>
          <t>xe-0/0/4</t>
        </is>
      </c>
      <c r="F67" t="inlineStr">
        <is>
          <t>Uplink</t>
        </is>
      </c>
      <c r="G67" t="inlineStr">
        <is>
          <t>LLDP</t>
        </is>
      </c>
      <c r="H67" t="n">
        <v>10000</v>
      </c>
      <c r="I67" t="inlineStr">
        <is>
          <t>MH-DC-001-CBL-0030</t>
        </is>
      </c>
      <c r="J67" t="inlineStr">
        <is>
          <t>Rose</t>
        </is>
      </c>
      <c r="K67" t="inlineStr">
        <is>
          <t>ODF-4/P16</t>
        </is>
      </c>
      <c r="L67" t="inlineStr">
        <is>
          <t>ODF-3/P5</t>
        </is>
      </c>
    </row>
    <row r="68">
      <c r="A68" t="inlineStr">
        <is>
          <t>LNK-00067</t>
        </is>
      </c>
      <c r="B68" t="inlineStr">
        <is>
          <t>MH-DC-001-MMR-SW-07</t>
        </is>
      </c>
      <c r="C68" t="inlineStr">
        <is>
          <t>Hu0/0/1/0</t>
        </is>
      </c>
      <c r="D68" t="inlineStr">
        <is>
          <t>MH-DC-001-AGG-R01</t>
        </is>
      </c>
      <c r="E68" t="inlineStr">
        <is>
          <t>xe-0/0/5</t>
        </is>
      </c>
      <c r="F68" t="inlineStr">
        <is>
          <t>Uplink</t>
        </is>
      </c>
      <c r="G68" t="inlineStr">
        <is>
          <t>LLDP</t>
        </is>
      </c>
      <c r="H68" t="n">
        <v>10000</v>
      </c>
      <c r="I68" t="inlineStr">
        <is>
          <t>MH-DC-001-CBL-0031</t>
        </is>
      </c>
      <c r="J68" t="inlineStr">
        <is>
          <t>Violet</t>
        </is>
      </c>
      <c r="K68" t="inlineStr">
        <is>
          <t>ODF-3/P3</t>
        </is>
      </c>
      <c r="L68" t="inlineStr">
        <is>
          <t>ODF-4/P15</t>
        </is>
      </c>
    </row>
    <row r="69">
      <c r="A69" t="inlineStr">
        <is>
          <t>LNK-00068</t>
        </is>
      </c>
      <c r="B69" t="inlineStr">
        <is>
          <t>MH-DC-001-MMR-SW-07</t>
        </is>
      </c>
      <c r="C69" t="inlineStr">
        <is>
          <t>Hu0/0/1/1</t>
        </is>
      </c>
      <c r="D69" t="inlineStr">
        <is>
          <t>MH-DC-001-AGG-R01</t>
        </is>
      </c>
      <c r="E69" t="inlineStr">
        <is>
          <t>xe-0/0/6</t>
        </is>
      </c>
      <c r="F69" t="inlineStr">
        <is>
          <t>Uplink</t>
        </is>
      </c>
      <c r="G69" t="inlineStr">
        <is>
          <t>LLDP</t>
        </is>
      </c>
      <c r="H69" t="n">
        <v>10000</v>
      </c>
      <c r="I69" t="inlineStr">
        <is>
          <t>MH-DC-001-CBL-0032</t>
        </is>
      </c>
      <c r="J69" t="inlineStr">
        <is>
          <t>Brown</t>
        </is>
      </c>
      <c r="K69" t="inlineStr">
        <is>
          <t>ODF-4/P17</t>
        </is>
      </c>
      <c r="L69" t="inlineStr">
        <is>
          <t>ODF-4/P11</t>
        </is>
      </c>
    </row>
    <row r="70">
      <c r="A70" t="inlineStr">
        <is>
          <t>LNK-00069</t>
        </is>
      </c>
      <c r="B70" t="inlineStr">
        <is>
          <t>MH-DC-001-MMR-SW-08</t>
        </is>
      </c>
      <c r="C70" t="inlineStr">
        <is>
          <t>Hu0/0/1/0</t>
        </is>
      </c>
      <c r="D70" t="inlineStr">
        <is>
          <t>MH-DC-001-AGG-R02</t>
        </is>
      </c>
      <c r="E70" t="inlineStr">
        <is>
          <t>xe-0/0/6</t>
        </is>
      </c>
      <c r="F70" t="inlineStr">
        <is>
          <t>Uplink</t>
        </is>
      </c>
      <c r="G70" t="inlineStr">
        <is>
          <t>LLDP</t>
        </is>
      </c>
      <c r="H70" t="n">
        <v>10000</v>
      </c>
      <c r="I70" t="inlineStr">
        <is>
          <t>MH-DC-001-CBL-0033</t>
        </is>
      </c>
      <c r="J70" t="inlineStr">
        <is>
          <t>Brown</t>
        </is>
      </c>
      <c r="K70" t="inlineStr">
        <is>
          <t>ODF-1/P14</t>
        </is>
      </c>
      <c r="L70" t="inlineStr">
        <is>
          <t>ODF-2/P11</t>
        </is>
      </c>
    </row>
    <row r="71">
      <c r="A71" t="inlineStr">
        <is>
          <t>LNK-00070</t>
        </is>
      </c>
      <c r="B71" t="inlineStr">
        <is>
          <t>MH-DC-001-MMR-SW-08</t>
        </is>
      </c>
      <c r="C71" t="inlineStr">
        <is>
          <t>Hu0/0/1/1</t>
        </is>
      </c>
      <c r="D71" t="inlineStr">
        <is>
          <t>MH-DC-001-AGG-R02</t>
        </is>
      </c>
      <c r="E71" t="inlineStr">
        <is>
          <t>xe-0/0/7</t>
        </is>
      </c>
      <c r="F71" t="inlineStr">
        <is>
          <t>Uplink</t>
        </is>
      </c>
      <c r="G71" t="inlineStr">
        <is>
          <t>LLDP</t>
        </is>
      </c>
      <c r="H71" t="n">
        <v>10000</v>
      </c>
      <c r="I71" t="inlineStr">
        <is>
          <t>MH-DC-001-CBL-0034</t>
        </is>
      </c>
      <c r="J71" t="inlineStr">
        <is>
          <t>Red</t>
        </is>
      </c>
      <c r="K71" t="inlineStr">
        <is>
          <t>ODF-2/P2</t>
        </is>
      </c>
      <c r="L71" t="inlineStr">
        <is>
          <t>ODF-3/P1</t>
        </is>
      </c>
    </row>
    <row r="72">
      <c r="A72" t="inlineStr">
        <is>
          <t>LNK-00071</t>
        </is>
      </c>
      <c r="B72" t="inlineStr">
        <is>
          <t>MH-DC-001-MMR-SW-09</t>
        </is>
      </c>
      <c r="C72" t="inlineStr">
        <is>
          <t>Ethernet49/1</t>
        </is>
      </c>
      <c r="D72" t="inlineStr">
        <is>
          <t>MH-DC-001-AGG-R03</t>
        </is>
      </c>
      <c r="E72" t="inlineStr">
        <is>
          <t>xe-0/0/5</t>
        </is>
      </c>
      <c r="F72" t="inlineStr">
        <is>
          <t>Uplink</t>
        </is>
      </c>
      <c r="G72" t="inlineStr">
        <is>
          <t>LLDP</t>
        </is>
      </c>
      <c r="H72" t="n">
        <v>10000</v>
      </c>
      <c r="I72" t="inlineStr">
        <is>
          <t>MH-DC-001-CBL-0035</t>
        </is>
      </c>
      <c r="J72" t="inlineStr">
        <is>
          <t>White</t>
        </is>
      </c>
      <c r="K72" t="inlineStr">
        <is>
          <t>ODF-4/P2</t>
        </is>
      </c>
      <c r="L72" t="inlineStr">
        <is>
          <t>ODF-3/P15</t>
        </is>
      </c>
    </row>
    <row r="73">
      <c r="A73" t="inlineStr">
        <is>
          <t>LNK-00072</t>
        </is>
      </c>
      <c r="B73" t="inlineStr">
        <is>
          <t>MH-DC-001-MMR-SW-09</t>
        </is>
      </c>
      <c r="C73" t="inlineStr">
        <is>
          <t>Ethernet49/2</t>
        </is>
      </c>
      <c r="D73" t="inlineStr">
        <is>
          <t>MH-DC-001-AGG-R03</t>
        </is>
      </c>
      <c r="E73" t="inlineStr">
        <is>
          <t>xe-0/0/6</t>
        </is>
      </c>
      <c r="F73" t="inlineStr">
        <is>
          <t>Uplink</t>
        </is>
      </c>
      <c r="G73" t="inlineStr">
        <is>
          <t>LLDP</t>
        </is>
      </c>
      <c r="H73" t="n">
        <v>10000</v>
      </c>
      <c r="I73" t="inlineStr">
        <is>
          <t>MH-DC-001-CBL-0036</t>
        </is>
      </c>
      <c r="J73" t="inlineStr">
        <is>
          <t>Black</t>
        </is>
      </c>
      <c r="K73" t="inlineStr">
        <is>
          <t>ODF-1/P13</t>
        </is>
      </c>
      <c r="L73" t="inlineStr">
        <is>
          <t>ODF-3/P12</t>
        </is>
      </c>
    </row>
    <row r="74">
      <c r="A74" t="inlineStr">
        <is>
          <t>LNK-00073</t>
        </is>
      </c>
      <c r="B74" t="inlineStr">
        <is>
          <t>MH-DC-001-TOR-001</t>
        </is>
      </c>
      <c r="C74" t="inlineStr">
        <is>
          <t>Te0/0/0/0</t>
        </is>
      </c>
      <c r="D74" t="inlineStr">
        <is>
          <t>MH-DC-001-MMR-SW-01</t>
        </is>
      </c>
      <c r="E74" t="inlineStr">
        <is>
          <t>xe-0/0/0</t>
        </is>
      </c>
      <c r="F74" t="inlineStr">
        <is>
          <t>Access</t>
        </is>
      </c>
      <c r="G74" t="inlineStr">
        <is>
          <t>LLDP</t>
        </is>
      </c>
      <c r="H74" t="n">
        <v>10000</v>
      </c>
      <c r="I74" t="inlineStr">
        <is>
          <t>MH-DC-001-CBL-0037</t>
        </is>
      </c>
      <c r="J74" t="inlineStr">
        <is>
          <t>Aqua</t>
        </is>
      </c>
      <c r="K74" t="inlineStr">
        <is>
          <t>ODF-3/P11</t>
        </is>
      </c>
      <c r="L74" t="inlineStr">
        <is>
          <t>ODF-4/P9</t>
        </is>
      </c>
    </row>
    <row r="75">
      <c r="A75" t="inlineStr">
        <is>
          <t>LNK-00074</t>
        </is>
      </c>
      <c r="B75" t="inlineStr">
        <is>
          <t>MH-DC-001-TOR-001</t>
        </is>
      </c>
      <c r="C75" t="inlineStr">
        <is>
          <t>Te0/0/0/1</t>
        </is>
      </c>
      <c r="D75" t="inlineStr">
        <is>
          <t>MH-DC-001-MMR-SW-02</t>
        </is>
      </c>
      <c r="E75" t="inlineStr">
        <is>
          <t>Te0/0/0/0</t>
        </is>
      </c>
      <c r="F75" t="inlineStr">
        <is>
          <t>Access</t>
        </is>
      </c>
      <c r="G75" t="inlineStr">
        <is>
          <t>LLDP</t>
        </is>
      </c>
      <c r="H75" t="n">
        <v>10000</v>
      </c>
      <c r="I75" t="inlineStr">
        <is>
          <t>MH-DC-001-CBL-0038</t>
        </is>
      </c>
      <c r="J75" t="inlineStr">
        <is>
          <t>Green</t>
        </is>
      </c>
      <c r="K75" t="inlineStr">
        <is>
          <t>ODF-3/P5</t>
        </is>
      </c>
      <c r="L75" t="inlineStr">
        <is>
          <t>ODF-1/P19</t>
        </is>
      </c>
    </row>
    <row r="76">
      <c r="A76" t="inlineStr">
        <is>
          <t>LNK-00075</t>
        </is>
      </c>
      <c r="B76" t="inlineStr">
        <is>
          <t>MH-DC-001-TOR-002</t>
        </is>
      </c>
      <c r="C76" t="inlineStr">
        <is>
          <t>Te0/0/0/0</t>
        </is>
      </c>
      <c r="D76" t="inlineStr">
        <is>
          <t>MH-DC-001-MMR-SW-02</t>
        </is>
      </c>
      <c r="E76" t="inlineStr">
        <is>
          <t>Te0/0/0/1</t>
        </is>
      </c>
      <c r="F76" t="inlineStr">
        <is>
          <t>Access</t>
        </is>
      </c>
      <c r="G76" t="inlineStr">
        <is>
          <t>LLDP</t>
        </is>
      </c>
      <c r="H76" t="n">
        <v>10000</v>
      </c>
      <c r="I76" t="inlineStr">
        <is>
          <t>MH-DC-001-CBL-0039</t>
        </is>
      </c>
      <c r="J76" t="inlineStr">
        <is>
          <t>Violet</t>
        </is>
      </c>
      <c r="K76" t="inlineStr">
        <is>
          <t>ODF-3/P10</t>
        </is>
      </c>
      <c r="L76" t="inlineStr">
        <is>
          <t>ODF-3/P16</t>
        </is>
      </c>
    </row>
    <row r="77">
      <c r="A77" t="inlineStr">
        <is>
          <t>LNK-00076</t>
        </is>
      </c>
      <c r="B77" t="inlineStr">
        <is>
          <t>MH-DC-001-TOR-002</t>
        </is>
      </c>
      <c r="C77" t="inlineStr">
        <is>
          <t>Te0/0/0/1</t>
        </is>
      </c>
      <c r="D77" t="inlineStr">
        <is>
          <t>MH-DC-001-MMR-SW-03</t>
        </is>
      </c>
      <c r="E77" t="inlineStr">
        <is>
          <t>Te0/0/0/0</t>
        </is>
      </c>
      <c r="F77" t="inlineStr">
        <is>
          <t>Access</t>
        </is>
      </c>
      <c r="G77" t="inlineStr">
        <is>
          <t>LLDP</t>
        </is>
      </c>
      <c r="H77" t="n">
        <v>10000</v>
      </c>
      <c r="I77" t="inlineStr">
        <is>
          <t>MH-DC-001-CBL-0040</t>
        </is>
      </c>
      <c r="J77" t="inlineStr">
        <is>
          <t>Black</t>
        </is>
      </c>
      <c r="K77" t="inlineStr">
        <is>
          <t>ODF-4/P7</t>
        </is>
      </c>
      <c r="L77" t="inlineStr">
        <is>
          <t>ODF-3/P11</t>
        </is>
      </c>
    </row>
    <row r="78">
      <c r="A78" t="inlineStr">
        <is>
          <t>LNK-00077</t>
        </is>
      </c>
      <c r="B78" t="inlineStr">
        <is>
          <t>MH-DC-001-TOR-003</t>
        </is>
      </c>
      <c r="C78" t="inlineStr">
        <is>
          <t>xe-0/0/0</t>
        </is>
      </c>
      <c r="D78" t="inlineStr">
        <is>
          <t>MH-DC-001-MMR-SW-03</t>
        </is>
      </c>
      <c r="E78" t="inlineStr">
        <is>
          <t>Te0/0/0/1</t>
        </is>
      </c>
      <c r="F78" t="inlineStr">
        <is>
          <t>Access</t>
        </is>
      </c>
      <c r="G78" t="inlineStr">
        <is>
          <t>LLDP</t>
        </is>
      </c>
      <c r="H78" t="n">
        <v>10000</v>
      </c>
      <c r="I78" t="inlineStr">
        <is>
          <t>MH-DC-001-CBL-0041</t>
        </is>
      </c>
      <c r="J78" t="inlineStr">
        <is>
          <t>Green</t>
        </is>
      </c>
      <c r="K78" t="inlineStr">
        <is>
          <t>ODF-3/P23</t>
        </is>
      </c>
      <c r="L78" t="inlineStr">
        <is>
          <t>ODF-3/P12</t>
        </is>
      </c>
    </row>
    <row r="79">
      <c r="A79" t="inlineStr">
        <is>
          <t>LNK-00078</t>
        </is>
      </c>
      <c r="B79" t="inlineStr">
        <is>
          <t>MH-DC-001-TOR-003</t>
        </is>
      </c>
      <c r="C79" t="inlineStr">
        <is>
          <t>xe-0/0/1</t>
        </is>
      </c>
      <c r="D79" t="inlineStr">
        <is>
          <t>MH-DC-001-MMR-SW-04</t>
        </is>
      </c>
      <c r="E79" t="inlineStr">
        <is>
          <t>Te0/0/0/0</t>
        </is>
      </c>
      <c r="F79" t="inlineStr">
        <is>
          <t>Access</t>
        </is>
      </c>
      <c r="G79" t="inlineStr">
        <is>
          <t>LLDP</t>
        </is>
      </c>
      <c r="H79" t="n">
        <v>10000</v>
      </c>
      <c r="I79" t="inlineStr">
        <is>
          <t>MH-DC-001-CBL-0042</t>
        </is>
      </c>
      <c r="J79" t="inlineStr">
        <is>
          <t>Brown</t>
        </is>
      </c>
      <c r="K79" t="inlineStr">
        <is>
          <t>ODF-4/P7</t>
        </is>
      </c>
      <c r="L79" t="inlineStr">
        <is>
          <t>ODF-3/P16</t>
        </is>
      </c>
    </row>
    <row r="80">
      <c r="A80" t="inlineStr">
        <is>
          <t>LNK-00079</t>
        </is>
      </c>
      <c r="B80" t="inlineStr">
        <is>
          <t>MH-DC-001-TOR-004</t>
        </is>
      </c>
      <c r="C80" t="inlineStr">
        <is>
          <t>Te0/0/0/0</t>
        </is>
      </c>
      <c r="D80" t="inlineStr">
        <is>
          <t>MH-DC-001-MMR-SW-04</t>
        </is>
      </c>
      <c r="E80" t="inlineStr">
        <is>
          <t>Te0/0/0/1</t>
        </is>
      </c>
      <c r="F80" t="inlineStr">
        <is>
          <t>Access</t>
        </is>
      </c>
      <c r="G80" t="inlineStr">
        <is>
          <t>LLDP</t>
        </is>
      </c>
      <c r="H80" t="n">
        <v>10000</v>
      </c>
      <c r="I80" t="inlineStr">
        <is>
          <t>MH-DC-001-CBL-0043</t>
        </is>
      </c>
      <c r="J80" t="inlineStr">
        <is>
          <t>Red</t>
        </is>
      </c>
      <c r="K80" t="inlineStr">
        <is>
          <t>ODF-4/P14</t>
        </is>
      </c>
      <c r="L80" t="inlineStr">
        <is>
          <t>ODF-3/P3</t>
        </is>
      </c>
    </row>
    <row r="81">
      <c r="A81" t="inlineStr">
        <is>
          <t>LNK-00080</t>
        </is>
      </c>
      <c r="B81" t="inlineStr">
        <is>
          <t>MH-DC-001-TOR-004</t>
        </is>
      </c>
      <c r="C81" t="inlineStr">
        <is>
          <t>Te0/0/0/1</t>
        </is>
      </c>
      <c r="D81" t="inlineStr">
        <is>
          <t>MH-DC-001-MMR-SW-05</t>
        </is>
      </c>
      <c r="E81" t="inlineStr">
        <is>
          <t>xe-0/0/0</t>
        </is>
      </c>
      <c r="F81" t="inlineStr">
        <is>
          <t>Access</t>
        </is>
      </c>
      <c r="G81" t="inlineStr">
        <is>
          <t>LLDP</t>
        </is>
      </c>
      <c r="H81" t="n">
        <v>10000</v>
      </c>
      <c r="I81" t="inlineStr">
        <is>
          <t>MH-DC-001-CBL-0044</t>
        </is>
      </c>
      <c r="J81" t="inlineStr">
        <is>
          <t>Violet</t>
        </is>
      </c>
      <c r="K81" t="inlineStr">
        <is>
          <t>ODF-4/P23</t>
        </is>
      </c>
      <c r="L81" t="inlineStr">
        <is>
          <t>ODF-2/P23</t>
        </is>
      </c>
    </row>
    <row r="82">
      <c r="A82" t="inlineStr">
        <is>
          <t>LNK-00081</t>
        </is>
      </c>
      <c r="B82" t="inlineStr">
        <is>
          <t>MH-DC-001-TOR-005</t>
        </is>
      </c>
      <c r="C82" t="inlineStr">
        <is>
          <t>xe-0/0/0</t>
        </is>
      </c>
      <c r="D82" t="inlineStr">
        <is>
          <t>MH-DC-001-MMR-SW-05</t>
        </is>
      </c>
      <c r="E82" t="inlineStr">
        <is>
          <t>xe-0/0/1</t>
        </is>
      </c>
      <c r="F82" t="inlineStr">
        <is>
          <t>Access</t>
        </is>
      </c>
      <c r="G82" t="inlineStr">
        <is>
          <t>LLDP</t>
        </is>
      </c>
      <c r="H82" t="n">
        <v>10000</v>
      </c>
      <c r="I82" t="inlineStr">
        <is>
          <t>MH-DC-001-CBL-0045</t>
        </is>
      </c>
      <c r="J82" t="inlineStr">
        <is>
          <t>Yellow</t>
        </is>
      </c>
      <c r="K82" t="inlineStr">
        <is>
          <t>ODF-2/P19</t>
        </is>
      </c>
      <c r="L82" t="inlineStr">
        <is>
          <t>ODF-1/P14</t>
        </is>
      </c>
    </row>
    <row r="83">
      <c r="A83" t="inlineStr">
        <is>
          <t>LNK-00082</t>
        </is>
      </c>
      <c r="B83" t="inlineStr">
        <is>
          <t>MH-DC-001-TOR-005</t>
        </is>
      </c>
      <c r="C83" t="inlineStr">
        <is>
          <t>xe-0/0/1</t>
        </is>
      </c>
      <c r="D83" t="inlineStr">
        <is>
          <t>MH-DC-001-MMR-SW-06</t>
        </is>
      </c>
      <c r="E83" t="inlineStr">
        <is>
          <t>Te0/0/0/0</t>
        </is>
      </c>
      <c r="F83" t="inlineStr">
        <is>
          <t>Access</t>
        </is>
      </c>
      <c r="G83" t="inlineStr">
        <is>
          <t>LLDP</t>
        </is>
      </c>
      <c r="H83" t="n">
        <v>10000</v>
      </c>
      <c r="I83" t="inlineStr">
        <is>
          <t>MH-DC-001-CBL-0046</t>
        </is>
      </c>
      <c r="J83" t="inlineStr">
        <is>
          <t>Rose</t>
        </is>
      </c>
      <c r="K83" t="inlineStr">
        <is>
          <t>ODF-4/P2</t>
        </is>
      </c>
      <c r="L83" t="inlineStr">
        <is>
          <t>ODF-4/P8</t>
        </is>
      </c>
    </row>
    <row r="84">
      <c r="A84" t="inlineStr">
        <is>
          <t>LNK-00083</t>
        </is>
      </c>
      <c r="B84" t="inlineStr">
        <is>
          <t>MH-DC-001-TOR-006</t>
        </is>
      </c>
      <c r="C84" t="inlineStr">
        <is>
          <t>Ethernet1</t>
        </is>
      </c>
      <c r="D84" t="inlineStr">
        <is>
          <t>MH-DC-001-MMR-SW-06</t>
        </is>
      </c>
      <c r="E84" t="inlineStr">
        <is>
          <t>Te0/0/0/1</t>
        </is>
      </c>
      <c r="F84" t="inlineStr">
        <is>
          <t>Access</t>
        </is>
      </c>
      <c r="G84" t="inlineStr">
        <is>
          <t>LLDP</t>
        </is>
      </c>
      <c r="H84" t="n">
        <v>10000</v>
      </c>
      <c r="I84" t="inlineStr">
        <is>
          <t>MH-DC-001-CBL-0047</t>
        </is>
      </c>
      <c r="J84" t="inlineStr">
        <is>
          <t>Yellow</t>
        </is>
      </c>
      <c r="K84" t="inlineStr">
        <is>
          <t>ODF-1/P14</t>
        </is>
      </c>
      <c r="L84" t="inlineStr">
        <is>
          <t>ODF-4/P2</t>
        </is>
      </c>
    </row>
    <row r="85">
      <c r="A85" t="inlineStr">
        <is>
          <t>LNK-00084</t>
        </is>
      </c>
      <c r="B85" t="inlineStr">
        <is>
          <t>MH-DC-001-TOR-006</t>
        </is>
      </c>
      <c r="C85" t="inlineStr">
        <is>
          <t>Ethernet2</t>
        </is>
      </c>
      <c r="D85" t="inlineStr">
        <is>
          <t>MH-DC-001-MMR-SW-07</t>
        </is>
      </c>
      <c r="E85" t="inlineStr">
        <is>
          <t>Te0/0/0/0</t>
        </is>
      </c>
      <c r="F85" t="inlineStr">
        <is>
          <t>Access</t>
        </is>
      </c>
      <c r="G85" t="inlineStr">
        <is>
          <t>LLDP</t>
        </is>
      </c>
      <c r="H85" t="n">
        <v>10000</v>
      </c>
      <c r="I85" t="inlineStr">
        <is>
          <t>MH-DC-001-CBL-0048</t>
        </is>
      </c>
      <c r="J85" t="inlineStr">
        <is>
          <t>Violet</t>
        </is>
      </c>
      <c r="K85" t="inlineStr">
        <is>
          <t>ODF-1/P17</t>
        </is>
      </c>
      <c r="L85" t="inlineStr">
        <is>
          <t>ODF-3/P15</t>
        </is>
      </c>
    </row>
    <row r="86">
      <c r="A86" t="inlineStr">
        <is>
          <t>LNK-00085</t>
        </is>
      </c>
      <c r="B86" t="inlineStr">
        <is>
          <t>MH-DC-002-PE-T4-01</t>
        </is>
      </c>
      <c r="C86" t="inlineStr">
        <is>
          <t>et-0/1/0</t>
        </is>
      </c>
      <c r="D86" t="inlineStr">
        <is>
          <t>MH-DC-002-PE-T4-02</t>
        </is>
      </c>
      <c r="E86" t="inlineStr">
        <is>
          <t>et-0/1/0</t>
        </is>
      </c>
      <c r="F86" t="inlineStr">
        <is>
          <t>Fabric</t>
        </is>
      </c>
      <c r="G86" t="inlineStr">
        <is>
          <t>LLDP</t>
        </is>
      </c>
      <c r="H86" t="n">
        <v>100000</v>
      </c>
      <c r="I86" t="inlineStr">
        <is>
          <t>MH-DC-002-CBL-0049</t>
        </is>
      </c>
      <c r="J86" t="inlineStr">
        <is>
          <t>Aqua</t>
        </is>
      </c>
      <c r="K86" t="inlineStr">
        <is>
          <t>ODF-4/P10</t>
        </is>
      </c>
      <c r="L86" t="inlineStr">
        <is>
          <t>ODF-4/P4</t>
        </is>
      </c>
    </row>
    <row r="87">
      <c r="A87" t="inlineStr">
        <is>
          <t>LNK-00086</t>
        </is>
      </c>
      <c r="B87" t="inlineStr">
        <is>
          <t>MH-DC-002-PE-T4-01</t>
        </is>
      </c>
      <c r="C87" t="inlineStr">
        <is>
          <t>et-0/1/0</t>
        </is>
      </c>
      <c r="D87" t="inlineStr">
        <is>
          <t>MH-DC-002-PE-T4-02</t>
        </is>
      </c>
      <c r="E87" t="inlineStr">
        <is>
          <t>et-0/1/0</t>
        </is>
      </c>
      <c r="F87" t="inlineStr">
        <is>
          <t>Fabric</t>
        </is>
      </c>
      <c r="G87" t="inlineStr">
        <is>
          <t>OSPF</t>
        </is>
      </c>
      <c r="H87" t="n">
        <v>100000</v>
      </c>
    </row>
    <row r="88">
      <c r="A88" t="inlineStr">
        <is>
          <t>LNK-00087</t>
        </is>
      </c>
      <c r="B88" t="inlineStr">
        <is>
          <t>MH-DC-002-PE-T4-01</t>
        </is>
      </c>
      <c r="C88" t="inlineStr">
        <is>
          <t>et-0/1/0</t>
        </is>
      </c>
      <c r="D88" t="inlineStr">
        <is>
          <t>MH-DC-002-PE-T4-02</t>
        </is>
      </c>
      <c r="E88" t="inlineStr">
        <is>
          <t>et-0/1/0</t>
        </is>
      </c>
      <c r="F88" t="inlineStr">
        <is>
          <t>Fabric</t>
        </is>
      </c>
      <c r="G88" t="inlineStr">
        <is>
          <t>ISIS</t>
        </is>
      </c>
      <c r="H88" t="n">
        <v>100000</v>
      </c>
    </row>
    <row r="89">
      <c r="A89" t="inlineStr">
        <is>
          <t>LNK-00088</t>
        </is>
      </c>
      <c r="B89" t="inlineStr">
        <is>
          <t>MH-DC-002-PE-T4-01</t>
        </is>
      </c>
      <c r="C89" t="inlineStr">
        <is>
          <t>et-0/1/0</t>
        </is>
      </c>
      <c r="D89" t="inlineStr">
        <is>
          <t>MH-DC-002-PE-T4-02</t>
        </is>
      </c>
      <c r="E89" t="inlineStr">
        <is>
          <t>et-0/1/0</t>
        </is>
      </c>
      <c r="F89" t="inlineStr">
        <is>
          <t>Fabric</t>
        </is>
      </c>
      <c r="G89" t="inlineStr">
        <is>
          <t>BGP</t>
        </is>
      </c>
      <c r="H89" t="n">
        <v>100000</v>
      </c>
    </row>
    <row r="90">
      <c r="A90" t="inlineStr">
        <is>
          <t>LNK-00089</t>
        </is>
      </c>
      <c r="B90" t="inlineStr">
        <is>
          <t>MH-DC-002-PE-T4-01</t>
        </is>
      </c>
      <c r="C90" t="inlineStr">
        <is>
          <t>et-0/1/0</t>
        </is>
      </c>
      <c r="D90" t="inlineStr">
        <is>
          <t>MH-DC-002-PE-T4-02</t>
        </is>
      </c>
      <c r="E90" t="inlineStr">
        <is>
          <t>et-0/1/0</t>
        </is>
      </c>
      <c r="F90" t="inlineStr">
        <is>
          <t>Fabric</t>
        </is>
      </c>
      <c r="G90" t="inlineStr">
        <is>
          <t>LSP</t>
        </is>
      </c>
      <c r="H90" t="n">
        <v>100000</v>
      </c>
    </row>
    <row r="91">
      <c r="A91" t="inlineStr">
        <is>
          <t>LNK-00090</t>
        </is>
      </c>
      <c r="B91" t="inlineStr">
        <is>
          <t>MH-DC-002-PE-T4-01</t>
        </is>
      </c>
      <c r="C91" t="inlineStr">
        <is>
          <t>et-0/1/1</t>
        </is>
      </c>
      <c r="D91" t="inlineStr">
        <is>
          <t>MH-DC-002-PE-T4-03</t>
        </is>
      </c>
      <c r="E91" t="inlineStr">
        <is>
          <t>Hu0/0/1/0</t>
        </is>
      </c>
      <c r="F91" t="inlineStr">
        <is>
          <t>Fabric</t>
        </is>
      </c>
      <c r="G91" t="inlineStr">
        <is>
          <t>LLDP</t>
        </is>
      </c>
      <c r="H91" t="n">
        <v>100000</v>
      </c>
      <c r="I91" t="inlineStr">
        <is>
          <t>MH-DC-002-CBL-0050</t>
        </is>
      </c>
      <c r="J91" t="inlineStr">
        <is>
          <t>Red</t>
        </is>
      </c>
      <c r="K91" t="inlineStr">
        <is>
          <t>ODF-3/P20</t>
        </is>
      </c>
      <c r="L91" t="inlineStr">
        <is>
          <t>ODF-3/P16</t>
        </is>
      </c>
    </row>
    <row r="92">
      <c r="A92" t="inlineStr">
        <is>
          <t>LNK-00091</t>
        </is>
      </c>
      <c r="B92" t="inlineStr">
        <is>
          <t>MH-DC-002-PE-T4-01</t>
        </is>
      </c>
      <c r="C92" t="inlineStr">
        <is>
          <t>et-0/1/1</t>
        </is>
      </c>
      <c r="D92" t="inlineStr">
        <is>
          <t>MH-DC-002-PE-T4-03</t>
        </is>
      </c>
      <c r="E92" t="inlineStr">
        <is>
          <t>Hu0/0/1/0</t>
        </is>
      </c>
      <c r="F92" t="inlineStr">
        <is>
          <t>Fabric</t>
        </is>
      </c>
      <c r="G92" t="inlineStr">
        <is>
          <t>OSPF</t>
        </is>
      </c>
      <c r="H92" t="n">
        <v>100000</v>
      </c>
    </row>
    <row r="93">
      <c r="A93" t="inlineStr">
        <is>
          <t>LNK-00092</t>
        </is>
      </c>
      <c r="B93" t="inlineStr">
        <is>
          <t>MH-DC-002-PE-T4-01</t>
        </is>
      </c>
      <c r="C93" t="inlineStr">
        <is>
          <t>et-0/1/1</t>
        </is>
      </c>
      <c r="D93" t="inlineStr">
        <is>
          <t>MH-DC-002-PE-T4-03</t>
        </is>
      </c>
      <c r="E93" t="inlineStr">
        <is>
          <t>Hu0/0/1/0</t>
        </is>
      </c>
      <c r="F93" t="inlineStr">
        <is>
          <t>Fabric</t>
        </is>
      </c>
      <c r="G93" t="inlineStr">
        <is>
          <t>ISIS</t>
        </is>
      </c>
      <c r="H93" t="n">
        <v>100000</v>
      </c>
    </row>
    <row r="94">
      <c r="A94" t="inlineStr">
        <is>
          <t>LNK-00093</t>
        </is>
      </c>
      <c r="B94" t="inlineStr">
        <is>
          <t>MH-DC-002-PE-T4-01</t>
        </is>
      </c>
      <c r="C94" t="inlineStr">
        <is>
          <t>et-0/1/1</t>
        </is>
      </c>
      <c r="D94" t="inlineStr">
        <is>
          <t>MH-DC-002-PE-T4-03</t>
        </is>
      </c>
      <c r="E94" t="inlineStr">
        <is>
          <t>Hu0/0/1/0</t>
        </is>
      </c>
      <c r="F94" t="inlineStr">
        <is>
          <t>Fabric</t>
        </is>
      </c>
      <c r="G94" t="inlineStr">
        <is>
          <t>BGP</t>
        </is>
      </c>
      <c r="H94" t="n">
        <v>100000</v>
      </c>
    </row>
    <row r="95">
      <c r="A95" t="inlineStr">
        <is>
          <t>LNK-00094</t>
        </is>
      </c>
      <c r="B95" t="inlineStr">
        <is>
          <t>MH-DC-002-PE-T4-01</t>
        </is>
      </c>
      <c r="C95" t="inlineStr">
        <is>
          <t>et-0/1/1</t>
        </is>
      </c>
      <c r="D95" t="inlineStr">
        <is>
          <t>MH-DC-002-PE-T4-03</t>
        </is>
      </c>
      <c r="E95" t="inlineStr">
        <is>
          <t>Hu0/0/1/0</t>
        </is>
      </c>
      <c r="F95" t="inlineStr">
        <is>
          <t>Fabric</t>
        </is>
      </c>
      <c r="G95" t="inlineStr">
        <is>
          <t>LSP</t>
        </is>
      </c>
      <c r="H95" t="n">
        <v>100000</v>
      </c>
    </row>
    <row r="96">
      <c r="A96" t="inlineStr">
        <is>
          <t>LNK-00095</t>
        </is>
      </c>
      <c r="B96" t="inlineStr">
        <is>
          <t>MH-DC-002-PE-T4-01</t>
        </is>
      </c>
      <c r="C96" t="inlineStr">
        <is>
          <t>et-0/1/2</t>
        </is>
      </c>
      <c r="D96" t="inlineStr">
        <is>
          <t>MH-DC-002-PE-T4-04</t>
        </is>
      </c>
      <c r="E96" t="inlineStr">
        <is>
          <t>Hu0/0/1/0</t>
        </is>
      </c>
      <c r="F96" t="inlineStr">
        <is>
          <t>Fabric</t>
        </is>
      </c>
      <c r="G96" t="inlineStr">
        <is>
          <t>LLDP</t>
        </is>
      </c>
      <c r="H96" t="n">
        <v>100000</v>
      </c>
      <c r="I96" t="inlineStr">
        <is>
          <t>MH-DC-002-CBL-0051</t>
        </is>
      </c>
      <c r="J96" t="inlineStr">
        <is>
          <t>Yellow</t>
        </is>
      </c>
      <c r="K96" t="inlineStr">
        <is>
          <t>ODF-3/P22</t>
        </is>
      </c>
      <c r="L96" t="inlineStr">
        <is>
          <t>ODF-3/P12</t>
        </is>
      </c>
    </row>
    <row r="97">
      <c r="A97" t="inlineStr">
        <is>
          <t>LNK-00096</t>
        </is>
      </c>
      <c r="B97" t="inlineStr">
        <is>
          <t>MH-DC-002-PE-T4-01</t>
        </is>
      </c>
      <c r="C97" t="inlineStr">
        <is>
          <t>et-0/1/2</t>
        </is>
      </c>
      <c r="D97" t="inlineStr">
        <is>
          <t>MH-DC-002-PE-T4-04</t>
        </is>
      </c>
      <c r="E97" t="inlineStr">
        <is>
          <t>Hu0/0/1/0</t>
        </is>
      </c>
      <c r="F97" t="inlineStr">
        <is>
          <t>Fabric</t>
        </is>
      </c>
      <c r="G97" t="inlineStr">
        <is>
          <t>OSPF</t>
        </is>
      </c>
      <c r="H97" t="n">
        <v>100000</v>
      </c>
    </row>
    <row r="98">
      <c r="A98" t="inlineStr">
        <is>
          <t>LNK-00097</t>
        </is>
      </c>
      <c r="B98" t="inlineStr">
        <is>
          <t>MH-DC-002-PE-T4-01</t>
        </is>
      </c>
      <c r="C98" t="inlineStr">
        <is>
          <t>et-0/1/2</t>
        </is>
      </c>
      <c r="D98" t="inlineStr">
        <is>
          <t>MH-DC-002-PE-T4-04</t>
        </is>
      </c>
      <c r="E98" t="inlineStr">
        <is>
          <t>Hu0/0/1/0</t>
        </is>
      </c>
      <c r="F98" t="inlineStr">
        <is>
          <t>Fabric</t>
        </is>
      </c>
      <c r="G98" t="inlineStr">
        <is>
          <t>ISIS</t>
        </is>
      </c>
      <c r="H98" t="n">
        <v>100000</v>
      </c>
    </row>
    <row r="99">
      <c r="A99" t="inlineStr">
        <is>
          <t>LNK-00098</t>
        </is>
      </c>
      <c r="B99" t="inlineStr">
        <is>
          <t>MH-DC-002-PE-T4-01</t>
        </is>
      </c>
      <c r="C99" t="inlineStr">
        <is>
          <t>et-0/1/2</t>
        </is>
      </c>
      <c r="D99" t="inlineStr">
        <is>
          <t>MH-DC-002-PE-T4-04</t>
        </is>
      </c>
      <c r="E99" t="inlineStr">
        <is>
          <t>Hu0/0/1/0</t>
        </is>
      </c>
      <c r="F99" t="inlineStr">
        <is>
          <t>Fabric</t>
        </is>
      </c>
      <c r="G99" t="inlineStr">
        <is>
          <t>BGP</t>
        </is>
      </c>
      <c r="H99" t="n">
        <v>100000</v>
      </c>
    </row>
    <row r="100">
      <c r="A100" t="inlineStr">
        <is>
          <t>LNK-00099</t>
        </is>
      </c>
      <c r="B100" t="inlineStr">
        <is>
          <t>MH-DC-002-PE-T4-01</t>
        </is>
      </c>
      <c r="C100" t="inlineStr">
        <is>
          <t>et-0/1/2</t>
        </is>
      </c>
      <c r="D100" t="inlineStr">
        <is>
          <t>MH-DC-002-PE-T4-04</t>
        </is>
      </c>
      <c r="E100" t="inlineStr">
        <is>
          <t>Hu0/0/1/0</t>
        </is>
      </c>
      <c r="F100" t="inlineStr">
        <is>
          <t>Fabric</t>
        </is>
      </c>
      <c r="G100" t="inlineStr">
        <is>
          <t>LSP</t>
        </is>
      </c>
      <c r="H100" t="n">
        <v>100000</v>
      </c>
    </row>
    <row r="101">
      <c r="A101" t="inlineStr">
        <is>
          <t>LNK-00100</t>
        </is>
      </c>
      <c r="B101" t="inlineStr">
        <is>
          <t>MH-DC-002-PE-T4-02</t>
        </is>
      </c>
      <c r="C101" t="inlineStr">
        <is>
          <t>et-0/1/1</t>
        </is>
      </c>
      <c r="D101" t="inlineStr">
        <is>
          <t>MH-DC-002-PE-T4-03</t>
        </is>
      </c>
      <c r="E101" t="inlineStr">
        <is>
          <t>Hu0/0/1/1</t>
        </is>
      </c>
      <c r="F101" t="inlineStr">
        <is>
          <t>Fabric</t>
        </is>
      </c>
      <c r="G101" t="inlineStr">
        <is>
          <t>LLDP</t>
        </is>
      </c>
      <c r="H101" t="n">
        <v>100000</v>
      </c>
      <c r="I101" t="inlineStr">
        <is>
          <t>MH-DC-002-CBL-0052</t>
        </is>
      </c>
      <c r="J101" t="inlineStr">
        <is>
          <t>Brown</t>
        </is>
      </c>
      <c r="K101" t="inlineStr">
        <is>
          <t>ODF-3/P17</t>
        </is>
      </c>
      <c r="L101" t="inlineStr">
        <is>
          <t>ODF-4/P18</t>
        </is>
      </c>
    </row>
    <row r="102">
      <c r="A102" t="inlineStr">
        <is>
          <t>LNK-00101</t>
        </is>
      </c>
      <c r="B102" t="inlineStr">
        <is>
          <t>MH-DC-002-PE-T4-02</t>
        </is>
      </c>
      <c r="C102" t="inlineStr">
        <is>
          <t>et-0/1/1</t>
        </is>
      </c>
      <c r="D102" t="inlineStr">
        <is>
          <t>MH-DC-002-PE-T4-03</t>
        </is>
      </c>
      <c r="E102" t="inlineStr">
        <is>
          <t>Hu0/0/1/1</t>
        </is>
      </c>
      <c r="F102" t="inlineStr">
        <is>
          <t>Fabric</t>
        </is>
      </c>
      <c r="G102" t="inlineStr">
        <is>
          <t>OSPF</t>
        </is>
      </c>
      <c r="H102" t="n">
        <v>100000</v>
      </c>
    </row>
    <row r="103">
      <c r="A103" t="inlineStr">
        <is>
          <t>LNK-00102</t>
        </is>
      </c>
      <c r="B103" t="inlineStr">
        <is>
          <t>MH-DC-002-PE-T4-02</t>
        </is>
      </c>
      <c r="C103" t="inlineStr">
        <is>
          <t>et-0/1/1</t>
        </is>
      </c>
      <c r="D103" t="inlineStr">
        <is>
          <t>MH-DC-002-PE-T4-03</t>
        </is>
      </c>
      <c r="E103" t="inlineStr">
        <is>
          <t>Hu0/0/1/1</t>
        </is>
      </c>
      <c r="F103" t="inlineStr">
        <is>
          <t>Fabric</t>
        </is>
      </c>
      <c r="G103" t="inlineStr">
        <is>
          <t>ISIS</t>
        </is>
      </c>
      <c r="H103" t="n">
        <v>100000</v>
      </c>
    </row>
    <row r="104">
      <c r="A104" t="inlineStr">
        <is>
          <t>LNK-00103</t>
        </is>
      </c>
      <c r="B104" t="inlineStr">
        <is>
          <t>MH-DC-002-PE-T4-02</t>
        </is>
      </c>
      <c r="C104" t="inlineStr">
        <is>
          <t>et-0/1/1</t>
        </is>
      </c>
      <c r="D104" t="inlineStr">
        <is>
          <t>MH-DC-002-PE-T4-03</t>
        </is>
      </c>
      <c r="E104" t="inlineStr">
        <is>
          <t>Hu0/0/1/1</t>
        </is>
      </c>
      <c r="F104" t="inlineStr">
        <is>
          <t>Fabric</t>
        </is>
      </c>
      <c r="G104" t="inlineStr">
        <is>
          <t>BGP</t>
        </is>
      </c>
      <c r="H104" t="n">
        <v>100000</v>
      </c>
    </row>
    <row r="105">
      <c r="A105" t="inlineStr">
        <is>
          <t>LNK-00104</t>
        </is>
      </c>
      <c r="B105" t="inlineStr">
        <is>
          <t>MH-DC-002-PE-T4-02</t>
        </is>
      </c>
      <c r="C105" t="inlineStr">
        <is>
          <t>et-0/1/1</t>
        </is>
      </c>
      <c r="D105" t="inlineStr">
        <is>
          <t>MH-DC-002-PE-T4-03</t>
        </is>
      </c>
      <c r="E105" t="inlineStr">
        <is>
          <t>Hu0/0/1/1</t>
        </is>
      </c>
      <c r="F105" t="inlineStr">
        <is>
          <t>Fabric</t>
        </is>
      </c>
      <c r="G105" t="inlineStr">
        <is>
          <t>LSP</t>
        </is>
      </c>
      <c r="H105" t="n">
        <v>100000</v>
      </c>
    </row>
    <row r="106">
      <c r="A106" t="inlineStr">
        <is>
          <t>LNK-00105</t>
        </is>
      </c>
      <c r="B106" t="inlineStr">
        <is>
          <t>MH-DC-002-PE-T4-02</t>
        </is>
      </c>
      <c r="C106" t="inlineStr">
        <is>
          <t>et-0/1/2</t>
        </is>
      </c>
      <c r="D106" t="inlineStr">
        <is>
          <t>MH-DC-002-PE-T4-04</t>
        </is>
      </c>
      <c r="E106" t="inlineStr">
        <is>
          <t>Hu0/0/1/1</t>
        </is>
      </c>
      <c r="F106" t="inlineStr">
        <is>
          <t>Fabric</t>
        </is>
      </c>
      <c r="G106" t="inlineStr">
        <is>
          <t>LLDP</t>
        </is>
      </c>
      <c r="H106" t="n">
        <v>100000</v>
      </c>
      <c r="I106" t="inlineStr">
        <is>
          <t>MH-DC-002-CBL-0053</t>
        </is>
      </c>
      <c r="J106" t="inlineStr">
        <is>
          <t>Red</t>
        </is>
      </c>
      <c r="K106" t="inlineStr">
        <is>
          <t>ODF-4/P1</t>
        </is>
      </c>
      <c r="L106" t="inlineStr">
        <is>
          <t>ODF-1/P10</t>
        </is>
      </c>
    </row>
    <row r="107">
      <c r="A107" t="inlineStr">
        <is>
          <t>LNK-00106</t>
        </is>
      </c>
      <c r="B107" t="inlineStr">
        <is>
          <t>MH-DC-002-PE-T4-02</t>
        </is>
      </c>
      <c r="C107" t="inlineStr">
        <is>
          <t>et-0/1/2</t>
        </is>
      </c>
      <c r="D107" t="inlineStr">
        <is>
          <t>MH-DC-002-PE-T4-04</t>
        </is>
      </c>
      <c r="E107" t="inlineStr">
        <is>
          <t>Hu0/0/1/1</t>
        </is>
      </c>
      <c r="F107" t="inlineStr">
        <is>
          <t>Fabric</t>
        </is>
      </c>
      <c r="G107" t="inlineStr">
        <is>
          <t>OSPF</t>
        </is>
      </c>
      <c r="H107" t="n">
        <v>100000</v>
      </c>
    </row>
    <row r="108">
      <c r="A108" t="inlineStr">
        <is>
          <t>LNK-00107</t>
        </is>
      </c>
      <c r="B108" t="inlineStr">
        <is>
          <t>MH-DC-002-PE-T4-02</t>
        </is>
      </c>
      <c r="C108" t="inlineStr">
        <is>
          <t>et-0/1/2</t>
        </is>
      </c>
      <c r="D108" t="inlineStr">
        <is>
          <t>MH-DC-002-PE-T4-04</t>
        </is>
      </c>
      <c r="E108" t="inlineStr">
        <is>
          <t>Hu0/0/1/1</t>
        </is>
      </c>
      <c r="F108" t="inlineStr">
        <is>
          <t>Fabric</t>
        </is>
      </c>
      <c r="G108" t="inlineStr">
        <is>
          <t>ISIS</t>
        </is>
      </c>
      <c r="H108" t="n">
        <v>100000</v>
      </c>
    </row>
    <row r="109">
      <c r="A109" t="inlineStr">
        <is>
          <t>LNK-00108</t>
        </is>
      </c>
      <c r="B109" t="inlineStr">
        <is>
          <t>MH-DC-002-PE-T4-02</t>
        </is>
      </c>
      <c r="C109" t="inlineStr">
        <is>
          <t>et-0/1/2</t>
        </is>
      </c>
      <c r="D109" t="inlineStr">
        <is>
          <t>MH-DC-002-PE-T4-04</t>
        </is>
      </c>
      <c r="E109" t="inlineStr">
        <is>
          <t>Hu0/0/1/1</t>
        </is>
      </c>
      <c r="F109" t="inlineStr">
        <is>
          <t>Fabric</t>
        </is>
      </c>
      <c r="G109" t="inlineStr">
        <is>
          <t>BGP</t>
        </is>
      </c>
      <c r="H109" t="n">
        <v>100000</v>
      </c>
    </row>
    <row r="110">
      <c r="A110" t="inlineStr">
        <is>
          <t>LNK-00109</t>
        </is>
      </c>
      <c r="B110" t="inlineStr">
        <is>
          <t>MH-DC-002-PE-T4-02</t>
        </is>
      </c>
      <c r="C110" t="inlineStr">
        <is>
          <t>et-0/1/2</t>
        </is>
      </c>
      <c r="D110" t="inlineStr">
        <is>
          <t>MH-DC-002-PE-T4-04</t>
        </is>
      </c>
      <c r="E110" t="inlineStr">
        <is>
          <t>Hu0/0/1/1</t>
        </is>
      </c>
      <c r="F110" t="inlineStr">
        <is>
          <t>Fabric</t>
        </is>
      </c>
      <c r="G110" t="inlineStr">
        <is>
          <t>LSP</t>
        </is>
      </c>
      <c r="H110" t="n">
        <v>100000</v>
      </c>
    </row>
    <row r="111">
      <c r="A111" t="inlineStr">
        <is>
          <t>LNK-00110</t>
        </is>
      </c>
      <c r="B111" t="inlineStr">
        <is>
          <t>MH-DC-002-PE-T4-03</t>
        </is>
      </c>
      <c r="C111" t="inlineStr">
        <is>
          <t>Hu0/0/1/2</t>
        </is>
      </c>
      <c r="D111" t="inlineStr">
        <is>
          <t>MH-DC-002-PE-T4-04</t>
        </is>
      </c>
      <c r="E111" t="inlineStr">
        <is>
          <t>Hu0/0/1/2</t>
        </is>
      </c>
      <c r="F111" t="inlineStr">
        <is>
          <t>Fabric</t>
        </is>
      </c>
      <c r="G111" t="inlineStr">
        <is>
          <t>LLDP</t>
        </is>
      </c>
      <c r="H111" t="n">
        <v>100000</v>
      </c>
      <c r="I111" t="inlineStr">
        <is>
          <t>MH-DC-002-CBL-0054</t>
        </is>
      </c>
      <c r="J111" t="inlineStr">
        <is>
          <t>Yellow</t>
        </is>
      </c>
      <c r="K111" t="inlineStr">
        <is>
          <t>ODF-2/P20</t>
        </is>
      </c>
      <c r="L111" t="inlineStr">
        <is>
          <t>ODF-2/P7</t>
        </is>
      </c>
    </row>
    <row r="112">
      <c r="A112" t="inlineStr">
        <is>
          <t>LNK-00111</t>
        </is>
      </c>
      <c r="B112" t="inlineStr">
        <is>
          <t>MH-DC-002-PE-T4-03</t>
        </is>
      </c>
      <c r="C112" t="inlineStr">
        <is>
          <t>Hu0/0/1/2</t>
        </is>
      </c>
      <c r="D112" t="inlineStr">
        <is>
          <t>MH-DC-002-PE-T4-04</t>
        </is>
      </c>
      <c r="E112" t="inlineStr">
        <is>
          <t>Hu0/0/1/2</t>
        </is>
      </c>
      <c r="F112" t="inlineStr">
        <is>
          <t>Fabric</t>
        </is>
      </c>
      <c r="G112" t="inlineStr">
        <is>
          <t>OSPF</t>
        </is>
      </c>
      <c r="H112" t="n">
        <v>100000</v>
      </c>
    </row>
    <row r="113">
      <c r="A113" t="inlineStr">
        <is>
          <t>LNK-00112</t>
        </is>
      </c>
      <c r="B113" t="inlineStr">
        <is>
          <t>MH-DC-002-PE-T4-03</t>
        </is>
      </c>
      <c r="C113" t="inlineStr">
        <is>
          <t>Hu0/0/1/2</t>
        </is>
      </c>
      <c r="D113" t="inlineStr">
        <is>
          <t>MH-DC-002-PE-T4-04</t>
        </is>
      </c>
      <c r="E113" t="inlineStr">
        <is>
          <t>Hu0/0/1/2</t>
        </is>
      </c>
      <c r="F113" t="inlineStr">
        <is>
          <t>Fabric</t>
        </is>
      </c>
      <c r="G113" t="inlineStr">
        <is>
          <t>ISIS</t>
        </is>
      </c>
      <c r="H113" t="n">
        <v>100000</v>
      </c>
    </row>
    <row r="114">
      <c r="A114" t="inlineStr">
        <is>
          <t>LNK-00113</t>
        </is>
      </c>
      <c r="B114" t="inlineStr">
        <is>
          <t>MH-DC-002-PE-T4-03</t>
        </is>
      </c>
      <c r="C114" t="inlineStr">
        <is>
          <t>Hu0/0/1/2</t>
        </is>
      </c>
      <c r="D114" t="inlineStr">
        <is>
          <t>MH-DC-002-PE-T4-04</t>
        </is>
      </c>
      <c r="E114" t="inlineStr">
        <is>
          <t>Hu0/0/1/2</t>
        </is>
      </c>
      <c r="F114" t="inlineStr">
        <is>
          <t>Fabric</t>
        </is>
      </c>
      <c r="G114" t="inlineStr">
        <is>
          <t>BGP</t>
        </is>
      </c>
      <c r="H114" t="n">
        <v>100000</v>
      </c>
    </row>
    <row r="115">
      <c r="A115" t="inlineStr">
        <is>
          <t>LNK-00114</t>
        </is>
      </c>
      <c r="B115" t="inlineStr">
        <is>
          <t>MH-DC-002-PE-T4-03</t>
        </is>
      </c>
      <c r="C115" t="inlineStr">
        <is>
          <t>Hu0/0/1/2</t>
        </is>
      </c>
      <c r="D115" t="inlineStr">
        <is>
          <t>MH-DC-002-PE-T4-04</t>
        </is>
      </c>
      <c r="E115" t="inlineStr">
        <is>
          <t>Hu0/0/1/2</t>
        </is>
      </c>
      <c r="F115" t="inlineStr">
        <is>
          <t>Fabric</t>
        </is>
      </c>
      <c r="G115" t="inlineStr">
        <is>
          <t>LSP</t>
        </is>
      </c>
      <c r="H115" t="n">
        <v>100000</v>
      </c>
    </row>
    <row r="116">
      <c r="A116" t="inlineStr">
        <is>
          <t>LNK-00115</t>
        </is>
      </c>
      <c r="B116" t="inlineStr">
        <is>
          <t>MH-DC-002-AGG-R01</t>
        </is>
      </c>
      <c r="C116" t="inlineStr">
        <is>
          <t>et-0/1/0</t>
        </is>
      </c>
      <c r="D116" t="inlineStr">
        <is>
          <t>MH-DC-002-PE-T4-01</t>
        </is>
      </c>
      <c r="E116" t="inlineStr">
        <is>
          <t>xe-0/0/6</t>
        </is>
      </c>
      <c r="F116" t="inlineStr">
        <is>
          <t>Uplink</t>
        </is>
      </c>
      <c r="G116" t="inlineStr">
        <is>
          <t>LLDP</t>
        </is>
      </c>
      <c r="H116" t="n">
        <v>10000</v>
      </c>
      <c r="I116" t="inlineStr">
        <is>
          <t>MH-DC-002-CBL-0055</t>
        </is>
      </c>
      <c r="J116" t="inlineStr">
        <is>
          <t>Orange</t>
        </is>
      </c>
      <c r="K116" t="inlineStr">
        <is>
          <t>ODF-1/P12</t>
        </is>
      </c>
      <c r="L116" t="inlineStr">
        <is>
          <t>ODF-2/P15</t>
        </is>
      </c>
    </row>
    <row r="117">
      <c r="A117" t="inlineStr">
        <is>
          <t>LNK-00116</t>
        </is>
      </c>
      <c r="B117" t="inlineStr">
        <is>
          <t>MH-DC-002-AGG-R01</t>
        </is>
      </c>
      <c r="C117" t="inlineStr">
        <is>
          <t>et-0/1/0</t>
        </is>
      </c>
      <c r="D117" t="inlineStr">
        <is>
          <t>MH-DC-002-PE-T4-01</t>
        </is>
      </c>
      <c r="E117" t="inlineStr">
        <is>
          <t>xe-0/0/6</t>
        </is>
      </c>
      <c r="F117" t="inlineStr">
        <is>
          <t>Uplink</t>
        </is>
      </c>
      <c r="G117" t="inlineStr">
        <is>
          <t>OSPF</t>
        </is>
      </c>
      <c r="H117" t="n">
        <v>10000</v>
      </c>
    </row>
    <row r="118">
      <c r="A118" t="inlineStr">
        <is>
          <t>LNK-00117</t>
        </is>
      </c>
      <c r="B118" t="inlineStr">
        <is>
          <t>MH-DC-002-AGG-R01</t>
        </is>
      </c>
      <c r="C118" t="inlineStr">
        <is>
          <t>et-0/1/0</t>
        </is>
      </c>
      <c r="D118" t="inlineStr">
        <is>
          <t>MH-DC-002-PE-T4-01</t>
        </is>
      </c>
      <c r="E118" t="inlineStr">
        <is>
          <t>xe-0/0/6</t>
        </is>
      </c>
      <c r="F118" t="inlineStr">
        <is>
          <t>Uplink</t>
        </is>
      </c>
      <c r="G118" t="inlineStr">
        <is>
          <t>ISIS</t>
        </is>
      </c>
      <c r="H118" t="n">
        <v>10000</v>
      </c>
    </row>
    <row r="119">
      <c r="A119" t="inlineStr">
        <is>
          <t>LNK-00118</t>
        </is>
      </c>
      <c r="B119" t="inlineStr">
        <is>
          <t>MH-DC-002-AGG-R01</t>
        </is>
      </c>
      <c r="C119" t="inlineStr">
        <is>
          <t>et-0/1/1</t>
        </is>
      </c>
      <c r="D119" t="inlineStr">
        <is>
          <t>MH-DC-002-PE-T4-02</t>
        </is>
      </c>
      <c r="E119" t="inlineStr">
        <is>
          <t>xe-0/0/6</t>
        </is>
      </c>
      <c r="F119" t="inlineStr">
        <is>
          <t>Uplink</t>
        </is>
      </c>
      <c r="G119" t="inlineStr">
        <is>
          <t>LLDP</t>
        </is>
      </c>
      <c r="H119" t="n">
        <v>10000</v>
      </c>
      <c r="I119" t="inlineStr">
        <is>
          <t>MH-DC-002-CBL-0056</t>
        </is>
      </c>
      <c r="J119" t="inlineStr">
        <is>
          <t>Yellow</t>
        </is>
      </c>
      <c r="K119" t="inlineStr">
        <is>
          <t>ODF-4/P22</t>
        </is>
      </c>
      <c r="L119" t="inlineStr">
        <is>
          <t>ODF-3/P19</t>
        </is>
      </c>
    </row>
    <row r="120">
      <c r="A120" t="inlineStr">
        <is>
          <t>LNK-00119</t>
        </is>
      </c>
      <c r="B120" t="inlineStr">
        <is>
          <t>MH-DC-002-AGG-R01</t>
        </is>
      </c>
      <c r="C120" t="inlineStr">
        <is>
          <t>et-0/1/1</t>
        </is>
      </c>
      <c r="D120" t="inlineStr">
        <is>
          <t>MH-DC-002-PE-T4-02</t>
        </is>
      </c>
      <c r="E120" t="inlineStr">
        <is>
          <t>xe-0/0/6</t>
        </is>
      </c>
      <c r="F120" t="inlineStr">
        <is>
          <t>Uplink</t>
        </is>
      </c>
      <c r="G120" t="inlineStr">
        <is>
          <t>OSPF</t>
        </is>
      </c>
      <c r="H120" t="n">
        <v>10000</v>
      </c>
    </row>
    <row r="121">
      <c r="A121" t="inlineStr">
        <is>
          <t>LNK-00120</t>
        </is>
      </c>
      <c r="B121" t="inlineStr">
        <is>
          <t>MH-DC-002-AGG-R01</t>
        </is>
      </c>
      <c r="C121" t="inlineStr">
        <is>
          <t>et-0/1/1</t>
        </is>
      </c>
      <c r="D121" t="inlineStr">
        <is>
          <t>MH-DC-002-PE-T4-02</t>
        </is>
      </c>
      <c r="E121" t="inlineStr">
        <is>
          <t>xe-0/0/6</t>
        </is>
      </c>
      <c r="F121" t="inlineStr">
        <is>
          <t>Uplink</t>
        </is>
      </c>
      <c r="G121" t="inlineStr">
        <is>
          <t>ISIS</t>
        </is>
      </c>
      <c r="H121" t="n">
        <v>10000</v>
      </c>
    </row>
    <row r="122">
      <c r="A122" t="inlineStr">
        <is>
          <t>LNK-00121</t>
        </is>
      </c>
      <c r="B122" t="inlineStr">
        <is>
          <t>MH-DC-002-AGG-R02</t>
        </is>
      </c>
      <c r="C122" t="inlineStr">
        <is>
          <t>et-0/1/0</t>
        </is>
      </c>
      <c r="D122" t="inlineStr">
        <is>
          <t>MH-DC-002-PE-T4-02</t>
        </is>
      </c>
      <c r="E122" t="inlineStr">
        <is>
          <t>xe-0/0/7</t>
        </is>
      </c>
      <c r="F122" t="inlineStr">
        <is>
          <t>Uplink</t>
        </is>
      </c>
      <c r="G122" t="inlineStr">
        <is>
          <t>LLDP</t>
        </is>
      </c>
      <c r="H122" t="n">
        <v>10000</v>
      </c>
      <c r="I122" t="inlineStr">
        <is>
          <t>MH-DC-002-CBL-0057</t>
        </is>
      </c>
      <c r="J122" t="inlineStr">
        <is>
          <t>Aqua</t>
        </is>
      </c>
      <c r="K122" t="inlineStr">
        <is>
          <t>ODF-2/P17</t>
        </is>
      </c>
      <c r="L122" t="inlineStr">
        <is>
          <t>ODF-1/P6</t>
        </is>
      </c>
    </row>
    <row r="123">
      <c r="A123" t="inlineStr">
        <is>
          <t>LNK-00122</t>
        </is>
      </c>
      <c r="B123" t="inlineStr">
        <is>
          <t>MH-DC-002-AGG-R02</t>
        </is>
      </c>
      <c r="C123" t="inlineStr">
        <is>
          <t>et-0/1/0</t>
        </is>
      </c>
      <c r="D123" t="inlineStr">
        <is>
          <t>MH-DC-002-PE-T4-02</t>
        </is>
      </c>
      <c r="E123" t="inlineStr">
        <is>
          <t>xe-0/0/7</t>
        </is>
      </c>
      <c r="F123" t="inlineStr">
        <is>
          <t>Uplink</t>
        </is>
      </c>
      <c r="G123" t="inlineStr">
        <is>
          <t>OSPF</t>
        </is>
      </c>
      <c r="H123" t="n">
        <v>10000</v>
      </c>
    </row>
    <row r="124">
      <c r="A124" t="inlineStr">
        <is>
          <t>LNK-00123</t>
        </is>
      </c>
      <c r="B124" t="inlineStr">
        <is>
          <t>MH-DC-002-AGG-R02</t>
        </is>
      </c>
      <c r="C124" t="inlineStr">
        <is>
          <t>et-0/1/0</t>
        </is>
      </c>
      <c r="D124" t="inlineStr">
        <is>
          <t>MH-DC-002-PE-T4-02</t>
        </is>
      </c>
      <c r="E124" t="inlineStr">
        <is>
          <t>xe-0/0/7</t>
        </is>
      </c>
      <c r="F124" t="inlineStr">
        <is>
          <t>Uplink</t>
        </is>
      </c>
      <c r="G124" t="inlineStr">
        <is>
          <t>ISIS</t>
        </is>
      </c>
      <c r="H124" t="n">
        <v>10000</v>
      </c>
    </row>
    <row r="125">
      <c r="A125" t="inlineStr">
        <is>
          <t>LNK-00124</t>
        </is>
      </c>
      <c r="B125" t="inlineStr">
        <is>
          <t>MH-DC-002-AGG-R02</t>
        </is>
      </c>
      <c r="C125" t="inlineStr">
        <is>
          <t>et-0/1/1</t>
        </is>
      </c>
      <c r="D125" t="inlineStr">
        <is>
          <t>MH-DC-002-PE-T4-03</t>
        </is>
      </c>
      <c r="E125" t="inlineStr">
        <is>
          <t>Te0/0/0/6</t>
        </is>
      </c>
      <c r="F125" t="inlineStr">
        <is>
          <t>Uplink</t>
        </is>
      </c>
      <c r="G125" t="inlineStr">
        <is>
          <t>LLDP</t>
        </is>
      </c>
      <c r="H125" t="n">
        <v>10000</v>
      </c>
      <c r="I125" t="inlineStr">
        <is>
          <t>MH-DC-002-CBL-0058</t>
        </is>
      </c>
      <c r="J125" t="inlineStr">
        <is>
          <t>Aqua</t>
        </is>
      </c>
      <c r="K125" t="inlineStr">
        <is>
          <t>ODF-4/P14</t>
        </is>
      </c>
      <c r="L125" t="inlineStr">
        <is>
          <t>ODF-2/P5</t>
        </is>
      </c>
    </row>
    <row r="126">
      <c r="A126" t="inlineStr">
        <is>
          <t>LNK-00125</t>
        </is>
      </c>
      <c r="B126" t="inlineStr">
        <is>
          <t>MH-DC-002-AGG-R02</t>
        </is>
      </c>
      <c r="C126" t="inlineStr">
        <is>
          <t>et-0/1/1</t>
        </is>
      </c>
      <c r="D126" t="inlineStr">
        <is>
          <t>MH-DC-002-PE-T4-03</t>
        </is>
      </c>
      <c r="E126" t="inlineStr">
        <is>
          <t>Te0/0/0/6</t>
        </is>
      </c>
      <c r="F126" t="inlineStr">
        <is>
          <t>Uplink</t>
        </is>
      </c>
      <c r="G126" t="inlineStr">
        <is>
          <t>OSPF</t>
        </is>
      </c>
      <c r="H126" t="n">
        <v>10000</v>
      </c>
    </row>
    <row r="127">
      <c r="A127" t="inlineStr">
        <is>
          <t>LNK-00126</t>
        </is>
      </c>
      <c r="B127" t="inlineStr">
        <is>
          <t>MH-DC-002-AGG-R02</t>
        </is>
      </c>
      <c r="C127" t="inlineStr">
        <is>
          <t>et-0/1/1</t>
        </is>
      </c>
      <c r="D127" t="inlineStr">
        <is>
          <t>MH-DC-002-PE-T4-03</t>
        </is>
      </c>
      <c r="E127" t="inlineStr">
        <is>
          <t>Te0/0/0/6</t>
        </is>
      </c>
      <c r="F127" t="inlineStr">
        <is>
          <t>Uplink</t>
        </is>
      </c>
      <c r="G127" t="inlineStr">
        <is>
          <t>ISIS</t>
        </is>
      </c>
      <c r="H127" t="n">
        <v>10000</v>
      </c>
    </row>
    <row r="128">
      <c r="A128" t="inlineStr">
        <is>
          <t>LNK-00127</t>
        </is>
      </c>
      <c r="B128" t="inlineStr">
        <is>
          <t>MH-DC-002-OLA-01</t>
        </is>
      </c>
      <c r="C128" t="inlineStr">
        <is>
          <t>1/2/c1</t>
        </is>
      </c>
      <c r="D128" t="inlineStr">
        <is>
          <t>MH-DC-002-AGG-R01</t>
        </is>
      </c>
      <c r="E128" t="inlineStr">
        <is>
          <t>et-0/1/2</t>
        </is>
      </c>
      <c r="F128" t="inlineStr">
        <is>
          <t>Uplink</t>
        </is>
      </c>
      <c r="G128" t="inlineStr">
        <is>
          <t>LLDP</t>
        </is>
      </c>
      <c r="H128" t="n">
        <v>100000</v>
      </c>
      <c r="I128" t="inlineStr">
        <is>
          <t>MH-DC-002-CBL-0059</t>
        </is>
      </c>
      <c r="J128" t="inlineStr">
        <is>
          <t>Red</t>
        </is>
      </c>
      <c r="K128" t="inlineStr">
        <is>
          <t>ODF-1/P22</t>
        </is>
      </c>
      <c r="L128" t="inlineStr">
        <is>
          <t>ODF-3/P4</t>
        </is>
      </c>
    </row>
    <row r="129">
      <c r="A129" t="inlineStr">
        <is>
          <t>LNK-00128</t>
        </is>
      </c>
      <c r="B129" t="inlineStr">
        <is>
          <t>MH-DC-002-FW-01</t>
        </is>
      </c>
      <c r="C129" t="inlineStr">
        <is>
          <t>port1</t>
        </is>
      </c>
      <c r="D129" t="inlineStr">
        <is>
          <t>MH-DC-002-AGG-R01</t>
        </is>
      </c>
      <c r="E129" t="inlineStr">
        <is>
          <t>xe-0/0/0</t>
        </is>
      </c>
      <c r="F129" t="inlineStr">
        <is>
          <t>Uplink</t>
        </is>
      </c>
      <c r="G129" t="inlineStr">
        <is>
          <t>LLDP</t>
        </is>
      </c>
      <c r="H129" t="n">
        <v>10000</v>
      </c>
      <c r="I129" t="inlineStr">
        <is>
          <t>MH-DC-002-CBL-0060</t>
        </is>
      </c>
      <c r="J129" t="inlineStr">
        <is>
          <t>Slate</t>
        </is>
      </c>
      <c r="K129" t="inlineStr">
        <is>
          <t>ODF-4/P6</t>
        </is>
      </c>
      <c r="L129" t="inlineStr">
        <is>
          <t>ODF-4/P10</t>
        </is>
      </c>
    </row>
    <row r="130">
      <c r="A130" t="inlineStr">
        <is>
          <t>LNK-00129</t>
        </is>
      </c>
      <c r="B130" t="inlineStr">
        <is>
          <t>MH-DC-002-FW-01</t>
        </is>
      </c>
      <c r="C130" t="inlineStr">
        <is>
          <t>port2</t>
        </is>
      </c>
      <c r="D130" t="inlineStr">
        <is>
          <t>MH-DC-002-AGG-R02</t>
        </is>
      </c>
      <c r="E130" t="inlineStr">
        <is>
          <t>xe-0/0/0</t>
        </is>
      </c>
      <c r="F130" t="inlineStr">
        <is>
          <t>Uplink</t>
        </is>
      </c>
      <c r="G130" t="inlineStr">
        <is>
          <t>LLDP</t>
        </is>
      </c>
      <c r="H130" t="n">
        <v>10000</v>
      </c>
      <c r="I130" t="inlineStr">
        <is>
          <t>MH-DC-002-CBL-0061</t>
        </is>
      </c>
      <c r="J130" t="inlineStr">
        <is>
          <t>Rose</t>
        </is>
      </c>
      <c r="K130" t="inlineStr">
        <is>
          <t>ODF-2/P23</t>
        </is>
      </c>
      <c r="L130" t="inlineStr">
        <is>
          <t>ODF-3/P8</t>
        </is>
      </c>
    </row>
    <row r="131">
      <c r="A131" t="inlineStr">
        <is>
          <t>LNK-00130</t>
        </is>
      </c>
      <c r="B131" t="inlineStr">
        <is>
          <t>MH-DC-002-MMR-SW-01</t>
        </is>
      </c>
      <c r="C131" t="inlineStr">
        <is>
          <t>Ethernet49/1</t>
        </is>
      </c>
      <c r="D131" t="inlineStr">
        <is>
          <t>MH-DC-002-AGG-R01</t>
        </is>
      </c>
      <c r="E131" t="inlineStr">
        <is>
          <t>xe-0/0/1</t>
        </is>
      </c>
      <c r="F131" t="inlineStr">
        <is>
          <t>Uplink</t>
        </is>
      </c>
      <c r="G131" t="inlineStr">
        <is>
          <t>LLDP</t>
        </is>
      </c>
      <c r="H131" t="n">
        <v>10000</v>
      </c>
      <c r="I131" t="inlineStr">
        <is>
          <t>MH-DC-002-CBL-0062</t>
        </is>
      </c>
      <c r="J131" t="inlineStr">
        <is>
          <t>Orange</t>
        </is>
      </c>
      <c r="K131" t="inlineStr">
        <is>
          <t>ODF-3/P3</t>
        </is>
      </c>
      <c r="L131" t="inlineStr">
        <is>
          <t>ODF-3/P11</t>
        </is>
      </c>
    </row>
    <row r="132">
      <c r="A132" t="inlineStr">
        <is>
          <t>LNK-00131</t>
        </is>
      </c>
      <c r="B132" t="inlineStr">
        <is>
          <t>MH-DC-002-MMR-SW-01</t>
        </is>
      </c>
      <c r="C132" t="inlineStr">
        <is>
          <t>Ethernet49/2</t>
        </is>
      </c>
      <c r="D132" t="inlineStr">
        <is>
          <t>MH-DC-002-AGG-R02</t>
        </is>
      </c>
      <c r="E132" t="inlineStr">
        <is>
          <t>xe-0/0/1</t>
        </is>
      </c>
      <c r="F132" t="inlineStr">
        <is>
          <t>Uplink</t>
        </is>
      </c>
      <c r="G132" t="inlineStr">
        <is>
          <t>LLDP</t>
        </is>
      </c>
      <c r="H132" t="n">
        <v>10000</v>
      </c>
      <c r="I132" t="inlineStr">
        <is>
          <t>MH-DC-002-CBL-0063</t>
        </is>
      </c>
      <c r="J132" t="inlineStr">
        <is>
          <t>Black</t>
        </is>
      </c>
      <c r="K132" t="inlineStr">
        <is>
          <t>ODF-4/P2</t>
        </is>
      </c>
      <c r="L132" t="inlineStr">
        <is>
          <t>ODF-1/P9</t>
        </is>
      </c>
    </row>
    <row r="133">
      <c r="A133" t="inlineStr">
        <is>
          <t>LNK-00132</t>
        </is>
      </c>
      <c r="B133" t="inlineStr">
        <is>
          <t>MH-DC-002-MMR-SW-02</t>
        </is>
      </c>
      <c r="C133" t="inlineStr">
        <is>
          <t>et-0/1/0</t>
        </is>
      </c>
      <c r="D133" t="inlineStr">
        <is>
          <t>MH-DC-002-AGG-R02</t>
        </is>
      </c>
      <c r="E133" t="inlineStr">
        <is>
          <t>xe-0/0/2</t>
        </is>
      </c>
      <c r="F133" t="inlineStr">
        <is>
          <t>Uplink</t>
        </is>
      </c>
      <c r="G133" t="inlineStr">
        <is>
          <t>LLDP</t>
        </is>
      </c>
      <c r="H133" t="n">
        <v>10000</v>
      </c>
      <c r="I133" t="inlineStr">
        <is>
          <t>MH-DC-002-CBL-0064</t>
        </is>
      </c>
      <c r="J133" t="inlineStr">
        <is>
          <t>Brown</t>
        </is>
      </c>
      <c r="K133" t="inlineStr">
        <is>
          <t>ODF-3/P7</t>
        </is>
      </c>
      <c r="L133" t="inlineStr">
        <is>
          <t>ODF-4/P2</t>
        </is>
      </c>
    </row>
    <row r="134">
      <c r="A134" t="inlineStr">
        <is>
          <t>LNK-00133</t>
        </is>
      </c>
      <c r="B134" t="inlineStr">
        <is>
          <t>MH-DC-002-MMR-SW-02</t>
        </is>
      </c>
      <c r="C134" t="inlineStr">
        <is>
          <t>et-0/1/1</t>
        </is>
      </c>
      <c r="D134" t="inlineStr">
        <is>
          <t>MH-DC-002-AGG-R01</t>
        </is>
      </c>
      <c r="E134" t="inlineStr">
        <is>
          <t>xe-0/0/2</t>
        </is>
      </c>
      <c r="F134" t="inlineStr">
        <is>
          <t>Uplink</t>
        </is>
      </c>
      <c r="G134" t="inlineStr">
        <is>
          <t>LLDP</t>
        </is>
      </c>
      <c r="H134" t="n">
        <v>10000</v>
      </c>
      <c r="I134" t="inlineStr">
        <is>
          <t>MH-DC-002-CBL-0065</t>
        </is>
      </c>
      <c r="J134" t="inlineStr">
        <is>
          <t>Blue</t>
        </is>
      </c>
      <c r="K134" t="inlineStr">
        <is>
          <t>ODF-2/P9</t>
        </is>
      </c>
      <c r="L134" t="inlineStr">
        <is>
          <t>ODF-2/P3</t>
        </is>
      </c>
    </row>
    <row r="135">
      <c r="A135" t="inlineStr">
        <is>
          <t>LNK-00134</t>
        </is>
      </c>
      <c r="B135" t="inlineStr">
        <is>
          <t>MH-DC-002-MMR-SW-03</t>
        </is>
      </c>
      <c r="C135" t="inlineStr">
        <is>
          <t>Hu0/0/1/0</t>
        </is>
      </c>
      <c r="D135" t="inlineStr">
        <is>
          <t>MH-DC-002-AGG-R01</t>
        </is>
      </c>
      <c r="E135" t="inlineStr">
        <is>
          <t>xe-0/0/3</t>
        </is>
      </c>
      <c r="F135" t="inlineStr">
        <is>
          <t>Uplink</t>
        </is>
      </c>
      <c r="G135" t="inlineStr">
        <is>
          <t>LLDP</t>
        </is>
      </c>
      <c r="H135" t="n">
        <v>10000</v>
      </c>
      <c r="I135" t="inlineStr">
        <is>
          <t>MH-DC-002-CBL-0066</t>
        </is>
      </c>
      <c r="J135" t="inlineStr">
        <is>
          <t>Rose</t>
        </is>
      </c>
      <c r="K135" t="inlineStr">
        <is>
          <t>ODF-1/P24</t>
        </is>
      </c>
      <c r="L135" t="inlineStr">
        <is>
          <t>ODF-2/P23</t>
        </is>
      </c>
    </row>
    <row r="136">
      <c r="A136" t="inlineStr">
        <is>
          <t>LNK-00135</t>
        </is>
      </c>
      <c r="B136" t="inlineStr">
        <is>
          <t>MH-DC-002-MMR-SW-03</t>
        </is>
      </c>
      <c r="C136" t="inlineStr">
        <is>
          <t>Hu0/0/1/1</t>
        </is>
      </c>
      <c r="D136" t="inlineStr">
        <is>
          <t>MH-DC-002-AGG-R02</t>
        </is>
      </c>
      <c r="E136" t="inlineStr">
        <is>
          <t>xe-0/0/3</t>
        </is>
      </c>
      <c r="F136" t="inlineStr">
        <is>
          <t>Uplink</t>
        </is>
      </c>
      <c r="G136" t="inlineStr">
        <is>
          <t>LLDP</t>
        </is>
      </c>
      <c r="H136" t="n">
        <v>10000</v>
      </c>
      <c r="I136" t="inlineStr">
        <is>
          <t>MH-DC-002-CBL-0067</t>
        </is>
      </c>
      <c r="J136" t="inlineStr">
        <is>
          <t>Rose</t>
        </is>
      </c>
      <c r="K136" t="inlineStr">
        <is>
          <t>ODF-3/P17</t>
        </is>
      </c>
      <c r="L136" t="inlineStr">
        <is>
          <t>ODF-1/P5</t>
        </is>
      </c>
    </row>
    <row r="137">
      <c r="A137" t="inlineStr">
        <is>
          <t>LNK-00136</t>
        </is>
      </c>
      <c r="B137" t="inlineStr">
        <is>
          <t>MH-DC-002-MMR-SW-04</t>
        </is>
      </c>
      <c r="C137" t="inlineStr">
        <is>
          <t>Hu0/0/1/0</t>
        </is>
      </c>
      <c r="D137" t="inlineStr">
        <is>
          <t>MH-DC-002-AGG-R02</t>
        </is>
      </c>
      <c r="E137" t="inlineStr">
        <is>
          <t>xe-0/0/4</t>
        </is>
      </c>
      <c r="F137" t="inlineStr">
        <is>
          <t>Uplink</t>
        </is>
      </c>
      <c r="G137" t="inlineStr">
        <is>
          <t>LLDP</t>
        </is>
      </c>
      <c r="H137" t="n">
        <v>10000</v>
      </c>
      <c r="I137" t="inlineStr">
        <is>
          <t>MH-DC-002-CBL-0068</t>
        </is>
      </c>
      <c r="J137" t="inlineStr">
        <is>
          <t>Orange</t>
        </is>
      </c>
      <c r="K137" t="inlineStr">
        <is>
          <t>ODF-1/P18</t>
        </is>
      </c>
      <c r="L137" t="inlineStr">
        <is>
          <t>ODF-3/P1</t>
        </is>
      </c>
    </row>
    <row r="138">
      <c r="A138" t="inlineStr">
        <is>
          <t>LNK-00137</t>
        </is>
      </c>
      <c r="B138" t="inlineStr">
        <is>
          <t>MH-DC-002-MMR-SW-04</t>
        </is>
      </c>
      <c r="C138" t="inlineStr">
        <is>
          <t>Hu0/0/1/1</t>
        </is>
      </c>
      <c r="D138" t="inlineStr">
        <is>
          <t>MH-DC-002-AGG-R01</t>
        </is>
      </c>
      <c r="E138" t="inlineStr">
        <is>
          <t>xe-0/0/4</t>
        </is>
      </c>
      <c r="F138" t="inlineStr">
        <is>
          <t>Uplink</t>
        </is>
      </c>
      <c r="G138" t="inlineStr">
        <is>
          <t>LLDP</t>
        </is>
      </c>
      <c r="H138" t="n">
        <v>10000</v>
      </c>
      <c r="I138" t="inlineStr">
        <is>
          <t>MH-DC-002-CBL-0069</t>
        </is>
      </c>
      <c r="J138" t="inlineStr">
        <is>
          <t>Slate</t>
        </is>
      </c>
      <c r="K138" t="inlineStr">
        <is>
          <t>ODF-1/P22</t>
        </is>
      </c>
      <c r="L138" t="inlineStr">
        <is>
          <t>ODF-2/P10</t>
        </is>
      </c>
    </row>
    <row r="139">
      <c r="A139" t="inlineStr">
        <is>
          <t>LNK-00138</t>
        </is>
      </c>
      <c r="B139" t="inlineStr">
        <is>
          <t>MH-DC-002-TOR-001</t>
        </is>
      </c>
      <c r="C139" t="inlineStr">
        <is>
          <t>xe-0/0/0</t>
        </is>
      </c>
      <c r="D139" t="inlineStr">
        <is>
          <t>MH-DC-002-MMR-SW-01</t>
        </is>
      </c>
      <c r="E139" t="inlineStr">
        <is>
          <t>Ethernet1</t>
        </is>
      </c>
      <c r="F139" t="inlineStr">
        <is>
          <t>Access</t>
        </is>
      </c>
      <c r="G139" t="inlineStr">
        <is>
          <t>LLDP</t>
        </is>
      </c>
      <c r="H139" t="n">
        <v>10000</v>
      </c>
      <c r="I139" t="inlineStr">
        <is>
          <t>MH-DC-002-CBL-0070</t>
        </is>
      </c>
      <c r="J139" t="inlineStr">
        <is>
          <t>Black</t>
        </is>
      </c>
      <c r="K139" t="inlineStr">
        <is>
          <t>ODF-4/P9</t>
        </is>
      </c>
      <c r="L139" t="inlineStr">
        <is>
          <t>ODF-4/P19</t>
        </is>
      </c>
    </row>
    <row r="140">
      <c r="A140" t="inlineStr">
        <is>
          <t>LNK-00139</t>
        </is>
      </c>
      <c r="B140" t="inlineStr">
        <is>
          <t>MH-DC-002-TOR-001</t>
        </is>
      </c>
      <c r="C140" t="inlineStr">
        <is>
          <t>xe-0/0/1</t>
        </is>
      </c>
      <c r="D140" t="inlineStr">
        <is>
          <t>MH-DC-002-MMR-SW-02</t>
        </is>
      </c>
      <c r="E140" t="inlineStr">
        <is>
          <t>xe-0/0/0</t>
        </is>
      </c>
      <c r="F140" t="inlineStr">
        <is>
          <t>Access</t>
        </is>
      </c>
      <c r="G140" t="inlineStr">
        <is>
          <t>LLDP</t>
        </is>
      </c>
      <c r="H140" t="n">
        <v>10000</v>
      </c>
      <c r="I140" t="inlineStr">
        <is>
          <t>MH-DC-002-CBL-0071</t>
        </is>
      </c>
      <c r="J140" t="inlineStr">
        <is>
          <t>Blue</t>
        </is>
      </c>
      <c r="K140" t="inlineStr">
        <is>
          <t>ODF-3/P18</t>
        </is>
      </c>
      <c r="L140" t="inlineStr">
        <is>
          <t>ODF-4/P12</t>
        </is>
      </c>
    </row>
    <row r="141">
      <c r="A141" t="inlineStr">
        <is>
          <t>LNK-00140</t>
        </is>
      </c>
      <c r="B141" t="inlineStr">
        <is>
          <t>MH-DC-002-TOR-002</t>
        </is>
      </c>
      <c r="C141" t="inlineStr">
        <is>
          <t>xe-0/0/0</t>
        </is>
      </c>
      <c r="D141" t="inlineStr">
        <is>
          <t>MH-DC-002-MMR-SW-02</t>
        </is>
      </c>
      <c r="E141" t="inlineStr">
        <is>
          <t>xe-0/0/1</t>
        </is>
      </c>
      <c r="F141" t="inlineStr">
        <is>
          <t>Access</t>
        </is>
      </c>
      <c r="G141" t="inlineStr">
        <is>
          <t>LLDP</t>
        </is>
      </c>
      <c r="H141" t="n">
        <v>10000</v>
      </c>
      <c r="I141" t="inlineStr">
        <is>
          <t>MH-DC-002-CBL-0072</t>
        </is>
      </c>
      <c r="J141" t="inlineStr">
        <is>
          <t>Slate</t>
        </is>
      </c>
      <c r="K141" t="inlineStr">
        <is>
          <t>ODF-4/P23</t>
        </is>
      </c>
      <c r="L141" t="inlineStr">
        <is>
          <t>ODF-2/P2</t>
        </is>
      </c>
    </row>
    <row r="142">
      <c r="A142" t="inlineStr">
        <is>
          <t>LNK-00141</t>
        </is>
      </c>
      <c r="B142" t="inlineStr">
        <is>
          <t>MH-DC-002-TOR-002</t>
        </is>
      </c>
      <c r="C142" t="inlineStr">
        <is>
          <t>xe-0/0/1</t>
        </is>
      </c>
      <c r="D142" t="inlineStr">
        <is>
          <t>MH-DC-002-MMR-SW-03</t>
        </is>
      </c>
      <c r="E142" t="inlineStr">
        <is>
          <t>Te0/0/0/0</t>
        </is>
      </c>
      <c r="F142" t="inlineStr">
        <is>
          <t>Access</t>
        </is>
      </c>
      <c r="G142" t="inlineStr">
        <is>
          <t>LLDP</t>
        </is>
      </c>
      <c r="H142" t="n">
        <v>10000</v>
      </c>
      <c r="I142" t="inlineStr">
        <is>
          <t>MH-DC-002-CBL-0073</t>
        </is>
      </c>
      <c r="J142" t="inlineStr">
        <is>
          <t>Aqua</t>
        </is>
      </c>
      <c r="K142" t="inlineStr">
        <is>
          <t>ODF-3/P14</t>
        </is>
      </c>
      <c r="L142" t="inlineStr">
        <is>
          <t>ODF-1/P19</t>
        </is>
      </c>
    </row>
    <row r="143">
      <c r="A143" t="inlineStr">
        <is>
          <t>LNK-00142</t>
        </is>
      </c>
      <c r="B143" t="inlineStr">
        <is>
          <t>MH-DC-002-TOR-003</t>
        </is>
      </c>
      <c r="C143" t="inlineStr">
        <is>
          <t>Te0/0/0/0</t>
        </is>
      </c>
      <c r="D143" t="inlineStr">
        <is>
          <t>MH-DC-002-MMR-SW-03</t>
        </is>
      </c>
      <c r="E143" t="inlineStr">
        <is>
          <t>Te0/0/0/1</t>
        </is>
      </c>
      <c r="F143" t="inlineStr">
        <is>
          <t>Access</t>
        </is>
      </c>
      <c r="G143" t="inlineStr">
        <is>
          <t>LLDP</t>
        </is>
      </c>
      <c r="H143" t="n">
        <v>10000</v>
      </c>
      <c r="I143" t="inlineStr">
        <is>
          <t>MH-DC-002-CBL-0074</t>
        </is>
      </c>
      <c r="J143" t="inlineStr">
        <is>
          <t>Blue</t>
        </is>
      </c>
      <c r="K143" t="inlineStr">
        <is>
          <t>ODF-1/P9</t>
        </is>
      </c>
      <c r="L143" t="inlineStr">
        <is>
          <t>ODF-1/P24</t>
        </is>
      </c>
    </row>
    <row r="144">
      <c r="A144" t="inlineStr">
        <is>
          <t>LNK-00143</t>
        </is>
      </c>
      <c r="B144" t="inlineStr">
        <is>
          <t>MH-DC-002-TOR-003</t>
        </is>
      </c>
      <c r="C144" t="inlineStr">
        <is>
          <t>Te0/0/0/1</t>
        </is>
      </c>
      <c r="D144" t="inlineStr">
        <is>
          <t>MH-DC-002-MMR-SW-04</t>
        </is>
      </c>
      <c r="E144" t="inlineStr">
        <is>
          <t>Te0/0/0/0</t>
        </is>
      </c>
      <c r="F144" t="inlineStr">
        <is>
          <t>Access</t>
        </is>
      </c>
      <c r="G144" t="inlineStr">
        <is>
          <t>LLDP</t>
        </is>
      </c>
      <c r="H144" t="n">
        <v>10000</v>
      </c>
      <c r="I144" t="inlineStr">
        <is>
          <t>MH-DC-002-CBL-0075</t>
        </is>
      </c>
      <c r="J144" t="inlineStr">
        <is>
          <t>Yellow</t>
        </is>
      </c>
      <c r="K144" t="inlineStr">
        <is>
          <t>ODF-3/P10</t>
        </is>
      </c>
      <c r="L144" t="inlineStr">
        <is>
          <t>ODF-2/P19</t>
        </is>
      </c>
    </row>
    <row r="145">
      <c r="A145" t="inlineStr">
        <is>
          <t>LNK-02113</t>
        </is>
      </c>
      <c r="B145" t="inlineStr">
        <is>
          <t>MH-DC-001-BMS-01</t>
        </is>
      </c>
      <c r="C145" t="inlineStr">
        <is>
          <t>eth0</t>
        </is>
      </c>
      <c r="D145" t="inlineStr">
        <is>
          <t>MH-DC-001-TOR-001</t>
        </is>
      </c>
      <c r="E145" t="inlineStr">
        <is>
          <t>Te0/0/0/2</t>
        </is>
      </c>
      <c r="F145" t="inlineStr">
        <is>
          <t>Access</t>
        </is>
      </c>
      <c r="G145" t="inlineStr">
        <is>
          <t>LLDP</t>
        </is>
      </c>
      <c r="H145" t="n">
        <v>10000</v>
      </c>
      <c r="I145" t="inlineStr">
        <is>
          <t>MH-DC-001-CBL-0990</t>
        </is>
      </c>
      <c r="J145" t="inlineStr">
        <is>
          <t>Blue</t>
        </is>
      </c>
      <c r="K145" t="inlineStr">
        <is>
          <t>ODF-1/P14</t>
        </is>
      </c>
      <c r="L145" t="inlineStr">
        <is>
          <t>ODF-4/P11</t>
        </is>
      </c>
    </row>
    <row r="146">
      <c r="A146" t="inlineStr">
        <is>
          <t>LNK-02114</t>
        </is>
      </c>
      <c r="B146" t="inlineStr">
        <is>
          <t>MH-DC-001-BMS-01</t>
        </is>
      </c>
      <c r="C146" t="inlineStr">
        <is>
          <t>eth1</t>
        </is>
      </c>
      <c r="D146" t="inlineStr">
        <is>
          <t>MH-DC-001-TOR-002</t>
        </is>
      </c>
      <c r="E146" t="inlineStr">
        <is>
          <t>Te0/0/0/2</t>
        </is>
      </c>
      <c r="F146" t="inlineStr">
        <is>
          <t>Access</t>
        </is>
      </c>
      <c r="G146" t="inlineStr">
        <is>
          <t>LLDP</t>
        </is>
      </c>
      <c r="H146" t="n">
        <v>10000</v>
      </c>
      <c r="I146" t="inlineStr">
        <is>
          <t>MH-DC-001-CBL-0991</t>
        </is>
      </c>
      <c r="J146" t="inlineStr">
        <is>
          <t>Aqua</t>
        </is>
      </c>
      <c r="K146" t="inlineStr">
        <is>
          <t>ODF-4/P9</t>
        </is>
      </c>
      <c r="L146" t="inlineStr">
        <is>
          <t>ODF-1/P14</t>
        </is>
      </c>
    </row>
    <row r="147">
      <c r="A147" t="inlineStr">
        <is>
          <t>LNK-02115</t>
        </is>
      </c>
      <c r="B147" t="inlineStr">
        <is>
          <t>MH-DC-001-BMS-02</t>
        </is>
      </c>
      <c r="C147" t="inlineStr">
        <is>
          <t>eth0</t>
        </is>
      </c>
      <c r="D147" t="inlineStr">
        <is>
          <t>MH-DC-001-TOR-001</t>
        </is>
      </c>
      <c r="E147" t="inlineStr">
        <is>
          <t>Te0/0/0/3</t>
        </is>
      </c>
      <c r="F147" t="inlineStr">
        <is>
          <t>Access</t>
        </is>
      </c>
      <c r="G147" t="inlineStr">
        <is>
          <t>LLDP</t>
        </is>
      </c>
      <c r="H147" t="n">
        <v>10000</v>
      </c>
      <c r="I147" t="inlineStr">
        <is>
          <t>MH-DC-001-CBL-0992</t>
        </is>
      </c>
      <c r="J147" t="inlineStr">
        <is>
          <t>Yellow</t>
        </is>
      </c>
      <c r="K147" t="inlineStr">
        <is>
          <t>ODF-2/P23</t>
        </is>
      </c>
      <c r="L147" t="inlineStr">
        <is>
          <t>ODF-3/P20</t>
        </is>
      </c>
    </row>
    <row r="148">
      <c r="A148" t="inlineStr">
        <is>
          <t>LNK-02116</t>
        </is>
      </c>
      <c r="B148" t="inlineStr">
        <is>
          <t>MH-DC-001-BMS-02</t>
        </is>
      </c>
      <c r="C148" t="inlineStr">
        <is>
          <t>eth1</t>
        </is>
      </c>
      <c r="D148" t="inlineStr">
        <is>
          <t>MH-DC-001-TOR-002</t>
        </is>
      </c>
      <c r="E148" t="inlineStr">
        <is>
          <t>Te0/0/0/3</t>
        </is>
      </c>
      <c r="F148" t="inlineStr">
        <is>
          <t>Access</t>
        </is>
      </c>
      <c r="G148" t="inlineStr">
        <is>
          <t>LLDP</t>
        </is>
      </c>
      <c r="H148" t="n">
        <v>10000</v>
      </c>
      <c r="I148" t="inlineStr">
        <is>
          <t>MH-DC-001-CBL-0993</t>
        </is>
      </c>
      <c r="J148" t="inlineStr">
        <is>
          <t>Brown</t>
        </is>
      </c>
      <c r="K148" t="inlineStr">
        <is>
          <t>ODF-2/P17</t>
        </is>
      </c>
      <c r="L148" t="inlineStr">
        <is>
          <t>ODF-3/P3</t>
        </is>
      </c>
    </row>
    <row r="149">
      <c r="A149" t="inlineStr">
        <is>
          <t>LNK-02117</t>
        </is>
      </c>
      <c r="B149" t="inlineStr">
        <is>
          <t>MH-DC-001-ACS-01</t>
        </is>
      </c>
      <c r="C149" t="inlineStr">
        <is>
          <t>eth0</t>
        </is>
      </c>
      <c r="D149" t="inlineStr">
        <is>
          <t>MH-DC-001-TOR-001</t>
        </is>
      </c>
      <c r="E149" t="inlineStr">
        <is>
          <t>Te0/0/0/8</t>
        </is>
      </c>
      <c r="F149" t="inlineStr">
        <is>
          <t>Access</t>
        </is>
      </c>
      <c r="G149" t="inlineStr">
        <is>
          <t>LLDP</t>
        </is>
      </c>
      <c r="H149" t="n">
        <v>10000</v>
      </c>
      <c r="I149" t="inlineStr">
        <is>
          <t>MH-DC-001-CBL-0994</t>
        </is>
      </c>
      <c r="J149" t="inlineStr">
        <is>
          <t>Violet</t>
        </is>
      </c>
      <c r="K149" t="inlineStr">
        <is>
          <t>ODF-3/P7</t>
        </is>
      </c>
      <c r="L149" t="inlineStr">
        <is>
          <t>ODF-1/P1</t>
        </is>
      </c>
    </row>
    <row r="150">
      <c r="A150" t="inlineStr">
        <is>
          <t>LNK-02118</t>
        </is>
      </c>
      <c r="B150" t="inlineStr">
        <is>
          <t>MH-DC-001-ACS-01</t>
        </is>
      </c>
      <c r="C150" t="inlineStr">
        <is>
          <t>eth1</t>
        </is>
      </c>
      <c r="D150" t="inlineStr">
        <is>
          <t>MH-DC-001-TOR-002</t>
        </is>
      </c>
      <c r="E150" t="inlineStr">
        <is>
          <t>Te0/0/0/7</t>
        </is>
      </c>
      <c r="F150" t="inlineStr">
        <is>
          <t>Access</t>
        </is>
      </c>
      <c r="G150" t="inlineStr">
        <is>
          <t>LLDP</t>
        </is>
      </c>
      <c r="H150" t="n">
        <v>10000</v>
      </c>
      <c r="I150" t="inlineStr">
        <is>
          <t>MH-DC-001-CBL-0995</t>
        </is>
      </c>
      <c r="J150" t="inlineStr">
        <is>
          <t>Red</t>
        </is>
      </c>
      <c r="K150" t="inlineStr">
        <is>
          <t>ODF-2/P8</t>
        </is>
      </c>
      <c r="L150" t="inlineStr">
        <is>
          <t>ODF-3/P22</t>
        </is>
      </c>
    </row>
    <row r="151">
      <c r="A151" t="inlineStr">
        <is>
          <t>LNK-02119</t>
        </is>
      </c>
      <c r="B151" t="inlineStr">
        <is>
          <t>MH-DC-001-NVR-01</t>
        </is>
      </c>
      <c r="C151" t="inlineStr">
        <is>
          <t>eth0</t>
        </is>
      </c>
      <c r="D151" t="inlineStr">
        <is>
          <t>MH-DC-001-TOR-001</t>
        </is>
      </c>
      <c r="E151" t="inlineStr">
        <is>
          <t>Te0/0/0/12</t>
        </is>
      </c>
      <c r="F151" t="inlineStr">
        <is>
          <t>Access</t>
        </is>
      </c>
      <c r="G151" t="inlineStr">
        <is>
          <t>LLDP</t>
        </is>
      </c>
      <c r="H151" t="n">
        <v>10000</v>
      </c>
      <c r="I151" t="inlineStr">
        <is>
          <t>MH-DC-001-CBL-0996</t>
        </is>
      </c>
      <c r="J151" t="inlineStr">
        <is>
          <t>Yellow</t>
        </is>
      </c>
      <c r="K151" t="inlineStr">
        <is>
          <t>ODF-2/P22</t>
        </is>
      </c>
      <c r="L151" t="inlineStr">
        <is>
          <t>ODF-2/P14</t>
        </is>
      </c>
    </row>
    <row r="152">
      <c r="A152" t="inlineStr">
        <is>
          <t>LNK-02120</t>
        </is>
      </c>
      <c r="B152" t="inlineStr">
        <is>
          <t>MH-DC-001-NVR-01</t>
        </is>
      </c>
      <c r="C152" t="inlineStr">
        <is>
          <t>eth1</t>
        </is>
      </c>
      <c r="D152" t="inlineStr">
        <is>
          <t>MH-DC-001-TOR-002</t>
        </is>
      </c>
      <c r="E152" t="inlineStr">
        <is>
          <t>Te0/0/0/10</t>
        </is>
      </c>
      <c r="F152" t="inlineStr">
        <is>
          <t>Access</t>
        </is>
      </c>
      <c r="G152" t="inlineStr">
        <is>
          <t>LLDP</t>
        </is>
      </c>
      <c r="H152" t="n">
        <v>10000</v>
      </c>
      <c r="I152" t="inlineStr">
        <is>
          <t>MH-DC-001-CBL-0997</t>
        </is>
      </c>
      <c r="J152" t="inlineStr">
        <is>
          <t>Black</t>
        </is>
      </c>
      <c r="K152" t="inlineStr">
        <is>
          <t>ODF-3/P21</t>
        </is>
      </c>
      <c r="L152" t="inlineStr">
        <is>
          <t>ODF-3/P9</t>
        </is>
      </c>
    </row>
    <row r="153">
      <c r="A153" t="inlineStr">
        <is>
          <t>LNK-02121</t>
        </is>
      </c>
      <c r="B153" t="inlineStr">
        <is>
          <t>MH-DC-001-NVR-02</t>
        </is>
      </c>
      <c r="C153" t="inlineStr">
        <is>
          <t>eth0</t>
        </is>
      </c>
      <c r="D153" t="inlineStr">
        <is>
          <t>MH-DC-001-TOR-001</t>
        </is>
      </c>
      <c r="E153" t="inlineStr">
        <is>
          <t>Te0/0/0/15</t>
        </is>
      </c>
      <c r="F153" t="inlineStr">
        <is>
          <t>Access</t>
        </is>
      </c>
      <c r="G153" t="inlineStr">
        <is>
          <t>LLDP</t>
        </is>
      </c>
      <c r="H153" t="n">
        <v>10000</v>
      </c>
      <c r="I153" t="inlineStr">
        <is>
          <t>MH-DC-001-CBL-0998</t>
        </is>
      </c>
      <c r="J153" t="inlineStr">
        <is>
          <t>Brown</t>
        </is>
      </c>
      <c r="K153" t="inlineStr">
        <is>
          <t>ODF-2/P5</t>
        </is>
      </c>
      <c r="L153" t="inlineStr">
        <is>
          <t>ODF-2/P8</t>
        </is>
      </c>
    </row>
    <row r="154">
      <c r="A154" t="inlineStr">
        <is>
          <t>LNK-02122</t>
        </is>
      </c>
      <c r="B154" t="inlineStr">
        <is>
          <t>MH-DC-001-NVR-02</t>
        </is>
      </c>
      <c r="C154" t="inlineStr">
        <is>
          <t>eth1</t>
        </is>
      </c>
      <c r="D154" t="inlineStr">
        <is>
          <t>MH-DC-001-TOR-002</t>
        </is>
      </c>
      <c r="E154" t="inlineStr">
        <is>
          <t>Te0/0/0/14</t>
        </is>
      </c>
      <c r="F154" t="inlineStr">
        <is>
          <t>Access</t>
        </is>
      </c>
      <c r="G154" t="inlineStr">
        <is>
          <t>LLDP</t>
        </is>
      </c>
      <c r="H154" t="n">
        <v>10000</v>
      </c>
      <c r="I154" t="inlineStr">
        <is>
          <t>MH-DC-001-CBL-0999</t>
        </is>
      </c>
      <c r="J154" t="inlineStr">
        <is>
          <t>Violet</t>
        </is>
      </c>
      <c r="K154" t="inlineStr">
        <is>
          <t>ODF-4/P19</t>
        </is>
      </c>
      <c r="L154" t="inlineStr">
        <is>
          <t>ODF-3/P13</t>
        </is>
      </c>
    </row>
    <row r="155">
      <c r="A155" t="inlineStr">
        <is>
          <t>LNK-02123</t>
        </is>
      </c>
      <c r="B155" t="inlineStr">
        <is>
          <t>MH-DC-001-JMP-01</t>
        </is>
      </c>
      <c r="C155" t="inlineStr">
        <is>
          <t>eth0</t>
        </is>
      </c>
      <c r="D155" t="inlineStr">
        <is>
          <t>MH-DC-001-TOR-003</t>
        </is>
      </c>
      <c r="E155" t="inlineStr">
        <is>
          <t>xe-0/0/2</t>
        </is>
      </c>
      <c r="F155" t="inlineStr">
        <is>
          <t>Access</t>
        </is>
      </c>
      <c r="G155" t="inlineStr">
        <is>
          <t>LLDP</t>
        </is>
      </c>
      <c r="H155" t="n">
        <v>10000</v>
      </c>
      <c r="I155" t="inlineStr">
        <is>
          <t>MH-DC-001-CBL-1000</t>
        </is>
      </c>
      <c r="J155" t="inlineStr">
        <is>
          <t>Black</t>
        </is>
      </c>
      <c r="K155" t="inlineStr">
        <is>
          <t>ODF-3/P13</t>
        </is>
      </c>
      <c r="L155" t="inlineStr">
        <is>
          <t>ODF-1/P21</t>
        </is>
      </c>
    </row>
    <row r="156">
      <c r="A156" t="inlineStr">
        <is>
          <t>LNK-02124</t>
        </is>
      </c>
      <c r="B156" t="inlineStr">
        <is>
          <t>MH-DC-001-JMP-01</t>
        </is>
      </c>
      <c r="C156" t="inlineStr">
        <is>
          <t>eth1</t>
        </is>
      </c>
      <c r="D156" t="inlineStr">
        <is>
          <t>MH-DC-001-TOR-004</t>
        </is>
      </c>
      <c r="E156" t="inlineStr">
        <is>
          <t>Te0/0/0/3</t>
        </is>
      </c>
      <c r="F156" t="inlineStr">
        <is>
          <t>Access</t>
        </is>
      </c>
      <c r="G156" t="inlineStr">
        <is>
          <t>LLDP</t>
        </is>
      </c>
      <c r="H156" t="n">
        <v>10000</v>
      </c>
      <c r="I156" t="inlineStr">
        <is>
          <t>MH-DC-001-CBL-1001</t>
        </is>
      </c>
      <c r="J156" t="inlineStr">
        <is>
          <t>Green</t>
        </is>
      </c>
      <c r="K156" t="inlineStr">
        <is>
          <t>ODF-2/P15</t>
        </is>
      </c>
      <c r="L156" t="inlineStr">
        <is>
          <t>ODF-3/P19</t>
        </is>
      </c>
    </row>
    <row r="157">
      <c r="A157" t="inlineStr">
        <is>
          <t>LNK-02125</t>
        </is>
      </c>
      <c r="B157" t="inlineStr">
        <is>
          <t>MH-DC-001-JMP-02</t>
        </is>
      </c>
      <c r="C157" t="inlineStr">
        <is>
          <t>eth0</t>
        </is>
      </c>
      <c r="D157" t="inlineStr">
        <is>
          <t>MH-DC-001-TOR-003</t>
        </is>
      </c>
      <c r="E157" t="inlineStr">
        <is>
          <t>xe-0/0/4</t>
        </is>
      </c>
      <c r="F157" t="inlineStr">
        <is>
          <t>Access</t>
        </is>
      </c>
      <c r="G157" t="inlineStr">
        <is>
          <t>LLDP</t>
        </is>
      </c>
      <c r="H157" t="n">
        <v>10000</v>
      </c>
      <c r="I157" t="inlineStr">
        <is>
          <t>MH-DC-001-CBL-1002</t>
        </is>
      </c>
      <c r="J157" t="inlineStr">
        <is>
          <t>Violet</t>
        </is>
      </c>
      <c r="K157" t="inlineStr">
        <is>
          <t>ODF-1/P19</t>
        </is>
      </c>
      <c r="L157" t="inlineStr">
        <is>
          <t>ODF-1/P7</t>
        </is>
      </c>
    </row>
    <row r="158">
      <c r="A158" t="inlineStr">
        <is>
          <t>LNK-02126</t>
        </is>
      </c>
      <c r="B158" t="inlineStr">
        <is>
          <t>MH-DC-001-JMP-02</t>
        </is>
      </c>
      <c r="C158" t="inlineStr">
        <is>
          <t>eth1</t>
        </is>
      </c>
      <c r="D158" t="inlineStr">
        <is>
          <t>MH-DC-001-TOR-004</t>
        </is>
      </c>
      <c r="E158" t="inlineStr">
        <is>
          <t>Te0/0/0/6</t>
        </is>
      </c>
      <c r="F158" t="inlineStr">
        <is>
          <t>Access</t>
        </is>
      </c>
      <c r="G158" t="inlineStr">
        <is>
          <t>LLDP</t>
        </is>
      </c>
      <c r="H158" t="n">
        <v>10000</v>
      </c>
      <c r="I158" t="inlineStr">
        <is>
          <t>MH-DC-001-CBL-1003</t>
        </is>
      </c>
      <c r="J158" t="inlineStr">
        <is>
          <t>Rose</t>
        </is>
      </c>
      <c r="K158" t="inlineStr">
        <is>
          <t>ODF-2/P11</t>
        </is>
      </c>
      <c r="L158" t="inlineStr">
        <is>
          <t>ODF-4/P10</t>
        </is>
      </c>
    </row>
    <row r="159">
      <c r="A159" t="inlineStr">
        <is>
          <t>LNK-02127</t>
        </is>
      </c>
      <c r="B159" t="inlineStr">
        <is>
          <t>MH-DC-001-BKP-01</t>
        </is>
      </c>
      <c r="C159" t="inlineStr">
        <is>
          <t>eth0</t>
        </is>
      </c>
      <c r="D159" t="inlineStr">
        <is>
          <t>MH-DC-001-TOR-003</t>
        </is>
      </c>
      <c r="E159" t="inlineStr">
        <is>
          <t>xe-0/0/5</t>
        </is>
      </c>
      <c r="F159" t="inlineStr">
        <is>
          <t>Access</t>
        </is>
      </c>
      <c r="G159" t="inlineStr">
        <is>
          <t>LLDP</t>
        </is>
      </c>
      <c r="H159" t="n">
        <v>10000</v>
      </c>
      <c r="I159" t="inlineStr">
        <is>
          <t>MH-DC-001-CBL-1004</t>
        </is>
      </c>
      <c r="J159" t="inlineStr">
        <is>
          <t>Red</t>
        </is>
      </c>
      <c r="K159" t="inlineStr">
        <is>
          <t>ODF-4/P1</t>
        </is>
      </c>
      <c r="L159" t="inlineStr">
        <is>
          <t>ODF-4/P4</t>
        </is>
      </c>
    </row>
    <row r="160">
      <c r="A160" t="inlineStr">
        <is>
          <t>LNK-02128</t>
        </is>
      </c>
      <c r="B160" t="inlineStr">
        <is>
          <t>MH-DC-001-BKP-01</t>
        </is>
      </c>
      <c r="C160" t="inlineStr">
        <is>
          <t>eth1</t>
        </is>
      </c>
      <c r="D160" t="inlineStr">
        <is>
          <t>MH-DC-001-TOR-004</t>
        </is>
      </c>
      <c r="E160" t="inlineStr">
        <is>
          <t>Te0/0/0/7</t>
        </is>
      </c>
      <c r="F160" t="inlineStr">
        <is>
          <t>Access</t>
        </is>
      </c>
      <c r="G160" t="inlineStr">
        <is>
          <t>LLDP</t>
        </is>
      </c>
      <c r="H160" t="n">
        <v>10000</v>
      </c>
      <c r="I160" t="inlineStr">
        <is>
          <t>MH-DC-001-CBL-1005</t>
        </is>
      </c>
      <c r="J160" t="inlineStr">
        <is>
          <t>Violet</t>
        </is>
      </c>
      <c r="K160" t="inlineStr">
        <is>
          <t>ODF-4/P24</t>
        </is>
      </c>
      <c r="L160" t="inlineStr">
        <is>
          <t>ODF-3/P24</t>
        </is>
      </c>
    </row>
    <row r="161">
      <c r="A161" t="inlineStr">
        <is>
          <t>LNK-02129</t>
        </is>
      </c>
      <c r="B161" t="inlineStr">
        <is>
          <t>MH-DC-001-DCIM-01</t>
        </is>
      </c>
      <c r="C161" t="inlineStr">
        <is>
          <t>eth0</t>
        </is>
      </c>
      <c r="D161" t="inlineStr">
        <is>
          <t>MH-DC-001-TOR-003</t>
        </is>
      </c>
      <c r="E161" t="inlineStr">
        <is>
          <t>xe-0/0/9</t>
        </is>
      </c>
      <c r="F161" t="inlineStr">
        <is>
          <t>Access</t>
        </is>
      </c>
      <c r="G161" t="inlineStr">
        <is>
          <t>LLDP</t>
        </is>
      </c>
      <c r="H161" t="n">
        <v>10000</v>
      </c>
      <c r="I161" t="inlineStr">
        <is>
          <t>MH-DC-001-CBL-1006</t>
        </is>
      </c>
      <c r="J161" t="inlineStr">
        <is>
          <t>Brown</t>
        </is>
      </c>
      <c r="K161" t="inlineStr">
        <is>
          <t>ODF-2/P7</t>
        </is>
      </c>
      <c r="L161" t="inlineStr">
        <is>
          <t>ODF-4/P24</t>
        </is>
      </c>
    </row>
    <row r="162">
      <c r="A162" t="inlineStr">
        <is>
          <t>LNK-02130</t>
        </is>
      </c>
      <c r="B162" t="inlineStr">
        <is>
          <t>MH-DC-001-DCIM-01</t>
        </is>
      </c>
      <c r="C162" t="inlineStr">
        <is>
          <t>eth1</t>
        </is>
      </c>
      <c r="D162" t="inlineStr">
        <is>
          <t>MH-DC-001-TOR-004</t>
        </is>
      </c>
      <c r="E162" t="inlineStr">
        <is>
          <t>Te0/0/0/10</t>
        </is>
      </c>
      <c r="F162" t="inlineStr">
        <is>
          <t>Access</t>
        </is>
      </c>
      <c r="G162" t="inlineStr">
        <is>
          <t>LLDP</t>
        </is>
      </c>
      <c r="H162" t="n">
        <v>10000</v>
      </c>
      <c r="I162" t="inlineStr">
        <is>
          <t>MH-DC-001-CBL-1007</t>
        </is>
      </c>
      <c r="J162" t="inlineStr">
        <is>
          <t>Green</t>
        </is>
      </c>
      <c r="K162" t="inlineStr">
        <is>
          <t>ODF-3/P7</t>
        </is>
      </c>
      <c r="L162" t="inlineStr">
        <is>
          <t>ODF-4/P22</t>
        </is>
      </c>
    </row>
    <row r="163">
      <c r="A163" t="inlineStr">
        <is>
          <t>LNK-02131</t>
        </is>
      </c>
      <c r="B163" t="inlineStr">
        <is>
          <t>MH-DC-001-DCIM-02</t>
        </is>
      </c>
      <c r="C163" t="inlineStr">
        <is>
          <t>eth0</t>
        </is>
      </c>
      <c r="D163" t="inlineStr">
        <is>
          <t>MH-DC-001-TOR-003</t>
        </is>
      </c>
      <c r="E163" t="inlineStr">
        <is>
          <t>xe-0/0/11</t>
        </is>
      </c>
      <c r="F163" t="inlineStr">
        <is>
          <t>Access</t>
        </is>
      </c>
      <c r="G163" t="inlineStr">
        <is>
          <t>LLDP</t>
        </is>
      </c>
      <c r="H163" t="n">
        <v>10000</v>
      </c>
      <c r="I163" t="inlineStr">
        <is>
          <t>MH-DC-001-CBL-1008</t>
        </is>
      </c>
      <c r="J163" t="inlineStr">
        <is>
          <t>Slate</t>
        </is>
      </c>
      <c r="K163" t="inlineStr">
        <is>
          <t>ODF-1/P14</t>
        </is>
      </c>
      <c r="L163" t="inlineStr">
        <is>
          <t>ODF-4/P5</t>
        </is>
      </c>
    </row>
    <row r="164">
      <c r="A164" t="inlineStr">
        <is>
          <t>LNK-02132</t>
        </is>
      </c>
      <c r="B164" t="inlineStr">
        <is>
          <t>MH-DC-001-DCIM-02</t>
        </is>
      </c>
      <c r="C164" t="inlineStr">
        <is>
          <t>eth1</t>
        </is>
      </c>
      <c r="D164" t="inlineStr">
        <is>
          <t>MH-DC-001-TOR-004</t>
        </is>
      </c>
      <c r="E164" t="inlineStr">
        <is>
          <t>Te0/0/0/12</t>
        </is>
      </c>
      <c r="F164" t="inlineStr">
        <is>
          <t>Access</t>
        </is>
      </c>
      <c r="G164" t="inlineStr">
        <is>
          <t>LLDP</t>
        </is>
      </c>
      <c r="H164" t="n">
        <v>10000</v>
      </c>
      <c r="I164" t="inlineStr">
        <is>
          <t>MH-DC-001-CBL-1009</t>
        </is>
      </c>
      <c r="J164" t="inlineStr">
        <is>
          <t>Rose</t>
        </is>
      </c>
      <c r="K164" t="inlineStr">
        <is>
          <t>ODF-3/P22</t>
        </is>
      </c>
      <c r="L164" t="inlineStr">
        <is>
          <t>ODF-4/P19</t>
        </is>
      </c>
    </row>
    <row r="165">
      <c r="A165" t="inlineStr">
        <is>
          <t>LNK-02133</t>
        </is>
      </c>
      <c r="B165" t="inlineStr">
        <is>
          <t>MH-DC-001-MON-01</t>
        </is>
      </c>
      <c r="C165" t="inlineStr">
        <is>
          <t>eth0</t>
        </is>
      </c>
      <c r="D165" t="inlineStr">
        <is>
          <t>MH-DC-001-TOR-003</t>
        </is>
      </c>
      <c r="E165" t="inlineStr">
        <is>
          <t>xe-0/0/13</t>
        </is>
      </c>
      <c r="F165" t="inlineStr">
        <is>
          <t>Access</t>
        </is>
      </c>
      <c r="G165" t="inlineStr">
        <is>
          <t>LLDP</t>
        </is>
      </c>
      <c r="H165" t="n">
        <v>10000</v>
      </c>
      <c r="I165" t="inlineStr">
        <is>
          <t>MH-DC-001-CBL-1010</t>
        </is>
      </c>
      <c r="J165" t="inlineStr">
        <is>
          <t>White</t>
        </is>
      </c>
      <c r="K165" t="inlineStr">
        <is>
          <t>ODF-3/P1</t>
        </is>
      </c>
      <c r="L165" t="inlineStr">
        <is>
          <t>ODF-4/P3</t>
        </is>
      </c>
    </row>
    <row r="166">
      <c r="A166" t="inlineStr">
        <is>
          <t>LNK-02134</t>
        </is>
      </c>
      <c r="B166" t="inlineStr">
        <is>
          <t>MH-DC-001-MON-01</t>
        </is>
      </c>
      <c r="C166" t="inlineStr">
        <is>
          <t>eth1</t>
        </is>
      </c>
      <c r="D166" t="inlineStr">
        <is>
          <t>MH-DC-001-TOR-004</t>
        </is>
      </c>
      <c r="E166" t="inlineStr">
        <is>
          <t>Te0/0/0/17</t>
        </is>
      </c>
      <c r="F166" t="inlineStr">
        <is>
          <t>Access</t>
        </is>
      </c>
      <c r="G166" t="inlineStr">
        <is>
          <t>LLDP</t>
        </is>
      </c>
      <c r="H166" t="n">
        <v>10000</v>
      </c>
      <c r="I166" t="inlineStr">
        <is>
          <t>MH-DC-001-CBL-1011</t>
        </is>
      </c>
      <c r="J166" t="inlineStr">
        <is>
          <t>Slate</t>
        </is>
      </c>
      <c r="K166" t="inlineStr">
        <is>
          <t>ODF-2/P17</t>
        </is>
      </c>
      <c r="L166" t="inlineStr">
        <is>
          <t>ODF-4/P17</t>
        </is>
      </c>
    </row>
    <row r="167">
      <c r="A167" t="inlineStr">
        <is>
          <t>LNK-02135</t>
        </is>
      </c>
      <c r="B167" t="inlineStr">
        <is>
          <t>MH-DC-001-MON-02</t>
        </is>
      </c>
      <c r="C167" t="inlineStr">
        <is>
          <t>eth0</t>
        </is>
      </c>
      <c r="D167" t="inlineStr">
        <is>
          <t>MH-DC-001-TOR-003</t>
        </is>
      </c>
      <c r="E167" t="inlineStr">
        <is>
          <t>xe-0/0/15</t>
        </is>
      </c>
      <c r="F167" t="inlineStr">
        <is>
          <t>Access</t>
        </is>
      </c>
      <c r="G167" t="inlineStr">
        <is>
          <t>LLDP</t>
        </is>
      </c>
      <c r="H167" t="n">
        <v>10000</v>
      </c>
      <c r="I167" t="inlineStr">
        <is>
          <t>MH-DC-001-CBL-1012</t>
        </is>
      </c>
      <c r="J167" t="inlineStr">
        <is>
          <t>Violet</t>
        </is>
      </c>
      <c r="K167" t="inlineStr">
        <is>
          <t>ODF-4/P7</t>
        </is>
      </c>
      <c r="L167" t="inlineStr">
        <is>
          <t>ODF-1/P2</t>
        </is>
      </c>
    </row>
    <row r="168">
      <c r="A168" t="inlineStr">
        <is>
          <t>LNK-02136</t>
        </is>
      </c>
      <c r="B168" t="inlineStr">
        <is>
          <t>MH-DC-001-MON-02</t>
        </is>
      </c>
      <c r="C168" t="inlineStr">
        <is>
          <t>eth1</t>
        </is>
      </c>
      <c r="D168" t="inlineStr">
        <is>
          <t>MH-DC-001-TOR-004</t>
        </is>
      </c>
      <c r="E168" t="inlineStr">
        <is>
          <t>Te0/0/0/23</t>
        </is>
      </c>
      <c r="F168" t="inlineStr">
        <is>
          <t>Access</t>
        </is>
      </c>
      <c r="G168" t="inlineStr">
        <is>
          <t>LLDP</t>
        </is>
      </c>
      <c r="H168" t="n">
        <v>10000</v>
      </c>
      <c r="I168" t="inlineStr">
        <is>
          <t>MH-DC-001-CBL-1013</t>
        </is>
      </c>
      <c r="J168" t="inlineStr">
        <is>
          <t>Green</t>
        </is>
      </c>
      <c r="K168" t="inlineStr">
        <is>
          <t>ODF-4/P24</t>
        </is>
      </c>
      <c r="L168" t="inlineStr">
        <is>
          <t>ODF-4/P24</t>
        </is>
      </c>
    </row>
    <row r="169">
      <c r="A169" t="inlineStr">
        <is>
          <t>LNK-02137</t>
        </is>
      </c>
      <c r="B169" t="inlineStr">
        <is>
          <t>MH-DC-002-BMS-01</t>
        </is>
      </c>
      <c r="C169" t="inlineStr">
        <is>
          <t>eth0</t>
        </is>
      </c>
      <c r="D169" t="inlineStr">
        <is>
          <t>MH-DC-002-TOR-001</t>
        </is>
      </c>
      <c r="E169" t="inlineStr">
        <is>
          <t>xe-0/0/2</t>
        </is>
      </c>
      <c r="F169" t="inlineStr">
        <is>
          <t>Access</t>
        </is>
      </c>
      <c r="G169" t="inlineStr">
        <is>
          <t>LLDP</t>
        </is>
      </c>
      <c r="H169" t="n">
        <v>10000</v>
      </c>
      <c r="I169" t="inlineStr">
        <is>
          <t>MH-DC-002-CBL-1014</t>
        </is>
      </c>
      <c r="J169" t="inlineStr">
        <is>
          <t>Green</t>
        </is>
      </c>
      <c r="K169" t="inlineStr">
        <is>
          <t>ODF-4/P1</t>
        </is>
      </c>
      <c r="L169" t="inlineStr">
        <is>
          <t>ODF-3/P14</t>
        </is>
      </c>
    </row>
    <row r="170">
      <c r="A170" t="inlineStr">
        <is>
          <t>LNK-02138</t>
        </is>
      </c>
      <c r="B170" t="inlineStr">
        <is>
          <t>MH-DC-002-BMS-01</t>
        </is>
      </c>
      <c r="C170" t="inlineStr">
        <is>
          <t>eth1</t>
        </is>
      </c>
      <c r="D170" t="inlineStr">
        <is>
          <t>MH-DC-002-TOR-002</t>
        </is>
      </c>
      <c r="E170" t="inlineStr">
        <is>
          <t>xe-0/0/4</t>
        </is>
      </c>
      <c r="F170" t="inlineStr">
        <is>
          <t>Access</t>
        </is>
      </c>
      <c r="G170" t="inlineStr">
        <is>
          <t>LLDP</t>
        </is>
      </c>
      <c r="H170" t="n">
        <v>10000</v>
      </c>
      <c r="I170" t="inlineStr">
        <is>
          <t>MH-DC-002-CBL-1015</t>
        </is>
      </c>
      <c r="J170" t="inlineStr">
        <is>
          <t>Black</t>
        </is>
      </c>
      <c r="K170" t="inlineStr">
        <is>
          <t>ODF-3/P18</t>
        </is>
      </c>
      <c r="L170" t="inlineStr">
        <is>
          <t>ODF-4/P12</t>
        </is>
      </c>
    </row>
    <row r="171">
      <c r="A171" t="inlineStr">
        <is>
          <t>LNK-02139</t>
        </is>
      </c>
      <c r="B171" t="inlineStr">
        <is>
          <t>MH-DC-002-BMS-02</t>
        </is>
      </c>
      <c r="C171" t="inlineStr">
        <is>
          <t>eth0</t>
        </is>
      </c>
      <c r="D171" t="inlineStr">
        <is>
          <t>MH-DC-002-TOR-001</t>
        </is>
      </c>
      <c r="E171" t="inlineStr">
        <is>
          <t>xe-0/0/3</t>
        </is>
      </c>
      <c r="F171" t="inlineStr">
        <is>
          <t>Access</t>
        </is>
      </c>
      <c r="G171" t="inlineStr">
        <is>
          <t>LLDP</t>
        </is>
      </c>
      <c r="H171" t="n">
        <v>10000</v>
      </c>
      <c r="I171" t="inlineStr">
        <is>
          <t>MH-DC-002-CBL-1016</t>
        </is>
      </c>
      <c r="J171" t="inlineStr">
        <is>
          <t>White</t>
        </is>
      </c>
      <c r="K171" t="inlineStr">
        <is>
          <t>ODF-4/P14</t>
        </is>
      </c>
      <c r="L171" t="inlineStr">
        <is>
          <t>ODF-1/P14</t>
        </is>
      </c>
    </row>
    <row r="172">
      <c r="A172" t="inlineStr">
        <is>
          <t>LNK-02140</t>
        </is>
      </c>
      <c r="B172" t="inlineStr">
        <is>
          <t>MH-DC-002-BMS-02</t>
        </is>
      </c>
      <c r="C172" t="inlineStr">
        <is>
          <t>eth1</t>
        </is>
      </c>
      <c r="D172" t="inlineStr">
        <is>
          <t>MH-DC-002-TOR-002</t>
        </is>
      </c>
      <c r="E172" t="inlineStr">
        <is>
          <t>xe-0/0/6</t>
        </is>
      </c>
      <c r="F172" t="inlineStr">
        <is>
          <t>Access</t>
        </is>
      </c>
      <c r="G172" t="inlineStr">
        <is>
          <t>LLDP</t>
        </is>
      </c>
      <c r="H172" t="n">
        <v>10000</v>
      </c>
      <c r="I172" t="inlineStr">
        <is>
          <t>MH-DC-002-CBL-1017</t>
        </is>
      </c>
      <c r="J172" t="inlineStr">
        <is>
          <t>Violet</t>
        </is>
      </c>
      <c r="K172" t="inlineStr">
        <is>
          <t>ODF-2/P24</t>
        </is>
      </c>
      <c r="L172" t="inlineStr">
        <is>
          <t>ODF-4/P23</t>
        </is>
      </c>
    </row>
    <row r="173">
      <c r="A173" t="inlineStr">
        <is>
          <t>LNK-02141</t>
        </is>
      </c>
      <c r="B173" t="inlineStr">
        <is>
          <t>MH-DC-002-ACS-01</t>
        </is>
      </c>
      <c r="C173" t="inlineStr">
        <is>
          <t>eth0</t>
        </is>
      </c>
      <c r="D173" t="inlineStr">
        <is>
          <t>MH-DC-002-TOR-001</t>
        </is>
      </c>
      <c r="E173" t="inlineStr">
        <is>
          <t>xe-0/0/9</t>
        </is>
      </c>
      <c r="F173" t="inlineStr">
        <is>
          <t>Access</t>
        </is>
      </c>
      <c r="G173" t="inlineStr">
        <is>
          <t>LLDP</t>
        </is>
      </c>
      <c r="H173" t="n">
        <v>10000</v>
      </c>
      <c r="I173" t="inlineStr">
        <is>
          <t>MH-DC-002-CBL-1018</t>
        </is>
      </c>
      <c r="J173" t="inlineStr">
        <is>
          <t>Aqua</t>
        </is>
      </c>
      <c r="K173" t="inlineStr">
        <is>
          <t>ODF-3/P12</t>
        </is>
      </c>
      <c r="L173" t="inlineStr">
        <is>
          <t>ODF-3/P14</t>
        </is>
      </c>
    </row>
    <row r="174">
      <c r="A174" t="inlineStr">
        <is>
          <t>LNK-02142</t>
        </is>
      </c>
      <c r="B174" t="inlineStr">
        <is>
          <t>MH-DC-002-ACS-01</t>
        </is>
      </c>
      <c r="C174" t="inlineStr">
        <is>
          <t>eth1</t>
        </is>
      </c>
      <c r="D174" t="inlineStr">
        <is>
          <t>MH-DC-002-TOR-002</t>
        </is>
      </c>
      <c r="E174" t="inlineStr">
        <is>
          <t>xe-0/0/9</t>
        </is>
      </c>
      <c r="F174" t="inlineStr">
        <is>
          <t>Access</t>
        </is>
      </c>
      <c r="G174" t="inlineStr">
        <is>
          <t>LLDP</t>
        </is>
      </c>
      <c r="H174" t="n">
        <v>10000</v>
      </c>
      <c r="I174" t="inlineStr">
        <is>
          <t>MH-DC-002-CBL-1019</t>
        </is>
      </c>
      <c r="J174" t="inlineStr">
        <is>
          <t>White</t>
        </is>
      </c>
      <c r="K174" t="inlineStr">
        <is>
          <t>ODF-1/P6</t>
        </is>
      </c>
      <c r="L174" t="inlineStr">
        <is>
          <t>ODF-2/P1</t>
        </is>
      </c>
    </row>
    <row r="175">
      <c r="A175" t="inlineStr">
        <is>
          <t>LNK-02143</t>
        </is>
      </c>
      <c r="B175" t="inlineStr">
        <is>
          <t>MH-DC-002-NVR-01</t>
        </is>
      </c>
      <c r="C175" t="inlineStr">
        <is>
          <t>eth0</t>
        </is>
      </c>
      <c r="D175" t="inlineStr">
        <is>
          <t>MH-DC-002-TOR-001</t>
        </is>
      </c>
      <c r="E175" t="inlineStr">
        <is>
          <t>xe-0/0/15</t>
        </is>
      </c>
      <c r="F175" t="inlineStr">
        <is>
          <t>Access</t>
        </is>
      </c>
      <c r="G175" t="inlineStr">
        <is>
          <t>LLDP</t>
        </is>
      </c>
      <c r="H175" t="n">
        <v>10000</v>
      </c>
      <c r="I175" t="inlineStr">
        <is>
          <t>MH-DC-002-CBL-1020</t>
        </is>
      </c>
      <c r="J175" t="inlineStr">
        <is>
          <t>Violet</t>
        </is>
      </c>
      <c r="K175" t="inlineStr">
        <is>
          <t>ODF-4/P22</t>
        </is>
      </c>
      <c r="L175" t="inlineStr">
        <is>
          <t>ODF-1/P13</t>
        </is>
      </c>
    </row>
    <row r="176">
      <c r="A176" t="inlineStr">
        <is>
          <t>LNK-02144</t>
        </is>
      </c>
      <c r="B176" t="inlineStr">
        <is>
          <t>MH-DC-002-NVR-01</t>
        </is>
      </c>
      <c r="C176" t="inlineStr">
        <is>
          <t>eth1</t>
        </is>
      </c>
      <c r="D176" t="inlineStr">
        <is>
          <t>MH-DC-002-TOR-002</t>
        </is>
      </c>
      <c r="E176" t="inlineStr">
        <is>
          <t>xe-0/0/15</t>
        </is>
      </c>
      <c r="F176" t="inlineStr">
        <is>
          <t>Access</t>
        </is>
      </c>
      <c r="G176" t="inlineStr">
        <is>
          <t>LLDP</t>
        </is>
      </c>
      <c r="H176" t="n">
        <v>10000</v>
      </c>
      <c r="I176" t="inlineStr">
        <is>
          <t>MH-DC-002-CBL-1021</t>
        </is>
      </c>
      <c r="J176" t="inlineStr">
        <is>
          <t>Green</t>
        </is>
      </c>
      <c r="K176" t="inlineStr">
        <is>
          <t>ODF-3/P16</t>
        </is>
      </c>
      <c r="L176" t="inlineStr">
        <is>
          <t>ODF-4/P14</t>
        </is>
      </c>
    </row>
    <row r="177">
      <c r="A177" t="inlineStr">
        <is>
          <t>LNK-02145</t>
        </is>
      </c>
      <c r="B177" t="inlineStr">
        <is>
          <t>MH-DC-002-JMP-01</t>
        </is>
      </c>
      <c r="C177" t="inlineStr">
        <is>
          <t>eth0</t>
        </is>
      </c>
      <c r="D177" t="inlineStr">
        <is>
          <t>MH-DC-002-TOR-001</t>
        </is>
      </c>
      <c r="E177" t="inlineStr">
        <is>
          <t>xe-0/0/20</t>
        </is>
      </c>
      <c r="F177" t="inlineStr">
        <is>
          <t>Access</t>
        </is>
      </c>
      <c r="G177" t="inlineStr">
        <is>
          <t>LLDP</t>
        </is>
      </c>
      <c r="H177" t="n">
        <v>10000</v>
      </c>
      <c r="I177" t="inlineStr">
        <is>
          <t>MH-DC-002-CBL-1022</t>
        </is>
      </c>
      <c r="J177" t="inlineStr">
        <is>
          <t>Yellow</t>
        </is>
      </c>
      <c r="K177" t="inlineStr">
        <is>
          <t>ODF-3/P13</t>
        </is>
      </c>
      <c r="L177" t="inlineStr">
        <is>
          <t>ODF-4/P7</t>
        </is>
      </c>
    </row>
    <row r="178">
      <c r="A178" t="inlineStr">
        <is>
          <t>LNK-02146</t>
        </is>
      </c>
      <c r="B178" t="inlineStr">
        <is>
          <t>MH-DC-002-JMP-01</t>
        </is>
      </c>
      <c r="C178" t="inlineStr">
        <is>
          <t>eth1</t>
        </is>
      </c>
      <c r="D178" t="inlineStr">
        <is>
          <t>MH-DC-002-TOR-002</t>
        </is>
      </c>
      <c r="E178" t="inlineStr">
        <is>
          <t>xe-0/0/17</t>
        </is>
      </c>
      <c r="F178" t="inlineStr">
        <is>
          <t>Access</t>
        </is>
      </c>
      <c r="G178" t="inlineStr">
        <is>
          <t>LLDP</t>
        </is>
      </c>
      <c r="H178" t="n">
        <v>10000</v>
      </c>
      <c r="I178" t="inlineStr">
        <is>
          <t>MH-DC-002-CBL-1023</t>
        </is>
      </c>
      <c r="J178" t="inlineStr">
        <is>
          <t>Slate</t>
        </is>
      </c>
      <c r="K178" t="inlineStr">
        <is>
          <t>ODF-3/P3</t>
        </is>
      </c>
      <c r="L178" t="inlineStr">
        <is>
          <t>ODF-4/P4</t>
        </is>
      </c>
    </row>
    <row r="179">
      <c r="A179" t="inlineStr">
        <is>
          <t>LNK-02147</t>
        </is>
      </c>
      <c r="B179" t="inlineStr">
        <is>
          <t>MH-DC-002-BKP-01</t>
        </is>
      </c>
      <c r="C179" t="inlineStr">
        <is>
          <t>eth0</t>
        </is>
      </c>
      <c r="D179" t="inlineStr">
        <is>
          <t>MH-DC-002-TOR-001</t>
        </is>
      </c>
      <c r="E179" t="inlineStr">
        <is>
          <t>xe-0/0/21</t>
        </is>
      </c>
      <c r="F179" t="inlineStr">
        <is>
          <t>Access</t>
        </is>
      </c>
      <c r="G179" t="inlineStr">
        <is>
          <t>LLDP</t>
        </is>
      </c>
      <c r="H179" t="n">
        <v>10000</v>
      </c>
      <c r="I179" t="inlineStr">
        <is>
          <t>MH-DC-002-CBL-1024</t>
        </is>
      </c>
      <c r="J179" t="inlineStr">
        <is>
          <t>White</t>
        </is>
      </c>
      <c r="K179" t="inlineStr">
        <is>
          <t>ODF-3/P14</t>
        </is>
      </c>
      <c r="L179" t="inlineStr">
        <is>
          <t>ODF-3/P13</t>
        </is>
      </c>
    </row>
    <row r="180">
      <c r="A180" t="inlineStr">
        <is>
          <t>LNK-02148</t>
        </is>
      </c>
      <c r="B180" t="inlineStr">
        <is>
          <t>MH-DC-002-BKP-01</t>
        </is>
      </c>
      <c r="C180" t="inlineStr">
        <is>
          <t>eth1</t>
        </is>
      </c>
      <c r="D180" t="inlineStr">
        <is>
          <t>MH-DC-002-TOR-002</t>
        </is>
      </c>
      <c r="E180" t="inlineStr">
        <is>
          <t>xe-0/0/18</t>
        </is>
      </c>
      <c r="F180" t="inlineStr">
        <is>
          <t>Access</t>
        </is>
      </c>
      <c r="G180" t="inlineStr">
        <is>
          <t>LLDP</t>
        </is>
      </c>
      <c r="H180" t="n">
        <v>10000</v>
      </c>
      <c r="I180" t="inlineStr">
        <is>
          <t>MH-DC-002-CBL-1025</t>
        </is>
      </c>
      <c r="J180" t="inlineStr">
        <is>
          <t>Yellow</t>
        </is>
      </c>
      <c r="K180" t="inlineStr">
        <is>
          <t>ODF-2/P22</t>
        </is>
      </c>
      <c r="L180" t="inlineStr">
        <is>
          <t>ODF-3/P10</t>
        </is>
      </c>
    </row>
    <row r="181">
      <c r="A181" t="inlineStr">
        <is>
          <t>LNK-02149</t>
        </is>
      </c>
      <c r="B181" t="inlineStr">
        <is>
          <t>MH-DC-002-DCIM-01</t>
        </is>
      </c>
      <c r="C181" t="inlineStr">
        <is>
          <t>eth0</t>
        </is>
      </c>
      <c r="D181" t="inlineStr">
        <is>
          <t>MH-DC-002-TOR-001</t>
        </is>
      </c>
      <c r="E181" t="inlineStr">
        <is>
          <t>xe-0/0/22</t>
        </is>
      </c>
      <c r="F181" t="inlineStr">
        <is>
          <t>Access</t>
        </is>
      </c>
      <c r="G181" t="inlineStr">
        <is>
          <t>LLDP</t>
        </is>
      </c>
      <c r="H181" t="n">
        <v>10000</v>
      </c>
      <c r="I181" t="inlineStr">
        <is>
          <t>MH-DC-002-CBL-1026</t>
        </is>
      </c>
      <c r="J181" t="inlineStr">
        <is>
          <t>Brown</t>
        </is>
      </c>
      <c r="K181" t="inlineStr">
        <is>
          <t>ODF-3/P11</t>
        </is>
      </c>
      <c r="L181" t="inlineStr">
        <is>
          <t>ODF-3/P12</t>
        </is>
      </c>
    </row>
    <row r="182">
      <c r="A182" t="inlineStr">
        <is>
          <t>LNK-02150</t>
        </is>
      </c>
      <c r="B182" t="inlineStr">
        <is>
          <t>MH-DC-002-DCIM-01</t>
        </is>
      </c>
      <c r="C182" t="inlineStr">
        <is>
          <t>eth1</t>
        </is>
      </c>
      <c r="D182" t="inlineStr">
        <is>
          <t>MH-DC-002-TOR-002</t>
        </is>
      </c>
      <c r="E182" t="inlineStr">
        <is>
          <t>xe-0/0/22</t>
        </is>
      </c>
      <c r="F182" t="inlineStr">
        <is>
          <t>Access</t>
        </is>
      </c>
      <c r="G182" t="inlineStr">
        <is>
          <t>LLDP</t>
        </is>
      </c>
      <c r="H182" t="n">
        <v>10000</v>
      </c>
      <c r="I182" t="inlineStr">
        <is>
          <t>MH-DC-002-CBL-1027</t>
        </is>
      </c>
      <c r="J182" t="inlineStr">
        <is>
          <t>Green</t>
        </is>
      </c>
      <c r="K182" t="inlineStr">
        <is>
          <t>ODF-1/P9</t>
        </is>
      </c>
      <c r="L182" t="inlineStr">
        <is>
          <t>ODF-3/P6</t>
        </is>
      </c>
    </row>
    <row r="183">
      <c r="A183" t="inlineStr">
        <is>
          <t>LNK-02151</t>
        </is>
      </c>
      <c r="B183" t="inlineStr">
        <is>
          <t>MH-DC-002-DCIM-02</t>
        </is>
      </c>
      <c r="C183" t="inlineStr">
        <is>
          <t>eth0</t>
        </is>
      </c>
      <c r="D183" t="inlineStr">
        <is>
          <t>MH-DC-002-MMR-SW-01</t>
        </is>
      </c>
      <c r="E183" t="inlineStr">
        <is>
          <t>Ethernet4</t>
        </is>
      </c>
      <c r="F183" t="inlineStr">
        <is>
          <t>Access</t>
        </is>
      </c>
      <c r="G183" t="inlineStr">
        <is>
          <t>LLDP</t>
        </is>
      </c>
      <c r="H183" t="n">
        <v>10000</v>
      </c>
      <c r="I183" t="inlineStr">
        <is>
          <t>MH-DC-002-CBL-1028</t>
        </is>
      </c>
      <c r="J183" t="inlineStr">
        <is>
          <t>Orange</t>
        </is>
      </c>
      <c r="K183" t="inlineStr">
        <is>
          <t>ODF-1/P20</t>
        </is>
      </c>
      <c r="L183" t="inlineStr">
        <is>
          <t>ODF-1/P22</t>
        </is>
      </c>
    </row>
    <row r="184">
      <c r="A184" t="inlineStr">
        <is>
          <t>LNK-02152</t>
        </is>
      </c>
      <c r="B184" t="inlineStr">
        <is>
          <t>MH-DC-002-DCIM-02</t>
        </is>
      </c>
      <c r="C184" t="inlineStr">
        <is>
          <t>eth1</t>
        </is>
      </c>
      <c r="D184" t="inlineStr">
        <is>
          <t>MH-DC-002-MMR-SW-02</t>
        </is>
      </c>
      <c r="E184" t="inlineStr">
        <is>
          <t>xe-0/0/10</t>
        </is>
      </c>
      <c r="F184" t="inlineStr">
        <is>
          <t>Access</t>
        </is>
      </c>
      <c r="G184" t="inlineStr">
        <is>
          <t>LLDP</t>
        </is>
      </c>
      <c r="H184" t="n">
        <v>10000</v>
      </c>
      <c r="I184" t="inlineStr">
        <is>
          <t>MH-DC-002-CBL-1029</t>
        </is>
      </c>
      <c r="J184" t="inlineStr">
        <is>
          <t>Orange</t>
        </is>
      </c>
      <c r="K184" t="inlineStr">
        <is>
          <t>ODF-4/P1</t>
        </is>
      </c>
      <c r="L184" t="inlineStr">
        <is>
          <t>ODF-2/P4</t>
        </is>
      </c>
    </row>
    <row r="185">
      <c r="A185" t="inlineStr">
        <is>
          <t>LNK-02153</t>
        </is>
      </c>
      <c r="B185" t="inlineStr">
        <is>
          <t>MH-DC-002-MON-01</t>
        </is>
      </c>
      <c r="C185" t="inlineStr">
        <is>
          <t>eth0</t>
        </is>
      </c>
      <c r="D185" t="inlineStr">
        <is>
          <t>MH-DC-002-MMR-SW-01</t>
        </is>
      </c>
      <c r="E185" t="inlineStr">
        <is>
          <t>Ethernet8</t>
        </is>
      </c>
      <c r="F185" t="inlineStr">
        <is>
          <t>Access</t>
        </is>
      </c>
      <c r="G185" t="inlineStr">
        <is>
          <t>LLDP</t>
        </is>
      </c>
      <c r="H185" t="n">
        <v>10000</v>
      </c>
      <c r="I185" t="inlineStr">
        <is>
          <t>MH-DC-002-CBL-1030</t>
        </is>
      </c>
      <c r="J185" t="inlineStr">
        <is>
          <t>White</t>
        </is>
      </c>
      <c r="K185" t="inlineStr">
        <is>
          <t>ODF-1/P21</t>
        </is>
      </c>
      <c r="L185" t="inlineStr">
        <is>
          <t>ODF-2/P14</t>
        </is>
      </c>
    </row>
    <row r="186">
      <c r="A186" t="inlineStr">
        <is>
          <t>LNK-02154</t>
        </is>
      </c>
      <c r="B186" t="inlineStr">
        <is>
          <t>MH-DC-002-MON-01</t>
        </is>
      </c>
      <c r="C186" t="inlineStr">
        <is>
          <t>eth1</t>
        </is>
      </c>
      <c r="D186" t="inlineStr">
        <is>
          <t>MH-DC-002-MMR-SW-02</t>
        </is>
      </c>
      <c r="E186" t="inlineStr">
        <is>
          <t>xe-0/0/11</t>
        </is>
      </c>
      <c r="F186" t="inlineStr">
        <is>
          <t>Access</t>
        </is>
      </c>
      <c r="G186" t="inlineStr">
        <is>
          <t>LLDP</t>
        </is>
      </c>
      <c r="H186" t="n">
        <v>10000</v>
      </c>
      <c r="I186" t="inlineStr">
        <is>
          <t>MH-DC-002-CBL-1031</t>
        </is>
      </c>
      <c r="J186" t="inlineStr">
        <is>
          <t>Brown</t>
        </is>
      </c>
      <c r="K186" t="inlineStr">
        <is>
          <t>ODF-3/P12</t>
        </is>
      </c>
      <c r="L186" t="inlineStr">
        <is>
          <t>ODF-3/P3</t>
        </is>
      </c>
    </row>
    <row r="187">
      <c r="A187" t="inlineStr">
        <is>
          <t>LNK-02155</t>
        </is>
      </c>
      <c r="B187" t="inlineStr">
        <is>
          <t>MH-DC-002-MON-02</t>
        </is>
      </c>
      <c r="C187" t="inlineStr">
        <is>
          <t>eth0</t>
        </is>
      </c>
      <c r="D187" t="inlineStr">
        <is>
          <t>MH-DC-002-MMR-SW-01</t>
        </is>
      </c>
      <c r="E187" t="inlineStr">
        <is>
          <t>Ethernet15</t>
        </is>
      </c>
      <c r="F187" t="inlineStr">
        <is>
          <t>Access</t>
        </is>
      </c>
      <c r="G187" t="inlineStr">
        <is>
          <t>LLDP</t>
        </is>
      </c>
      <c r="H187" t="n">
        <v>10000</v>
      </c>
      <c r="I187" t="inlineStr">
        <is>
          <t>MH-DC-002-CBL-1032</t>
        </is>
      </c>
      <c r="J187" t="inlineStr">
        <is>
          <t>Brown</t>
        </is>
      </c>
      <c r="K187" t="inlineStr">
        <is>
          <t>ODF-2/P13</t>
        </is>
      </c>
      <c r="L187" t="inlineStr">
        <is>
          <t>ODF-2/P13</t>
        </is>
      </c>
    </row>
    <row r="188">
      <c r="A188" t="inlineStr">
        <is>
          <t>LNK-02156</t>
        </is>
      </c>
      <c r="B188" t="inlineStr">
        <is>
          <t>MH-DC-002-MON-02</t>
        </is>
      </c>
      <c r="C188" t="inlineStr">
        <is>
          <t>eth1</t>
        </is>
      </c>
      <c r="D188" t="inlineStr">
        <is>
          <t>MH-DC-002-MMR-SW-02</t>
        </is>
      </c>
      <c r="E188" t="inlineStr">
        <is>
          <t>xe-0/0/13</t>
        </is>
      </c>
      <c r="F188" t="inlineStr">
        <is>
          <t>Access</t>
        </is>
      </c>
      <c r="G188" t="inlineStr">
        <is>
          <t>LLDP</t>
        </is>
      </c>
      <c r="H188" t="n">
        <v>10000</v>
      </c>
      <c r="I188" t="inlineStr">
        <is>
          <t>MH-DC-002-CBL-1033</t>
        </is>
      </c>
      <c r="J188" t="inlineStr">
        <is>
          <t>Violet</t>
        </is>
      </c>
      <c r="K188" t="inlineStr">
        <is>
          <t>ODF-4/P6</t>
        </is>
      </c>
      <c r="L188" t="inlineStr">
        <is>
          <t>ODF-1/P15</t>
        </is>
      </c>
    </row>
  </sheetData>
  <autoFilter ref="A1:M188"/>
  <dataValidations count="2">
    <dataValidation sqref="F2:F2000" showDropDown="0" showInputMessage="0" showErrorMessage="1" allowBlank="1" errorTitle="Not an allowed value" error="Pick a value from the list (Lookups → link_role)." type="list">
      <formula1>=L_link_role</formula1>
    </dataValidation>
    <dataValidation sqref="G2:G2000" showDropDown="0" showInputMessage="0" showErrorMessage="1" allowBlank="1" errorTitle="Not an allowed value" error="Pick a value from the list (Lookups → protocol)." type="list">
      <formula1>=L_protocol</formula1>
    </dataValidation>
  </dataValidations>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tabColor rgb="002E6BD9"/>
    <outlinePr summaryBelow="1" summaryRight="1"/>
    <pageSetUpPr/>
  </sheetPr>
  <dimension ref="A1:M6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2" customWidth="1" min="2" max="2"/>
    <col width="18" customWidth="1" min="3" max="3"/>
    <col width="10" customWidth="1" min="4" max="4"/>
    <col width="10" customWidth="1" min="5" max="5"/>
    <col width="43" customWidth="1" min="6" max="6"/>
    <col width="10" customWidth="1" min="7" max="7"/>
    <col width="11" customWidth="1" min="8" max="8"/>
    <col width="13" customWidth="1" min="9" max="9"/>
    <col width="16" customWidth="1" min="10" max="10"/>
    <col width="12" customWidth="1" min="11" max="11"/>
    <col width="17" customWidth="1" min="12" max="12"/>
    <col width="16" customWidth="1" min="13" max="13"/>
  </cols>
  <sheetData>
    <row r="1" ht="30" customHeight="1">
      <c r="A1" s="16" t="inlineStr">
        <is>
          <t>pdu_id *</t>
        </is>
      </c>
      <c r="B1" s="16" t="inlineStr">
        <is>
          <t>site_id *</t>
        </is>
      </c>
      <c r="C1" s="16" t="inlineStr">
        <is>
          <t>rack_id *</t>
        </is>
      </c>
      <c r="D1" s="16" t="inlineStr">
        <is>
          <t>side *</t>
        </is>
      </c>
      <c r="E1" s="16" t="inlineStr">
        <is>
          <t>kind *</t>
        </is>
      </c>
      <c r="F1" s="17" t="inlineStr">
        <is>
          <t>model</t>
        </is>
      </c>
      <c r="G1" s="16" t="inlineStr">
        <is>
          <t>volts *</t>
        </is>
      </c>
      <c r="H1" s="16" t="inlineStr">
        <is>
          <t>phases *</t>
        </is>
      </c>
      <c r="I1" s="16" t="inlineStr">
        <is>
          <t>rating_a *</t>
        </is>
      </c>
      <c r="J1" s="16" t="inlineStr">
        <is>
          <t>capacity_kw *</t>
        </is>
      </c>
      <c r="K1" s="16" t="inlineStr">
        <is>
          <t>outlets *</t>
        </is>
      </c>
      <c r="L1" s="16" t="inlineStr">
        <is>
          <t>upstream_id *</t>
        </is>
      </c>
      <c r="M1" s="16" t="inlineStr">
        <is>
          <t>feed_id *</t>
        </is>
      </c>
    </row>
    <row r="2">
      <c r="A2" t="inlineStr">
        <is>
          <t>MH-DC-001-RACK-A-PDU-A</t>
        </is>
      </c>
      <c r="B2" t="inlineStr">
        <is>
          <t>MH-DC-001</t>
        </is>
      </c>
      <c r="C2" t="inlineStr">
        <is>
          <t>MH-DC-001-RACK-A</t>
        </is>
      </c>
      <c r="D2" t="inlineStr">
        <is>
          <t>A</t>
        </is>
      </c>
      <c r="E2" t="inlineStr">
        <is>
          <t>AC</t>
        </is>
      </c>
      <c r="F2" t="inlineStr">
        <is>
          <t>Switched rack PDU · 3-ph 32 A · 400 V</t>
        </is>
      </c>
      <c r="G2" t="n">
        <v>400</v>
      </c>
      <c r="H2" t="n">
        <v>3</v>
      </c>
      <c r="I2" t="n">
        <v>32</v>
      </c>
      <c r="J2" t="n">
        <v>15</v>
      </c>
      <c r="K2" t="n">
        <v>36</v>
      </c>
      <c r="L2" t="inlineStr">
        <is>
          <t>MH-DC-001-UPS-2</t>
        </is>
      </c>
      <c r="M2" t="inlineStr">
        <is>
          <t>MH-DC-001-AC-1</t>
        </is>
      </c>
    </row>
    <row r="3">
      <c r="A3" t="inlineStr">
        <is>
          <t>MH-DC-001-RACK-A-PDU-B</t>
        </is>
      </c>
      <c r="B3" t="inlineStr">
        <is>
          <t>MH-DC-001</t>
        </is>
      </c>
      <c r="C3" t="inlineStr">
        <is>
          <t>MH-DC-001-RACK-A</t>
        </is>
      </c>
      <c r="D3" t="inlineStr">
        <is>
          <t>B</t>
        </is>
      </c>
      <c r="E3" t="inlineStr">
        <is>
          <t>AC</t>
        </is>
      </c>
      <c r="F3" t="inlineStr">
        <is>
          <t>Switched rack PDU · 3-ph 32 A · 400 V</t>
        </is>
      </c>
      <c r="G3" t="n">
        <v>400</v>
      </c>
      <c r="H3" t="n">
        <v>3</v>
      </c>
      <c r="I3" t="n">
        <v>32</v>
      </c>
      <c r="J3" t="n">
        <v>15</v>
      </c>
      <c r="K3" t="n">
        <v>36</v>
      </c>
      <c r="L3" t="inlineStr">
        <is>
          <t>MH-DC-001-UPS-1</t>
        </is>
      </c>
      <c r="M3" t="inlineStr">
        <is>
          <t>MH-DC-001-AC-2</t>
        </is>
      </c>
    </row>
    <row r="4">
      <c r="A4" t="inlineStr">
        <is>
          <t>MH-DC-001-RACK-B-PDU-A</t>
        </is>
      </c>
      <c r="B4" t="inlineStr">
        <is>
          <t>MH-DC-001</t>
        </is>
      </c>
      <c r="C4" t="inlineStr">
        <is>
          <t>MH-DC-001-RACK-B</t>
        </is>
      </c>
      <c r="D4" t="inlineStr">
        <is>
          <t>A</t>
        </is>
      </c>
      <c r="E4" t="inlineStr">
        <is>
          <t>AC</t>
        </is>
      </c>
      <c r="F4" t="inlineStr">
        <is>
          <t>Switched rack PDU · 3-ph 32 A · 400 V</t>
        </is>
      </c>
      <c r="G4" t="n">
        <v>400</v>
      </c>
      <c r="H4" t="n">
        <v>3</v>
      </c>
      <c r="I4" t="n">
        <v>32</v>
      </c>
      <c r="J4" t="n">
        <v>16</v>
      </c>
      <c r="K4" t="n">
        <v>36</v>
      </c>
      <c r="L4" t="inlineStr">
        <is>
          <t>MH-DC-001-UPS-2</t>
        </is>
      </c>
      <c r="M4" t="inlineStr">
        <is>
          <t>MH-DC-001-AC-1</t>
        </is>
      </c>
    </row>
    <row r="5">
      <c r="A5" t="inlineStr">
        <is>
          <t>MH-DC-001-RACK-B-PDU-B</t>
        </is>
      </c>
      <c r="B5" t="inlineStr">
        <is>
          <t>MH-DC-001</t>
        </is>
      </c>
      <c r="C5" t="inlineStr">
        <is>
          <t>MH-DC-001-RACK-B</t>
        </is>
      </c>
      <c r="D5" t="inlineStr">
        <is>
          <t>B</t>
        </is>
      </c>
      <c r="E5" t="inlineStr">
        <is>
          <t>AC</t>
        </is>
      </c>
      <c r="F5" t="inlineStr">
        <is>
          <t>Switched rack PDU · 3-ph 32 A · 400 V</t>
        </is>
      </c>
      <c r="G5" t="n">
        <v>400</v>
      </c>
      <c r="H5" t="n">
        <v>3</v>
      </c>
      <c r="I5" t="n">
        <v>32</v>
      </c>
      <c r="J5" t="n">
        <v>16</v>
      </c>
      <c r="K5" t="n">
        <v>36</v>
      </c>
      <c r="L5" t="inlineStr">
        <is>
          <t>MH-DC-001-UPS-1</t>
        </is>
      </c>
      <c r="M5" t="inlineStr">
        <is>
          <t>MH-DC-001-AC-2</t>
        </is>
      </c>
    </row>
    <row r="6">
      <c r="A6" t="inlineStr">
        <is>
          <t>MH-DC-001-RACK-C-PDU-A</t>
        </is>
      </c>
      <c r="B6" t="inlineStr">
        <is>
          <t>MH-DC-001</t>
        </is>
      </c>
      <c r="C6" t="inlineStr">
        <is>
          <t>MH-DC-001-RACK-C</t>
        </is>
      </c>
      <c r="D6" t="inlineStr">
        <is>
          <t>A</t>
        </is>
      </c>
      <c r="E6" t="inlineStr">
        <is>
          <t>AC</t>
        </is>
      </c>
      <c r="F6" t="inlineStr">
        <is>
          <t>Switched rack PDU · 3-ph 32 A · 400 V</t>
        </is>
      </c>
      <c r="G6" t="n">
        <v>400</v>
      </c>
      <c r="H6" t="n">
        <v>3</v>
      </c>
      <c r="I6" t="n">
        <v>32</v>
      </c>
      <c r="J6" t="n">
        <v>19</v>
      </c>
      <c r="K6" t="n">
        <v>36</v>
      </c>
      <c r="L6" t="inlineStr">
        <is>
          <t>MH-DC-001-UPS-2</t>
        </is>
      </c>
      <c r="M6" t="inlineStr">
        <is>
          <t>MH-DC-001-AC-1</t>
        </is>
      </c>
    </row>
    <row r="7">
      <c r="A7" t="inlineStr">
        <is>
          <t>MH-DC-001-RACK-C-PDU-B</t>
        </is>
      </c>
      <c r="B7" t="inlineStr">
        <is>
          <t>MH-DC-001</t>
        </is>
      </c>
      <c r="C7" t="inlineStr">
        <is>
          <t>MH-DC-001-RACK-C</t>
        </is>
      </c>
      <c r="D7" t="inlineStr">
        <is>
          <t>B</t>
        </is>
      </c>
      <c r="E7" t="inlineStr">
        <is>
          <t>AC</t>
        </is>
      </c>
      <c r="F7" t="inlineStr">
        <is>
          <t>Switched rack PDU · 3-ph 32 A · 400 V</t>
        </is>
      </c>
      <c r="G7" t="n">
        <v>400</v>
      </c>
      <c r="H7" t="n">
        <v>3</v>
      </c>
      <c r="I7" t="n">
        <v>32</v>
      </c>
      <c r="J7" t="n">
        <v>19</v>
      </c>
      <c r="K7" t="n">
        <v>36</v>
      </c>
      <c r="L7" t="inlineStr">
        <is>
          <t>MH-DC-001-UPS-1</t>
        </is>
      </c>
      <c r="M7" t="inlineStr">
        <is>
          <t>MH-DC-001-AC-2</t>
        </is>
      </c>
    </row>
    <row r="8">
      <c r="A8" t="inlineStr">
        <is>
          <t>MH-DC-001-RACK-D-PDU-A</t>
        </is>
      </c>
      <c r="B8" t="inlineStr">
        <is>
          <t>MH-DC-001</t>
        </is>
      </c>
      <c r="C8" t="inlineStr">
        <is>
          <t>MH-DC-001-RACK-D</t>
        </is>
      </c>
      <c r="D8" t="inlineStr">
        <is>
          <t>A</t>
        </is>
      </c>
      <c r="E8" t="inlineStr">
        <is>
          <t>AC</t>
        </is>
      </c>
      <c r="F8" t="inlineStr">
        <is>
          <t>Switched rack PDU · 3-ph 32 A · 400 V</t>
        </is>
      </c>
      <c r="G8" t="n">
        <v>400</v>
      </c>
      <c r="H8" t="n">
        <v>3</v>
      </c>
      <c r="I8" t="n">
        <v>32</v>
      </c>
      <c r="J8" t="n">
        <v>15</v>
      </c>
      <c r="K8" t="n">
        <v>36</v>
      </c>
      <c r="L8" t="inlineStr">
        <is>
          <t>MH-DC-001-UPS-2</t>
        </is>
      </c>
      <c r="M8" t="inlineStr">
        <is>
          <t>MH-DC-001-AC-1</t>
        </is>
      </c>
    </row>
    <row r="9">
      <c r="A9" t="inlineStr">
        <is>
          <t>MH-DC-001-RACK-D-PDU-B</t>
        </is>
      </c>
      <c r="B9" t="inlineStr">
        <is>
          <t>MH-DC-001</t>
        </is>
      </c>
      <c r="C9" t="inlineStr">
        <is>
          <t>MH-DC-001-RACK-D</t>
        </is>
      </c>
      <c r="D9" t="inlineStr">
        <is>
          <t>B</t>
        </is>
      </c>
      <c r="E9" t="inlineStr">
        <is>
          <t>AC</t>
        </is>
      </c>
      <c r="F9" t="inlineStr">
        <is>
          <t>Switched rack PDU · 3-ph 32 A · 400 V</t>
        </is>
      </c>
      <c r="G9" t="n">
        <v>400</v>
      </c>
      <c r="H9" t="n">
        <v>3</v>
      </c>
      <c r="I9" t="n">
        <v>32</v>
      </c>
      <c r="J9" t="n">
        <v>15</v>
      </c>
      <c r="K9" t="n">
        <v>36</v>
      </c>
      <c r="L9" t="inlineStr">
        <is>
          <t>MH-DC-001-UPS-1</t>
        </is>
      </c>
      <c r="M9" t="inlineStr">
        <is>
          <t>MH-DC-001-AC-2</t>
        </is>
      </c>
    </row>
    <row r="10">
      <c r="A10" t="inlineStr">
        <is>
          <t>MH-DC-001-RACK-E-PDU-A</t>
        </is>
      </c>
      <c r="B10" t="inlineStr">
        <is>
          <t>MH-DC-001</t>
        </is>
      </c>
      <c r="C10" t="inlineStr">
        <is>
          <t>MH-DC-001-RACK-E</t>
        </is>
      </c>
      <c r="D10" t="inlineStr">
        <is>
          <t>A</t>
        </is>
      </c>
      <c r="E10" t="inlineStr">
        <is>
          <t>AC</t>
        </is>
      </c>
      <c r="F10" t="inlineStr">
        <is>
          <t>Switched rack PDU · 3-ph 32 A · 400 V</t>
        </is>
      </c>
      <c r="G10" t="n">
        <v>400</v>
      </c>
      <c r="H10" t="n">
        <v>3</v>
      </c>
      <c r="I10" t="n">
        <v>32</v>
      </c>
      <c r="J10" t="n">
        <v>19</v>
      </c>
      <c r="K10" t="n">
        <v>36</v>
      </c>
      <c r="L10" t="inlineStr">
        <is>
          <t>MH-DC-001-UPS-2</t>
        </is>
      </c>
      <c r="M10" t="inlineStr">
        <is>
          <t>MH-DC-001-AC-1</t>
        </is>
      </c>
    </row>
    <row r="11">
      <c r="A11" t="inlineStr">
        <is>
          <t>MH-DC-001-RACK-E-PDU-B</t>
        </is>
      </c>
      <c r="B11" t="inlineStr">
        <is>
          <t>MH-DC-001</t>
        </is>
      </c>
      <c r="C11" t="inlineStr">
        <is>
          <t>MH-DC-001-RACK-E</t>
        </is>
      </c>
      <c r="D11" t="inlineStr">
        <is>
          <t>B</t>
        </is>
      </c>
      <c r="E11" t="inlineStr">
        <is>
          <t>AC</t>
        </is>
      </c>
      <c r="F11" t="inlineStr">
        <is>
          <t>Switched rack PDU · 3-ph 32 A · 400 V</t>
        </is>
      </c>
      <c r="G11" t="n">
        <v>400</v>
      </c>
      <c r="H11" t="n">
        <v>3</v>
      </c>
      <c r="I11" t="n">
        <v>32</v>
      </c>
      <c r="J11" t="n">
        <v>19</v>
      </c>
      <c r="K11" t="n">
        <v>36</v>
      </c>
      <c r="L11" t="inlineStr">
        <is>
          <t>MH-DC-001-UPS-1</t>
        </is>
      </c>
      <c r="M11" t="inlineStr">
        <is>
          <t>MH-DC-001-AC-2</t>
        </is>
      </c>
    </row>
    <row r="12">
      <c r="A12" t="inlineStr">
        <is>
          <t>MH-DC-001-RACK-F-PDU-A</t>
        </is>
      </c>
      <c r="B12" t="inlineStr">
        <is>
          <t>MH-DC-001</t>
        </is>
      </c>
      <c r="C12" t="inlineStr">
        <is>
          <t>MH-DC-001-RACK-F</t>
        </is>
      </c>
      <c r="D12" t="inlineStr">
        <is>
          <t>A</t>
        </is>
      </c>
      <c r="E12" t="inlineStr">
        <is>
          <t>AC</t>
        </is>
      </c>
      <c r="F12" t="inlineStr">
        <is>
          <t>Switched rack PDU · 3-ph 32 A · 400 V</t>
        </is>
      </c>
      <c r="G12" t="n">
        <v>400</v>
      </c>
      <c r="H12" t="n">
        <v>3</v>
      </c>
      <c r="I12" t="n">
        <v>32</v>
      </c>
      <c r="J12" t="n">
        <v>20</v>
      </c>
      <c r="K12" t="n">
        <v>36</v>
      </c>
      <c r="L12" t="inlineStr">
        <is>
          <t>MH-DC-001-UPS-4</t>
        </is>
      </c>
      <c r="M12" t="inlineStr">
        <is>
          <t>MH-DC-001-AC-1</t>
        </is>
      </c>
    </row>
    <row r="13">
      <c r="A13" t="inlineStr">
        <is>
          <t>MH-DC-001-RACK-F-PDU-B</t>
        </is>
      </c>
      <c r="B13" t="inlineStr">
        <is>
          <t>MH-DC-001</t>
        </is>
      </c>
      <c r="C13" t="inlineStr">
        <is>
          <t>MH-DC-001-RACK-F</t>
        </is>
      </c>
      <c r="D13" t="inlineStr">
        <is>
          <t>B</t>
        </is>
      </c>
      <c r="E13" t="inlineStr">
        <is>
          <t>AC</t>
        </is>
      </c>
      <c r="F13" t="inlineStr">
        <is>
          <t>Switched rack PDU · 3-ph 32 A · 400 V</t>
        </is>
      </c>
      <c r="G13" t="n">
        <v>400</v>
      </c>
      <c r="H13" t="n">
        <v>3</v>
      </c>
      <c r="I13" t="n">
        <v>32</v>
      </c>
      <c r="J13" t="n">
        <v>20</v>
      </c>
      <c r="K13" t="n">
        <v>36</v>
      </c>
      <c r="L13" t="inlineStr">
        <is>
          <t>MH-DC-001-UPS-3</t>
        </is>
      </c>
      <c r="M13" t="inlineStr">
        <is>
          <t>MH-DC-001-AC-2</t>
        </is>
      </c>
    </row>
    <row r="14">
      <c r="A14" t="inlineStr">
        <is>
          <t>MH-DC-001-RACK-G-PDU-A</t>
        </is>
      </c>
      <c r="B14" t="inlineStr">
        <is>
          <t>MH-DC-001</t>
        </is>
      </c>
      <c r="C14" t="inlineStr">
        <is>
          <t>MH-DC-001-RACK-G</t>
        </is>
      </c>
      <c r="D14" t="inlineStr">
        <is>
          <t>A</t>
        </is>
      </c>
      <c r="E14" t="inlineStr">
        <is>
          <t>AC</t>
        </is>
      </c>
      <c r="F14" t="inlineStr">
        <is>
          <t>Switched rack PDU · 3-ph 32 A · 400 V</t>
        </is>
      </c>
      <c r="G14" t="n">
        <v>400</v>
      </c>
      <c r="H14" t="n">
        <v>3</v>
      </c>
      <c r="I14" t="n">
        <v>32</v>
      </c>
      <c r="J14" t="n">
        <v>18</v>
      </c>
      <c r="K14" t="n">
        <v>36</v>
      </c>
      <c r="L14" t="inlineStr">
        <is>
          <t>MH-DC-001-UPS-4</t>
        </is>
      </c>
      <c r="M14" t="inlineStr">
        <is>
          <t>MH-DC-001-AC-1</t>
        </is>
      </c>
    </row>
    <row r="15">
      <c r="A15" t="inlineStr">
        <is>
          <t>MH-DC-001-RACK-G-PDU-B</t>
        </is>
      </c>
      <c r="B15" t="inlineStr">
        <is>
          <t>MH-DC-001</t>
        </is>
      </c>
      <c r="C15" t="inlineStr">
        <is>
          <t>MH-DC-001-RACK-G</t>
        </is>
      </c>
      <c r="D15" t="inlineStr">
        <is>
          <t>B</t>
        </is>
      </c>
      <c r="E15" t="inlineStr">
        <is>
          <t>AC</t>
        </is>
      </c>
      <c r="F15" t="inlineStr">
        <is>
          <t>Switched rack PDU · 3-ph 32 A · 400 V</t>
        </is>
      </c>
      <c r="G15" t="n">
        <v>400</v>
      </c>
      <c r="H15" t="n">
        <v>3</v>
      </c>
      <c r="I15" t="n">
        <v>32</v>
      </c>
      <c r="J15" t="n">
        <v>18</v>
      </c>
      <c r="K15" t="n">
        <v>36</v>
      </c>
      <c r="L15" t="inlineStr">
        <is>
          <t>MH-DC-001-UPS-3</t>
        </is>
      </c>
      <c r="M15" t="inlineStr">
        <is>
          <t>MH-DC-001-AC-2</t>
        </is>
      </c>
    </row>
    <row r="16">
      <c r="A16" t="inlineStr">
        <is>
          <t>MH-DC-001-RACK-H-PDU-A</t>
        </is>
      </c>
      <c r="B16" t="inlineStr">
        <is>
          <t>MH-DC-001</t>
        </is>
      </c>
      <c r="C16" t="inlineStr">
        <is>
          <t>MH-DC-001-RACK-H</t>
        </is>
      </c>
      <c r="D16" t="inlineStr">
        <is>
          <t>A</t>
        </is>
      </c>
      <c r="E16" t="inlineStr">
        <is>
          <t>AC</t>
        </is>
      </c>
      <c r="F16" t="inlineStr">
        <is>
          <t>Switched rack PDU · 3-ph 16 A · 400 V</t>
        </is>
      </c>
      <c r="G16" t="n">
        <v>400</v>
      </c>
      <c r="H16" t="n">
        <v>3</v>
      </c>
      <c r="I16" t="n">
        <v>16</v>
      </c>
      <c r="J16" t="n">
        <v>11</v>
      </c>
      <c r="K16" t="n">
        <v>24</v>
      </c>
      <c r="L16" t="inlineStr">
        <is>
          <t>MH-DC-001-UPS-4</t>
        </is>
      </c>
      <c r="M16" t="inlineStr">
        <is>
          <t>MH-DC-001-AC-1</t>
        </is>
      </c>
    </row>
    <row r="17">
      <c r="A17" t="inlineStr">
        <is>
          <t>MH-DC-001-RACK-H-PDU-B</t>
        </is>
      </c>
      <c r="B17" t="inlineStr">
        <is>
          <t>MH-DC-001</t>
        </is>
      </c>
      <c r="C17" t="inlineStr">
        <is>
          <t>MH-DC-001-RACK-H</t>
        </is>
      </c>
      <c r="D17" t="inlineStr">
        <is>
          <t>B</t>
        </is>
      </c>
      <c r="E17" t="inlineStr">
        <is>
          <t>AC</t>
        </is>
      </c>
      <c r="F17" t="inlineStr">
        <is>
          <t>Switched rack PDU · 3-ph 16 A · 400 V</t>
        </is>
      </c>
      <c r="G17" t="n">
        <v>400</v>
      </c>
      <c r="H17" t="n">
        <v>3</v>
      </c>
      <c r="I17" t="n">
        <v>16</v>
      </c>
      <c r="J17" t="n">
        <v>11</v>
      </c>
      <c r="K17" t="n">
        <v>24</v>
      </c>
      <c r="L17" t="inlineStr">
        <is>
          <t>MH-DC-001-UPS-3</t>
        </is>
      </c>
      <c r="M17" t="inlineStr">
        <is>
          <t>MH-DC-001-AC-2</t>
        </is>
      </c>
    </row>
    <row r="18">
      <c r="A18" t="inlineStr">
        <is>
          <t>MH-DC-001-RACK-I-PDU-A</t>
        </is>
      </c>
      <c r="B18" t="inlineStr">
        <is>
          <t>MH-DC-001</t>
        </is>
      </c>
      <c r="C18" t="inlineStr">
        <is>
          <t>MH-DC-001-RACK-I</t>
        </is>
      </c>
      <c r="D18" t="inlineStr">
        <is>
          <t>A</t>
        </is>
      </c>
      <c r="E18" t="inlineStr">
        <is>
          <t>AC</t>
        </is>
      </c>
      <c r="F18" t="inlineStr">
        <is>
          <t>Switched rack PDU · 3-ph 32 A · 400 V</t>
        </is>
      </c>
      <c r="G18" t="n">
        <v>400</v>
      </c>
      <c r="H18" t="n">
        <v>3</v>
      </c>
      <c r="I18" t="n">
        <v>32</v>
      </c>
      <c r="J18" t="n">
        <v>12</v>
      </c>
      <c r="K18" t="n">
        <v>36</v>
      </c>
      <c r="L18" t="inlineStr">
        <is>
          <t>MH-DC-001-UPS-4</t>
        </is>
      </c>
      <c r="M18" t="inlineStr">
        <is>
          <t>MH-DC-001-AC-1</t>
        </is>
      </c>
    </row>
    <row r="19">
      <c r="A19" t="inlineStr">
        <is>
          <t>MH-DC-001-RACK-I-PDU-B</t>
        </is>
      </c>
      <c r="B19" t="inlineStr">
        <is>
          <t>MH-DC-001</t>
        </is>
      </c>
      <c r="C19" t="inlineStr">
        <is>
          <t>MH-DC-001-RACK-I</t>
        </is>
      </c>
      <c r="D19" t="inlineStr">
        <is>
          <t>B</t>
        </is>
      </c>
      <c r="E19" t="inlineStr">
        <is>
          <t>AC</t>
        </is>
      </c>
      <c r="F19" t="inlineStr">
        <is>
          <t>Switched rack PDU · 3-ph 32 A · 400 V</t>
        </is>
      </c>
      <c r="G19" t="n">
        <v>400</v>
      </c>
      <c r="H19" t="n">
        <v>3</v>
      </c>
      <c r="I19" t="n">
        <v>32</v>
      </c>
      <c r="J19" t="n">
        <v>12</v>
      </c>
      <c r="K19" t="n">
        <v>36</v>
      </c>
      <c r="L19" t="inlineStr">
        <is>
          <t>MH-DC-001-UPS-3</t>
        </is>
      </c>
      <c r="M19" t="inlineStr">
        <is>
          <t>MH-DC-001-AC-2</t>
        </is>
      </c>
    </row>
    <row r="20">
      <c r="A20" t="inlineStr">
        <is>
          <t>MH-DC-001-RACK-J-PDU-A</t>
        </is>
      </c>
      <c r="B20" t="inlineStr">
        <is>
          <t>MH-DC-001</t>
        </is>
      </c>
      <c r="C20" t="inlineStr">
        <is>
          <t>MH-DC-001-RACK-J</t>
        </is>
      </c>
      <c r="D20" t="inlineStr">
        <is>
          <t>A</t>
        </is>
      </c>
      <c r="E20" t="inlineStr">
        <is>
          <t>AC</t>
        </is>
      </c>
      <c r="F20" t="inlineStr">
        <is>
          <t>Switched rack PDU · 3-ph 16 A · 400 V</t>
        </is>
      </c>
      <c r="G20" t="n">
        <v>400</v>
      </c>
      <c r="H20" t="n">
        <v>3</v>
      </c>
      <c r="I20" t="n">
        <v>16</v>
      </c>
      <c r="J20" t="n">
        <v>8</v>
      </c>
      <c r="K20" t="n">
        <v>24</v>
      </c>
      <c r="L20" t="inlineStr">
        <is>
          <t>MH-DC-001-UPS-4</t>
        </is>
      </c>
      <c r="M20" t="inlineStr">
        <is>
          <t>MH-DC-001-AC-1</t>
        </is>
      </c>
    </row>
    <row r="21">
      <c r="A21" t="inlineStr">
        <is>
          <t>MH-DC-001-RACK-J-PDU-B</t>
        </is>
      </c>
      <c r="B21" t="inlineStr">
        <is>
          <t>MH-DC-001</t>
        </is>
      </c>
      <c r="C21" t="inlineStr">
        <is>
          <t>MH-DC-001-RACK-J</t>
        </is>
      </c>
      <c r="D21" t="inlineStr">
        <is>
          <t>B</t>
        </is>
      </c>
      <c r="E21" t="inlineStr">
        <is>
          <t>AC</t>
        </is>
      </c>
      <c r="F21" t="inlineStr">
        <is>
          <t>Switched rack PDU · 3-ph 16 A · 400 V</t>
        </is>
      </c>
      <c r="G21" t="n">
        <v>400</v>
      </c>
      <c r="H21" t="n">
        <v>3</v>
      </c>
      <c r="I21" t="n">
        <v>16</v>
      </c>
      <c r="J21" t="n">
        <v>8</v>
      </c>
      <c r="K21" t="n">
        <v>24</v>
      </c>
      <c r="L21" t="inlineStr">
        <is>
          <t>MH-DC-001-UPS-3</t>
        </is>
      </c>
      <c r="M21" t="inlineStr">
        <is>
          <t>MH-DC-001-AC-2</t>
        </is>
      </c>
    </row>
    <row r="22">
      <c r="A22" t="inlineStr">
        <is>
          <t>MH-DC-001-RACK-K-PDU-A</t>
        </is>
      </c>
      <c r="B22" t="inlineStr">
        <is>
          <t>MH-DC-001</t>
        </is>
      </c>
      <c r="C22" t="inlineStr">
        <is>
          <t>MH-DC-001-RACK-K</t>
        </is>
      </c>
      <c r="D22" t="inlineStr">
        <is>
          <t>A</t>
        </is>
      </c>
      <c r="E22" t="inlineStr">
        <is>
          <t>AC</t>
        </is>
      </c>
      <c r="F22" t="inlineStr">
        <is>
          <t>Switched rack PDU · 3-ph 16 A · 400 V</t>
        </is>
      </c>
      <c r="G22" t="n">
        <v>400</v>
      </c>
      <c r="H22" t="n">
        <v>3</v>
      </c>
      <c r="I22" t="n">
        <v>16</v>
      </c>
      <c r="J22" t="n">
        <v>11</v>
      </c>
      <c r="K22" t="n">
        <v>24</v>
      </c>
      <c r="L22" t="inlineStr">
        <is>
          <t>MH-DC-001-UPS-2</t>
        </is>
      </c>
      <c r="M22" t="inlineStr">
        <is>
          <t>MH-DC-001-AC-1</t>
        </is>
      </c>
    </row>
    <row r="23">
      <c r="A23" t="inlineStr">
        <is>
          <t>MH-DC-001-RACK-K-PDU-B</t>
        </is>
      </c>
      <c r="B23" t="inlineStr">
        <is>
          <t>MH-DC-001</t>
        </is>
      </c>
      <c r="C23" t="inlineStr">
        <is>
          <t>MH-DC-001-RACK-K</t>
        </is>
      </c>
      <c r="D23" t="inlineStr">
        <is>
          <t>B</t>
        </is>
      </c>
      <c r="E23" t="inlineStr">
        <is>
          <t>AC</t>
        </is>
      </c>
      <c r="F23" t="inlineStr">
        <is>
          <t>Switched rack PDU · 3-ph 16 A · 400 V</t>
        </is>
      </c>
      <c r="G23" t="n">
        <v>400</v>
      </c>
      <c r="H23" t="n">
        <v>3</v>
      </c>
      <c r="I23" t="n">
        <v>16</v>
      </c>
      <c r="J23" t="n">
        <v>11</v>
      </c>
      <c r="K23" t="n">
        <v>24</v>
      </c>
      <c r="L23" t="inlineStr">
        <is>
          <t>MH-DC-001-UPS-1</t>
        </is>
      </c>
      <c r="M23" t="inlineStr">
        <is>
          <t>MH-DC-001-AC-2</t>
        </is>
      </c>
    </row>
    <row r="24">
      <c r="A24" t="inlineStr">
        <is>
          <t>MH-DC-001-RACK-L-PDU-A</t>
        </is>
      </c>
      <c r="B24" t="inlineStr">
        <is>
          <t>MH-DC-001</t>
        </is>
      </c>
      <c r="C24" t="inlineStr">
        <is>
          <t>MH-DC-001-RACK-L</t>
        </is>
      </c>
      <c r="D24" t="inlineStr">
        <is>
          <t>A</t>
        </is>
      </c>
      <c r="E24" t="inlineStr">
        <is>
          <t>AC</t>
        </is>
      </c>
      <c r="F24" t="inlineStr">
        <is>
          <t>Switched rack PDU · 3-ph 16 A · 400 V</t>
        </is>
      </c>
      <c r="G24" t="n">
        <v>400</v>
      </c>
      <c r="H24" t="n">
        <v>3</v>
      </c>
      <c r="I24" t="n">
        <v>16</v>
      </c>
      <c r="J24" t="n">
        <v>8</v>
      </c>
      <c r="K24" t="n">
        <v>24</v>
      </c>
      <c r="L24" t="inlineStr">
        <is>
          <t>MH-DC-001-UPS-2</t>
        </is>
      </c>
      <c r="M24" t="inlineStr">
        <is>
          <t>MH-DC-001-AC-1</t>
        </is>
      </c>
    </row>
    <row r="25">
      <c r="A25" t="inlineStr">
        <is>
          <t>MH-DC-001-RACK-L-PDU-B</t>
        </is>
      </c>
      <c r="B25" t="inlineStr">
        <is>
          <t>MH-DC-001</t>
        </is>
      </c>
      <c r="C25" t="inlineStr">
        <is>
          <t>MH-DC-001-RACK-L</t>
        </is>
      </c>
      <c r="D25" t="inlineStr">
        <is>
          <t>B</t>
        </is>
      </c>
      <c r="E25" t="inlineStr">
        <is>
          <t>AC</t>
        </is>
      </c>
      <c r="F25" t="inlineStr">
        <is>
          <t>Switched rack PDU · 3-ph 16 A · 400 V</t>
        </is>
      </c>
      <c r="G25" t="n">
        <v>400</v>
      </c>
      <c r="H25" t="n">
        <v>3</v>
      </c>
      <c r="I25" t="n">
        <v>16</v>
      </c>
      <c r="J25" t="n">
        <v>8</v>
      </c>
      <c r="K25" t="n">
        <v>24</v>
      </c>
      <c r="L25" t="inlineStr">
        <is>
          <t>MH-DC-001-UPS-1</t>
        </is>
      </c>
      <c r="M25" t="inlineStr">
        <is>
          <t>MH-DC-001-AC-2</t>
        </is>
      </c>
    </row>
    <row r="26">
      <c r="A26" t="inlineStr">
        <is>
          <t>MH-DC-001-RACK-M-PDU-A</t>
        </is>
      </c>
      <c r="B26" t="inlineStr">
        <is>
          <t>MH-DC-001</t>
        </is>
      </c>
      <c r="C26" t="inlineStr">
        <is>
          <t>MH-DC-001-RACK-M</t>
        </is>
      </c>
      <c r="D26" t="inlineStr">
        <is>
          <t>A</t>
        </is>
      </c>
      <c r="E26" t="inlineStr">
        <is>
          <t>AC</t>
        </is>
      </c>
      <c r="F26" t="inlineStr">
        <is>
          <t>Switched rack PDU · 3-ph 16 A · 400 V</t>
        </is>
      </c>
      <c r="G26" t="n">
        <v>400</v>
      </c>
      <c r="H26" t="n">
        <v>3</v>
      </c>
      <c r="I26" t="n">
        <v>16</v>
      </c>
      <c r="J26" t="n">
        <v>8</v>
      </c>
      <c r="K26" t="n">
        <v>24</v>
      </c>
      <c r="L26" t="inlineStr">
        <is>
          <t>MH-DC-001-UPS-2</t>
        </is>
      </c>
      <c r="M26" t="inlineStr">
        <is>
          <t>MH-DC-001-AC-1</t>
        </is>
      </c>
    </row>
    <row r="27">
      <c r="A27" t="inlineStr">
        <is>
          <t>MH-DC-001-RACK-M-PDU-B</t>
        </is>
      </c>
      <c r="B27" t="inlineStr">
        <is>
          <t>MH-DC-001</t>
        </is>
      </c>
      <c r="C27" t="inlineStr">
        <is>
          <t>MH-DC-001-RACK-M</t>
        </is>
      </c>
      <c r="D27" t="inlineStr">
        <is>
          <t>B</t>
        </is>
      </c>
      <c r="E27" t="inlineStr">
        <is>
          <t>AC</t>
        </is>
      </c>
      <c r="F27" t="inlineStr">
        <is>
          <t>Switched rack PDU · 3-ph 16 A · 400 V</t>
        </is>
      </c>
      <c r="G27" t="n">
        <v>400</v>
      </c>
      <c r="H27" t="n">
        <v>3</v>
      </c>
      <c r="I27" t="n">
        <v>16</v>
      </c>
      <c r="J27" t="n">
        <v>8</v>
      </c>
      <c r="K27" t="n">
        <v>24</v>
      </c>
      <c r="L27" t="inlineStr">
        <is>
          <t>MH-DC-001-UPS-1</t>
        </is>
      </c>
      <c r="M27" t="inlineStr">
        <is>
          <t>MH-DC-001-AC-2</t>
        </is>
      </c>
    </row>
    <row r="28">
      <c r="A28" t="inlineStr">
        <is>
          <t>MH-DC-001-RACK-N-PDU-A</t>
        </is>
      </c>
      <c r="B28" t="inlineStr">
        <is>
          <t>MH-DC-001</t>
        </is>
      </c>
      <c r="C28" t="inlineStr">
        <is>
          <t>MH-DC-001-RACK-N</t>
        </is>
      </c>
      <c r="D28" t="inlineStr">
        <is>
          <t>A</t>
        </is>
      </c>
      <c r="E28" t="inlineStr">
        <is>
          <t>AC</t>
        </is>
      </c>
      <c r="F28" t="inlineStr">
        <is>
          <t>Switched rack PDU · 3-ph 16 A · 400 V</t>
        </is>
      </c>
      <c r="G28" t="n">
        <v>400</v>
      </c>
      <c r="H28" t="n">
        <v>3</v>
      </c>
      <c r="I28" t="n">
        <v>16</v>
      </c>
      <c r="J28" t="n">
        <v>8</v>
      </c>
      <c r="K28" t="n">
        <v>24</v>
      </c>
      <c r="L28" t="inlineStr">
        <is>
          <t>MH-DC-001-UPS-2</t>
        </is>
      </c>
      <c r="M28" t="inlineStr">
        <is>
          <t>MH-DC-001-AC-1</t>
        </is>
      </c>
    </row>
    <row r="29">
      <c r="A29" t="inlineStr">
        <is>
          <t>MH-DC-001-RACK-N-PDU-B</t>
        </is>
      </c>
      <c r="B29" t="inlineStr">
        <is>
          <t>MH-DC-001</t>
        </is>
      </c>
      <c r="C29" t="inlineStr">
        <is>
          <t>MH-DC-001-RACK-N</t>
        </is>
      </c>
      <c r="D29" t="inlineStr">
        <is>
          <t>B</t>
        </is>
      </c>
      <c r="E29" t="inlineStr">
        <is>
          <t>AC</t>
        </is>
      </c>
      <c r="F29" t="inlineStr">
        <is>
          <t>Switched rack PDU · 3-ph 16 A · 400 V</t>
        </is>
      </c>
      <c r="G29" t="n">
        <v>400</v>
      </c>
      <c r="H29" t="n">
        <v>3</v>
      </c>
      <c r="I29" t="n">
        <v>16</v>
      </c>
      <c r="J29" t="n">
        <v>8</v>
      </c>
      <c r="K29" t="n">
        <v>24</v>
      </c>
      <c r="L29" t="inlineStr">
        <is>
          <t>MH-DC-001-UPS-1</t>
        </is>
      </c>
      <c r="M29" t="inlineStr">
        <is>
          <t>MH-DC-001-AC-2</t>
        </is>
      </c>
    </row>
    <row r="30">
      <c r="A30" t="inlineStr">
        <is>
          <t>MH-DC-001-RACK-O-PDU-A</t>
        </is>
      </c>
      <c r="B30" t="inlineStr">
        <is>
          <t>MH-DC-001</t>
        </is>
      </c>
      <c r="C30" t="inlineStr">
        <is>
          <t>MH-DC-001-RACK-O</t>
        </is>
      </c>
      <c r="D30" t="inlineStr">
        <is>
          <t>A</t>
        </is>
      </c>
      <c r="E30" t="inlineStr">
        <is>
          <t>AC</t>
        </is>
      </c>
      <c r="F30" t="inlineStr">
        <is>
          <t>Switched rack PDU · 3-ph 16 A · 400 V</t>
        </is>
      </c>
      <c r="G30" t="n">
        <v>400</v>
      </c>
      <c r="H30" t="n">
        <v>3</v>
      </c>
      <c r="I30" t="n">
        <v>16</v>
      </c>
      <c r="J30" t="n">
        <v>10</v>
      </c>
      <c r="K30" t="n">
        <v>24</v>
      </c>
      <c r="L30" t="inlineStr">
        <is>
          <t>MH-DC-001-UPS-2</t>
        </is>
      </c>
      <c r="M30" t="inlineStr">
        <is>
          <t>MH-DC-001-AC-1</t>
        </is>
      </c>
    </row>
    <row r="31">
      <c r="A31" t="inlineStr">
        <is>
          <t>MH-DC-001-RACK-O-PDU-B</t>
        </is>
      </c>
      <c r="B31" t="inlineStr">
        <is>
          <t>MH-DC-001</t>
        </is>
      </c>
      <c r="C31" t="inlineStr">
        <is>
          <t>MH-DC-001-RACK-O</t>
        </is>
      </c>
      <c r="D31" t="inlineStr">
        <is>
          <t>B</t>
        </is>
      </c>
      <c r="E31" t="inlineStr">
        <is>
          <t>AC</t>
        </is>
      </c>
      <c r="F31" t="inlineStr">
        <is>
          <t>Switched rack PDU · 3-ph 16 A · 400 V</t>
        </is>
      </c>
      <c r="G31" t="n">
        <v>400</v>
      </c>
      <c r="H31" t="n">
        <v>3</v>
      </c>
      <c r="I31" t="n">
        <v>16</v>
      </c>
      <c r="J31" t="n">
        <v>10</v>
      </c>
      <c r="K31" t="n">
        <v>24</v>
      </c>
      <c r="L31" t="inlineStr">
        <is>
          <t>MH-DC-001-UPS-1</t>
        </is>
      </c>
      <c r="M31" t="inlineStr">
        <is>
          <t>MH-DC-001-AC-2</t>
        </is>
      </c>
    </row>
    <row r="32">
      <c r="A32" t="inlineStr">
        <is>
          <t>MH-DC-001-RACK-P-PDU-A</t>
        </is>
      </c>
      <c r="B32" t="inlineStr">
        <is>
          <t>MH-DC-001</t>
        </is>
      </c>
      <c r="C32" t="inlineStr">
        <is>
          <t>MH-DC-001-RACK-P</t>
        </is>
      </c>
      <c r="D32" t="inlineStr">
        <is>
          <t>A</t>
        </is>
      </c>
      <c r="E32" t="inlineStr">
        <is>
          <t>AC</t>
        </is>
      </c>
      <c r="F32" t="inlineStr">
        <is>
          <t>Switched rack PDU · 3-ph 16 A · 400 V</t>
        </is>
      </c>
      <c r="G32" t="n">
        <v>400</v>
      </c>
      <c r="H32" t="n">
        <v>3</v>
      </c>
      <c r="I32" t="n">
        <v>16</v>
      </c>
      <c r="J32" t="n">
        <v>8</v>
      </c>
      <c r="K32" t="n">
        <v>24</v>
      </c>
      <c r="L32" t="inlineStr">
        <is>
          <t>MH-DC-001-UPS-4</t>
        </is>
      </c>
      <c r="M32" t="inlineStr">
        <is>
          <t>MH-DC-001-AC-1</t>
        </is>
      </c>
    </row>
    <row r="33">
      <c r="A33" t="inlineStr">
        <is>
          <t>MH-DC-001-RACK-P-PDU-B</t>
        </is>
      </c>
      <c r="B33" t="inlineStr">
        <is>
          <t>MH-DC-001</t>
        </is>
      </c>
      <c r="C33" t="inlineStr">
        <is>
          <t>MH-DC-001-RACK-P</t>
        </is>
      </c>
      <c r="D33" t="inlineStr">
        <is>
          <t>B</t>
        </is>
      </c>
      <c r="E33" t="inlineStr">
        <is>
          <t>AC</t>
        </is>
      </c>
      <c r="F33" t="inlineStr">
        <is>
          <t>Switched rack PDU · 3-ph 16 A · 400 V</t>
        </is>
      </c>
      <c r="G33" t="n">
        <v>400</v>
      </c>
      <c r="H33" t="n">
        <v>3</v>
      </c>
      <c r="I33" t="n">
        <v>16</v>
      </c>
      <c r="J33" t="n">
        <v>8</v>
      </c>
      <c r="K33" t="n">
        <v>24</v>
      </c>
      <c r="L33" t="inlineStr">
        <is>
          <t>MH-DC-001-UPS-3</t>
        </is>
      </c>
      <c r="M33" t="inlineStr">
        <is>
          <t>MH-DC-001-AC-2</t>
        </is>
      </c>
    </row>
    <row r="34">
      <c r="A34" t="inlineStr">
        <is>
          <t>MH-DC-001-RACK-Q-PDU-A</t>
        </is>
      </c>
      <c r="B34" t="inlineStr">
        <is>
          <t>MH-DC-001</t>
        </is>
      </c>
      <c r="C34" t="inlineStr">
        <is>
          <t>MH-DC-001-RACK-Q</t>
        </is>
      </c>
      <c r="D34" t="inlineStr">
        <is>
          <t>A</t>
        </is>
      </c>
      <c r="E34" t="inlineStr">
        <is>
          <t>AC</t>
        </is>
      </c>
      <c r="F34" t="inlineStr">
        <is>
          <t>Switched rack PDU · 3-ph 16 A · 400 V</t>
        </is>
      </c>
      <c r="G34" t="n">
        <v>400</v>
      </c>
      <c r="H34" t="n">
        <v>3</v>
      </c>
      <c r="I34" t="n">
        <v>16</v>
      </c>
      <c r="J34" t="n">
        <v>8</v>
      </c>
      <c r="K34" t="n">
        <v>24</v>
      </c>
      <c r="L34" t="inlineStr">
        <is>
          <t>MH-DC-001-UPS-4</t>
        </is>
      </c>
      <c r="M34" t="inlineStr">
        <is>
          <t>MH-DC-001-AC-1</t>
        </is>
      </c>
    </row>
    <row r="35">
      <c r="A35" t="inlineStr">
        <is>
          <t>MH-DC-001-RACK-Q-PDU-B</t>
        </is>
      </c>
      <c r="B35" t="inlineStr">
        <is>
          <t>MH-DC-001</t>
        </is>
      </c>
      <c r="C35" t="inlineStr">
        <is>
          <t>MH-DC-001-RACK-Q</t>
        </is>
      </c>
      <c r="D35" t="inlineStr">
        <is>
          <t>B</t>
        </is>
      </c>
      <c r="E35" t="inlineStr">
        <is>
          <t>AC</t>
        </is>
      </c>
      <c r="F35" t="inlineStr">
        <is>
          <t>Switched rack PDU · 3-ph 16 A · 400 V</t>
        </is>
      </c>
      <c r="G35" t="n">
        <v>400</v>
      </c>
      <c r="H35" t="n">
        <v>3</v>
      </c>
      <c r="I35" t="n">
        <v>16</v>
      </c>
      <c r="J35" t="n">
        <v>8</v>
      </c>
      <c r="K35" t="n">
        <v>24</v>
      </c>
      <c r="L35" t="inlineStr">
        <is>
          <t>MH-DC-001-UPS-3</t>
        </is>
      </c>
      <c r="M35" t="inlineStr">
        <is>
          <t>MH-DC-001-AC-2</t>
        </is>
      </c>
    </row>
    <row r="36">
      <c r="A36" t="inlineStr">
        <is>
          <t>MH-DC-001-RACK-R-PDU-A</t>
        </is>
      </c>
      <c r="B36" t="inlineStr">
        <is>
          <t>MH-DC-001</t>
        </is>
      </c>
      <c r="C36" t="inlineStr">
        <is>
          <t>MH-DC-001-RACK-R</t>
        </is>
      </c>
      <c r="D36" t="inlineStr">
        <is>
          <t>A</t>
        </is>
      </c>
      <c r="E36" t="inlineStr">
        <is>
          <t>AC</t>
        </is>
      </c>
      <c r="F36" t="inlineStr">
        <is>
          <t>Switched rack PDU · 3-ph 16 A · 400 V</t>
        </is>
      </c>
      <c r="G36" t="n">
        <v>400</v>
      </c>
      <c r="H36" t="n">
        <v>3</v>
      </c>
      <c r="I36" t="n">
        <v>16</v>
      </c>
      <c r="J36" t="n">
        <v>8</v>
      </c>
      <c r="K36" t="n">
        <v>24</v>
      </c>
      <c r="L36" t="inlineStr">
        <is>
          <t>MH-DC-001-UPS-4</t>
        </is>
      </c>
      <c r="M36" t="inlineStr">
        <is>
          <t>MH-DC-001-AC-1</t>
        </is>
      </c>
    </row>
    <row r="37">
      <c r="A37" t="inlineStr">
        <is>
          <t>MH-DC-001-RACK-R-PDU-B</t>
        </is>
      </c>
      <c r="B37" t="inlineStr">
        <is>
          <t>MH-DC-001</t>
        </is>
      </c>
      <c r="C37" t="inlineStr">
        <is>
          <t>MH-DC-001-RACK-R</t>
        </is>
      </c>
      <c r="D37" t="inlineStr">
        <is>
          <t>B</t>
        </is>
      </c>
      <c r="E37" t="inlineStr">
        <is>
          <t>AC</t>
        </is>
      </c>
      <c r="F37" t="inlineStr">
        <is>
          <t>Switched rack PDU · 3-ph 16 A · 400 V</t>
        </is>
      </c>
      <c r="G37" t="n">
        <v>400</v>
      </c>
      <c r="H37" t="n">
        <v>3</v>
      </c>
      <c r="I37" t="n">
        <v>16</v>
      </c>
      <c r="J37" t="n">
        <v>8</v>
      </c>
      <c r="K37" t="n">
        <v>24</v>
      </c>
      <c r="L37" t="inlineStr">
        <is>
          <t>MH-DC-001-UPS-3</t>
        </is>
      </c>
      <c r="M37" t="inlineStr">
        <is>
          <t>MH-DC-001-AC-2</t>
        </is>
      </c>
    </row>
    <row r="38">
      <c r="A38" t="inlineStr">
        <is>
          <t>MH-DC-001-RACK-S-PDU-A</t>
        </is>
      </c>
      <c r="B38" t="inlineStr">
        <is>
          <t>MH-DC-001</t>
        </is>
      </c>
      <c r="C38" t="inlineStr">
        <is>
          <t>MH-DC-001-RACK-S</t>
        </is>
      </c>
      <c r="D38" t="inlineStr">
        <is>
          <t>A</t>
        </is>
      </c>
      <c r="E38" t="inlineStr">
        <is>
          <t>AC</t>
        </is>
      </c>
      <c r="F38" t="inlineStr">
        <is>
          <t>Switched rack PDU · 3-ph 16 A · 400 V</t>
        </is>
      </c>
      <c r="G38" t="n">
        <v>400</v>
      </c>
      <c r="H38" t="n">
        <v>3</v>
      </c>
      <c r="I38" t="n">
        <v>16</v>
      </c>
      <c r="J38" t="n">
        <v>8</v>
      </c>
      <c r="K38" t="n">
        <v>24</v>
      </c>
      <c r="L38" t="inlineStr">
        <is>
          <t>MH-DC-001-UPS-4</t>
        </is>
      </c>
      <c r="M38" t="inlineStr">
        <is>
          <t>MH-DC-001-AC-1</t>
        </is>
      </c>
    </row>
    <row r="39">
      <c r="A39" t="inlineStr">
        <is>
          <t>MH-DC-001-RACK-S-PDU-B</t>
        </is>
      </c>
      <c r="B39" t="inlineStr">
        <is>
          <t>MH-DC-001</t>
        </is>
      </c>
      <c r="C39" t="inlineStr">
        <is>
          <t>MH-DC-001-RACK-S</t>
        </is>
      </c>
      <c r="D39" t="inlineStr">
        <is>
          <t>B</t>
        </is>
      </c>
      <c r="E39" t="inlineStr">
        <is>
          <t>AC</t>
        </is>
      </c>
      <c r="F39" t="inlineStr">
        <is>
          <t>Switched rack PDU · 3-ph 16 A · 400 V</t>
        </is>
      </c>
      <c r="G39" t="n">
        <v>400</v>
      </c>
      <c r="H39" t="n">
        <v>3</v>
      </c>
      <c r="I39" t="n">
        <v>16</v>
      </c>
      <c r="J39" t="n">
        <v>8</v>
      </c>
      <c r="K39" t="n">
        <v>24</v>
      </c>
      <c r="L39" t="inlineStr">
        <is>
          <t>MH-DC-001-UPS-3</t>
        </is>
      </c>
      <c r="M39" t="inlineStr">
        <is>
          <t>MH-DC-001-AC-2</t>
        </is>
      </c>
    </row>
    <row r="40">
      <c r="A40" t="inlineStr">
        <is>
          <t>MH-DC-001-RACK-T-PDU-A</t>
        </is>
      </c>
      <c r="B40" t="inlineStr">
        <is>
          <t>MH-DC-001</t>
        </is>
      </c>
      <c r="C40" t="inlineStr">
        <is>
          <t>MH-DC-001-RACK-T</t>
        </is>
      </c>
      <c r="D40" t="inlineStr">
        <is>
          <t>A</t>
        </is>
      </c>
      <c r="E40" t="inlineStr">
        <is>
          <t>AC</t>
        </is>
      </c>
      <c r="F40" t="inlineStr">
        <is>
          <t>Switched rack PDU · 3-ph 16 A · 400 V</t>
        </is>
      </c>
      <c r="G40" t="n">
        <v>400</v>
      </c>
      <c r="H40" t="n">
        <v>3</v>
      </c>
      <c r="I40" t="n">
        <v>16</v>
      </c>
      <c r="J40" t="n">
        <v>8</v>
      </c>
      <c r="K40" t="n">
        <v>24</v>
      </c>
      <c r="L40" t="inlineStr">
        <is>
          <t>MH-DC-001-UPS-4</t>
        </is>
      </c>
      <c r="M40" t="inlineStr">
        <is>
          <t>MH-DC-001-AC-1</t>
        </is>
      </c>
    </row>
    <row r="41">
      <c r="A41" t="inlineStr">
        <is>
          <t>MH-DC-001-RACK-T-PDU-B</t>
        </is>
      </c>
      <c r="B41" t="inlineStr">
        <is>
          <t>MH-DC-001</t>
        </is>
      </c>
      <c r="C41" t="inlineStr">
        <is>
          <t>MH-DC-001-RACK-T</t>
        </is>
      </c>
      <c r="D41" t="inlineStr">
        <is>
          <t>B</t>
        </is>
      </c>
      <c r="E41" t="inlineStr">
        <is>
          <t>AC</t>
        </is>
      </c>
      <c r="F41" t="inlineStr">
        <is>
          <t>Switched rack PDU · 3-ph 16 A · 400 V</t>
        </is>
      </c>
      <c r="G41" t="n">
        <v>400</v>
      </c>
      <c r="H41" t="n">
        <v>3</v>
      </c>
      <c r="I41" t="n">
        <v>16</v>
      </c>
      <c r="J41" t="n">
        <v>8</v>
      </c>
      <c r="K41" t="n">
        <v>24</v>
      </c>
      <c r="L41" t="inlineStr">
        <is>
          <t>MH-DC-001-UPS-3</t>
        </is>
      </c>
      <c r="M41" t="inlineStr">
        <is>
          <t>MH-DC-001-AC-2</t>
        </is>
      </c>
    </row>
    <row r="42">
      <c r="A42" t="inlineStr">
        <is>
          <t>MH-DC-001-RACK-U-PDU-A</t>
        </is>
      </c>
      <c r="B42" t="inlineStr">
        <is>
          <t>MH-DC-001</t>
        </is>
      </c>
      <c r="C42" t="inlineStr">
        <is>
          <t>MH-DC-001-RACK-U</t>
        </is>
      </c>
      <c r="D42" t="inlineStr">
        <is>
          <t>A</t>
        </is>
      </c>
      <c r="E42" t="inlineStr">
        <is>
          <t>AC</t>
        </is>
      </c>
      <c r="F42" t="inlineStr">
        <is>
          <t>Switched rack PDU · 3-ph 16 A · 400 V</t>
        </is>
      </c>
      <c r="G42" t="n">
        <v>400</v>
      </c>
      <c r="H42" t="n">
        <v>3</v>
      </c>
      <c r="I42" t="n">
        <v>16</v>
      </c>
      <c r="J42" t="n">
        <v>9</v>
      </c>
      <c r="K42" t="n">
        <v>24</v>
      </c>
      <c r="L42" t="inlineStr">
        <is>
          <t>MH-DC-001-UPS-2</t>
        </is>
      </c>
      <c r="M42" t="inlineStr">
        <is>
          <t>MH-DC-001-AC-1</t>
        </is>
      </c>
    </row>
    <row r="43">
      <c r="A43" t="inlineStr">
        <is>
          <t>MH-DC-001-RACK-U-PDU-B</t>
        </is>
      </c>
      <c r="B43" t="inlineStr">
        <is>
          <t>MH-DC-001</t>
        </is>
      </c>
      <c r="C43" t="inlineStr">
        <is>
          <t>MH-DC-001-RACK-U</t>
        </is>
      </c>
      <c r="D43" t="inlineStr">
        <is>
          <t>B</t>
        </is>
      </c>
      <c r="E43" t="inlineStr">
        <is>
          <t>AC</t>
        </is>
      </c>
      <c r="F43" t="inlineStr">
        <is>
          <t>Switched rack PDU · 3-ph 16 A · 400 V</t>
        </is>
      </c>
      <c r="G43" t="n">
        <v>400</v>
      </c>
      <c r="H43" t="n">
        <v>3</v>
      </c>
      <c r="I43" t="n">
        <v>16</v>
      </c>
      <c r="J43" t="n">
        <v>9</v>
      </c>
      <c r="K43" t="n">
        <v>24</v>
      </c>
      <c r="L43" t="inlineStr">
        <is>
          <t>MH-DC-001-UPS-1</t>
        </is>
      </c>
      <c r="M43" t="inlineStr">
        <is>
          <t>MH-DC-001-AC-2</t>
        </is>
      </c>
    </row>
    <row r="44">
      <c r="A44" t="inlineStr">
        <is>
          <t>MH-DC-002-RACK-A-PDU-A</t>
        </is>
      </c>
      <c r="B44" t="inlineStr">
        <is>
          <t>MH-DC-002</t>
        </is>
      </c>
      <c r="C44" t="inlineStr">
        <is>
          <t>MH-DC-002-RACK-A</t>
        </is>
      </c>
      <c r="D44" t="inlineStr">
        <is>
          <t>A</t>
        </is>
      </c>
      <c r="E44" t="inlineStr">
        <is>
          <t>AC</t>
        </is>
      </c>
      <c r="F44" t="inlineStr">
        <is>
          <t>Switched rack PDU · 3-ph 32 A · 400 V</t>
        </is>
      </c>
      <c r="G44" t="n">
        <v>400</v>
      </c>
      <c r="H44" t="n">
        <v>3</v>
      </c>
      <c r="I44" t="n">
        <v>32</v>
      </c>
      <c r="J44" t="n">
        <v>15</v>
      </c>
      <c r="K44" t="n">
        <v>36</v>
      </c>
      <c r="L44" t="inlineStr">
        <is>
          <t>MH-DC-002-UPS-2</t>
        </is>
      </c>
      <c r="M44" t="inlineStr">
        <is>
          <t>MH-DC-002-AC-1</t>
        </is>
      </c>
    </row>
    <row r="45">
      <c r="A45" t="inlineStr">
        <is>
          <t>MH-DC-002-RACK-A-PDU-B</t>
        </is>
      </c>
      <c r="B45" t="inlineStr">
        <is>
          <t>MH-DC-002</t>
        </is>
      </c>
      <c r="C45" t="inlineStr">
        <is>
          <t>MH-DC-002-RACK-A</t>
        </is>
      </c>
      <c r="D45" t="inlineStr">
        <is>
          <t>B</t>
        </is>
      </c>
      <c r="E45" t="inlineStr">
        <is>
          <t>AC</t>
        </is>
      </c>
      <c r="F45" t="inlineStr">
        <is>
          <t>Switched rack PDU · 3-ph 32 A · 400 V</t>
        </is>
      </c>
      <c r="G45" t="n">
        <v>400</v>
      </c>
      <c r="H45" t="n">
        <v>3</v>
      </c>
      <c r="I45" t="n">
        <v>32</v>
      </c>
      <c r="J45" t="n">
        <v>15</v>
      </c>
      <c r="K45" t="n">
        <v>36</v>
      </c>
      <c r="L45" t="inlineStr">
        <is>
          <t>MH-DC-002-UPS-1</t>
        </is>
      </c>
      <c r="M45" t="inlineStr">
        <is>
          <t>MH-DC-002-AC-2</t>
        </is>
      </c>
    </row>
    <row r="46">
      <c r="A46" t="inlineStr">
        <is>
          <t>MH-DC-002-RACK-B-PDU-A</t>
        </is>
      </c>
      <c r="B46" t="inlineStr">
        <is>
          <t>MH-DC-002</t>
        </is>
      </c>
      <c r="C46" t="inlineStr">
        <is>
          <t>MH-DC-002-RACK-B</t>
        </is>
      </c>
      <c r="D46" t="inlineStr">
        <is>
          <t>A</t>
        </is>
      </c>
      <c r="E46" t="inlineStr">
        <is>
          <t>AC</t>
        </is>
      </c>
      <c r="F46" t="inlineStr">
        <is>
          <t>High-density rack PDU · 3-ph 63 A · 400 V</t>
        </is>
      </c>
      <c r="G46" t="n">
        <v>400</v>
      </c>
      <c r="H46" t="n">
        <v>3</v>
      </c>
      <c r="I46" t="n">
        <v>63</v>
      </c>
      <c r="J46" t="n">
        <v>40</v>
      </c>
      <c r="K46" t="n">
        <v>48</v>
      </c>
      <c r="L46" t="inlineStr">
        <is>
          <t>MH-DC-002-UPS-2</t>
        </is>
      </c>
      <c r="M46" t="inlineStr">
        <is>
          <t>MH-DC-002-AC-1</t>
        </is>
      </c>
    </row>
    <row r="47">
      <c r="A47" t="inlineStr">
        <is>
          <t>MH-DC-002-RACK-B-PDU-B</t>
        </is>
      </c>
      <c r="B47" t="inlineStr">
        <is>
          <t>MH-DC-002</t>
        </is>
      </c>
      <c r="C47" t="inlineStr">
        <is>
          <t>MH-DC-002-RACK-B</t>
        </is>
      </c>
      <c r="D47" t="inlineStr">
        <is>
          <t>B</t>
        </is>
      </c>
      <c r="E47" t="inlineStr">
        <is>
          <t>AC</t>
        </is>
      </c>
      <c r="F47" t="inlineStr">
        <is>
          <t>High-density rack PDU · 3-ph 63 A · 400 V</t>
        </is>
      </c>
      <c r="G47" t="n">
        <v>400</v>
      </c>
      <c r="H47" t="n">
        <v>3</v>
      </c>
      <c r="I47" t="n">
        <v>63</v>
      </c>
      <c r="J47" t="n">
        <v>40</v>
      </c>
      <c r="K47" t="n">
        <v>48</v>
      </c>
      <c r="L47" t="inlineStr">
        <is>
          <t>MH-DC-002-UPS-1</t>
        </is>
      </c>
      <c r="M47" t="inlineStr">
        <is>
          <t>MH-DC-002-AC-2</t>
        </is>
      </c>
    </row>
    <row r="48">
      <c r="A48" t="inlineStr">
        <is>
          <t>MH-DC-002-RACK-C-PDU-A</t>
        </is>
      </c>
      <c r="B48" t="inlineStr">
        <is>
          <t>MH-DC-002</t>
        </is>
      </c>
      <c r="C48" t="inlineStr">
        <is>
          <t>MH-DC-002-RACK-C</t>
        </is>
      </c>
      <c r="D48" t="inlineStr">
        <is>
          <t>A</t>
        </is>
      </c>
      <c r="E48" t="inlineStr">
        <is>
          <t>AC</t>
        </is>
      </c>
      <c r="F48" t="inlineStr">
        <is>
          <t>High-density rack PDU · 3-ph 63 A · 400 V</t>
        </is>
      </c>
      <c r="G48" t="n">
        <v>400</v>
      </c>
      <c r="H48" t="n">
        <v>3</v>
      </c>
      <c r="I48" t="n">
        <v>63</v>
      </c>
      <c r="J48" t="n">
        <v>40</v>
      </c>
      <c r="K48" t="n">
        <v>48</v>
      </c>
      <c r="L48" t="inlineStr">
        <is>
          <t>MH-DC-002-UPS-2</t>
        </is>
      </c>
      <c r="M48" t="inlineStr">
        <is>
          <t>MH-DC-002-AC-1</t>
        </is>
      </c>
    </row>
    <row r="49">
      <c r="A49" t="inlineStr">
        <is>
          <t>MH-DC-002-RACK-C-PDU-B</t>
        </is>
      </c>
      <c r="B49" t="inlineStr">
        <is>
          <t>MH-DC-002</t>
        </is>
      </c>
      <c r="C49" t="inlineStr">
        <is>
          <t>MH-DC-002-RACK-C</t>
        </is>
      </c>
      <c r="D49" t="inlineStr">
        <is>
          <t>B</t>
        </is>
      </c>
      <c r="E49" t="inlineStr">
        <is>
          <t>AC</t>
        </is>
      </c>
      <c r="F49" t="inlineStr">
        <is>
          <t>High-density rack PDU · 3-ph 63 A · 400 V</t>
        </is>
      </c>
      <c r="G49" t="n">
        <v>400</v>
      </c>
      <c r="H49" t="n">
        <v>3</v>
      </c>
      <c r="I49" t="n">
        <v>63</v>
      </c>
      <c r="J49" t="n">
        <v>40</v>
      </c>
      <c r="K49" t="n">
        <v>48</v>
      </c>
      <c r="L49" t="inlineStr">
        <is>
          <t>MH-DC-002-UPS-1</t>
        </is>
      </c>
      <c r="M49" t="inlineStr">
        <is>
          <t>MH-DC-002-AC-2</t>
        </is>
      </c>
    </row>
    <row r="50">
      <c r="A50" t="inlineStr">
        <is>
          <t>MH-DC-002-RACK-D-PDU-A</t>
        </is>
      </c>
      <c r="B50" t="inlineStr">
        <is>
          <t>MH-DC-002</t>
        </is>
      </c>
      <c r="C50" t="inlineStr">
        <is>
          <t>MH-DC-002-RACK-D</t>
        </is>
      </c>
      <c r="D50" t="inlineStr">
        <is>
          <t>A</t>
        </is>
      </c>
      <c r="E50" t="inlineStr">
        <is>
          <t>AC</t>
        </is>
      </c>
      <c r="F50" t="inlineStr">
        <is>
          <t>Switched rack PDU · 3-ph 32 A · 400 V</t>
        </is>
      </c>
      <c r="G50" t="n">
        <v>400</v>
      </c>
      <c r="H50" t="n">
        <v>3</v>
      </c>
      <c r="I50" t="n">
        <v>32</v>
      </c>
      <c r="J50" t="n">
        <v>17</v>
      </c>
      <c r="K50" t="n">
        <v>36</v>
      </c>
      <c r="L50" t="inlineStr">
        <is>
          <t>MH-DC-002-UPS-4</t>
        </is>
      </c>
      <c r="M50" t="inlineStr">
        <is>
          <t>MH-DC-002-AC-1</t>
        </is>
      </c>
    </row>
    <row r="51">
      <c r="A51" t="inlineStr">
        <is>
          <t>MH-DC-002-RACK-D-PDU-B</t>
        </is>
      </c>
      <c r="B51" t="inlineStr">
        <is>
          <t>MH-DC-002</t>
        </is>
      </c>
      <c r="C51" t="inlineStr">
        <is>
          <t>MH-DC-002-RACK-D</t>
        </is>
      </c>
      <c r="D51" t="inlineStr">
        <is>
          <t>B</t>
        </is>
      </c>
      <c r="E51" t="inlineStr">
        <is>
          <t>AC</t>
        </is>
      </c>
      <c r="F51" t="inlineStr">
        <is>
          <t>Switched rack PDU · 3-ph 32 A · 400 V</t>
        </is>
      </c>
      <c r="G51" t="n">
        <v>400</v>
      </c>
      <c r="H51" t="n">
        <v>3</v>
      </c>
      <c r="I51" t="n">
        <v>32</v>
      </c>
      <c r="J51" t="n">
        <v>17</v>
      </c>
      <c r="K51" t="n">
        <v>36</v>
      </c>
      <c r="L51" t="inlineStr">
        <is>
          <t>MH-DC-002-UPS-3</t>
        </is>
      </c>
      <c r="M51" t="inlineStr">
        <is>
          <t>MH-DC-002-AC-2</t>
        </is>
      </c>
    </row>
    <row r="52">
      <c r="A52" t="inlineStr">
        <is>
          <t>MH-DC-002-RACK-E-PDU-A</t>
        </is>
      </c>
      <c r="B52" t="inlineStr">
        <is>
          <t>MH-DC-002</t>
        </is>
      </c>
      <c r="C52" t="inlineStr">
        <is>
          <t>MH-DC-002-RACK-E</t>
        </is>
      </c>
      <c r="D52" t="inlineStr">
        <is>
          <t>A</t>
        </is>
      </c>
      <c r="E52" t="inlineStr">
        <is>
          <t>AC</t>
        </is>
      </c>
      <c r="F52" t="inlineStr">
        <is>
          <t>Switched rack PDU · 3-ph 32 A · 400 V</t>
        </is>
      </c>
      <c r="G52" t="n">
        <v>400</v>
      </c>
      <c r="H52" t="n">
        <v>3</v>
      </c>
      <c r="I52" t="n">
        <v>32</v>
      </c>
      <c r="J52" t="n">
        <v>20</v>
      </c>
      <c r="K52" t="n">
        <v>36</v>
      </c>
      <c r="L52" t="inlineStr">
        <is>
          <t>MH-DC-002-UPS-4</t>
        </is>
      </c>
      <c r="M52" t="inlineStr">
        <is>
          <t>MH-DC-002-AC-1</t>
        </is>
      </c>
    </row>
    <row r="53">
      <c r="A53" t="inlineStr">
        <is>
          <t>MH-DC-002-RACK-E-PDU-B</t>
        </is>
      </c>
      <c r="B53" t="inlineStr">
        <is>
          <t>MH-DC-002</t>
        </is>
      </c>
      <c r="C53" t="inlineStr">
        <is>
          <t>MH-DC-002-RACK-E</t>
        </is>
      </c>
      <c r="D53" t="inlineStr">
        <is>
          <t>B</t>
        </is>
      </c>
      <c r="E53" t="inlineStr">
        <is>
          <t>AC</t>
        </is>
      </c>
      <c r="F53" t="inlineStr">
        <is>
          <t>Switched rack PDU · 3-ph 32 A · 400 V</t>
        </is>
      </c>
      <c r="G53" t="n">
        <v>400</v>
      </c>
      <c r="H53" t="n">
        <v>3</v>
      </c>
      <c r="I53" t="n">
        <v>32</v>
      </c>
      <c r="J53" t="n">
        <v>20</v>
      </c>
      <c r="K53" t="n">
        <v>36</v>
      </c>
      <c r="L53" t="inlineStr">
        <is>
          <t>MH-DC-002-UPS-3</t>
        </is>
      </c>
      <c r="M53" t="inlineStr">
        <is>
          <t>MH-DC-002-AC-2</t>
        </is>
      </c>
    </row>
    <row r="54">
      <c r="A54" t="inlineStr">
        <is>
          <t>MH-DC-002-RACK-F-PDU-A</t>
        </is>
      </c>
      <c r="B54" t="inlineStr">
        <is>
          <t>MH-DC-002</t>
        </is>
      </c>
      <c r="C54" t="inlineStr">
        <is>
          <t>MH-DC-002-RACK-F</t>
        </is>
      </c>
      <c r="D54" t="inlineStr">
        <is>
          <t>A</t>
        </is>
      </c>
      <c r="E54" t="inlineStr">
        <is>
          <t>AC</t>
        </is>
      </c>
      <c r="F54" t="inlineStr">
        <is>
          <t>Switched rack PDU · 3-ph 32 A · 400 V</t>
        </is>
      </c>
      <c r="G54" t="n">
        <v>400</v>
      </c>
      <c r="H54" t="n">
        <v>3</v>
      </c>
      <c r="I54" t="n">
        <v>32</v>
      </c>
      <c r="J54" t="n">
        <v>17</v>
      </c>
      <c r="K54" t="n">
        <v>36</v>
      </c>
      <c r="L54" t="inlineStr">
        <is>
          <t>MH-DC-002-UPS-2</t>
        </is>
      </c>
      <c r="M54" t="inlineStr">
        <is>
          <t>MH-DC-002-AC-1</t>
        </is>
      </c>
    </row>
    <row r="55">
      <c r="A55" t="inlineStr">
        <is>
          <t>MH-DC-002-RACK-F-PDU-B</t>
        </is>
      </c>
      <c r="B55" t="inlineStr">
        <is>
          <t>MH-DC-002</t>
        </is>
      </c>
      <c r="C55" t="inlineStr">
        <is>
          <t>MH-DC-002-RACK-F</t>
        </is>
      </c>
      <c r="D55" t="inlineStr">
        <is>
          <t>B</t>
        </is>
      </c>
      <c r="E55" t="inlineStr">
        <is>
          <t>AC</t>
        </is>
      </c>
      <c r="F55" t="inlineStr">
        <is>
          <t>Switched rack PDU · 3-ph 32 A · 400 V</t>
        </is>
      </c>
      <c r="G55" t="n">
        <v>400</v>
      </c>
      <c r="H55" t="n">
        <v>3</v>
      </c>
      <c r="I55" t="n">
        <v>32</v>
      </c>
      <c r="J55" t="n">
        <v>17</v>
      </c>
      <c r="K55" t="n">
        <v>36</v>
      </c>
      <c r="L55" t="inlineStr">
        <is>
          <t>MH-DC-002-UPS-1</t>
        </is>
      </c>
      <c r="M55" t="inlineStr">
        <is>
          <t>MH-DC-002-AC-2</t>
        </is>
      </c>
    </row>
    <row r="56">
      <c r="A56" t="inlineStr">
        <is>
          <t>MH-DC-002-RACK-G-PDU-A</t>
        </is>
      </c>
      <c r="B56" t="inlineStr">
        <is>
          <t>MH-DC-002</t>
        </is>
      </c>
      <c r="C56" t="inlineStr">
        <is>
          <t>MH-DC-002-RACK-G</t>
        </is>
      </c>
      <c r="D56" t="inlineStr">
        <is>
          <t>A</t>
        </is>
      </c>
      <c r="E56" t="inlineStr">
        <is>
          <t>AC</t>
        </is>
      </c>
      <c r="F56" t="inlineStr">
        <is>
          <t>Switched rack PDU · 3-ph 32 A · 400 V</t>
        </is>
      </c>
      <c r="G56" t="n">
        <v>400</v>
      </c>
      <c r="H56" t="n">
        <v>3</v>
      </c>
      <c r="I56" t="n">
        <v>32</v>
      </c>
      <c r="J56" t="n">
        <v>17</v>
      </c>
      <c r="K56" t="n">
        <v>36</v>
      </c>
      <c r="L56" t="inlineStr">
        <is>
          <t>MH-DC-002-UPS-2</t>
        </is>
      </c>
      <c r="M56" t="inlineStr">
        <is>
          <t>MH-DC-002-AC-1</t>
        </is>
      </c>
    </row>
    <row r="57">
      <c r="A57" t="inlineStr">
        <is>
          <t>MH-DC-002-RACK-G-PDU-B</t>
        </is>
      </c>
      <c r="B57" t="inlineStr">
        <is>
          <t>MH-DC-002</t>
        </is>
      </c>
      <c r="C57" t="inlineStr">
        <is>
          <t>MH-DC-002-RACK-G</t>
        </is>
      </c>
      <c r="D57" t="inlineStr">
        <is>
          <t>B</t>
        </is>
      </c>
      <c r="E57" t="inlineStr">
        <is>
          <t>AC</t>
        </is>
      </c>
      <c r="F57" t="inlineStr">
        <is>
          <t>Switched rack PDU · 3-ph 32 A · 400 V</t>
        </is>
      </c>
      <c r="G57" t="n">
        <v>400</v>
      </c>
      <c r="H57" t="n">
        <v>3</v>
      </c>
      <c r="I57" t="n">
        <v>32</v>
      </c>
      <c r="J57" t="n">
        <v>17</v>
      </c>
      <c r="K57" t="n">
        <v>36</v>
      </c>
      <c r="L57" t="inlineStr">
        <is>
          <t>MH-DC-002-UPS-1</t>
        </is>
      </c>
      <c r="M57" t="inlineStr">
        <is>
          <t>MH-DC-002-AC-2</t>
        </is>
      </c>
    </row>
    <row r="58">
      <c r="A58" t="inlineStr">
        <is>
          <t>MH-DC-002-RACK-H-PDU-A</t>
        </is>
      </c>
      <c r="B58" t="inlineStr">
        <is>
          <t>MH-DC-002</t>
        </is>
      </c>
      <c r="C58" t="inlineStr">
        <is>
          <t>MH-DC-002-RACK-H</t>
        </is>
      </c>
      <c r="D58" t="inlineStr">
        <is>
          <t>A</t>
        </is>
      </c>
      <c r="E58" t="inlineStr">
        <is>
          <t>AC</t>
        </is>
      </c>
      <c r="F58" t="inlineStr">
        <is>
          <t>High-density rack PDU · 3-ph 63 A · 400 V</t>
        </is>
      </c>
      <c r="G58" t="n">
        <v>400</v>
      </c>
      <c r="H58" t="n">
        <v>3</v>
      </c>
      <c r="I58" t="n">
        <v>63</v>
      </c>
      <c r="J58" t="n">
        <v>40</v>
      </c>
      <c r="K58" t="n">
        <v>48</v>
      </c>
      <c r="L58" t="inlineStr">
        <is>
          <t>MH-DC-002-UPS-2</t>
        </is>
      </c>
      <c r="M58" t="inlineStr">
        <is>
          <t>MH-DC-002-AC-1</t>
        </is>
      </c>
    </row>
    <row r="59">
      <c r="A59" t="inlineStr">
        <is>
          <t>MH-DC-002-RACK-H-PDU-B</t>
        </is>
      </c>
      <c r="B59" t="inlineStr">
        <is>
          <t>MH-DC-002</t>
        </is>
      </c>
      <c r="C59" t="inlineStr">
        <is>
          <t>MH-DC-002-RACK-H</t>
        </is>
      </c>
      <c r="D59" t="inlineStr">
        <is>
          <t>B</t>
        </is>
      </c>
      <c r="E59" t="inlineStr">
        <is>
          <t>AC</t>
        </is>
      </c>
      <c r="F59" t="inlineStr">
        <is>
          <t>High-density rack PDU · 3-ph 63 A · 400 V</t>
        </is>
      </c>
      <c r="G59" t="n">
        <v>400</v>
      </c>
      <c r="H59" t="n">
        <v>3</v>
      </c>
      <c r="I59" t="n">
        <v>63</v>
      </c>
      <c r="J59" t="n">
        <v>40</v>
      </c>
      <c r="K59" t="n">
        <v>48</v>
      </c>
      <c r="L59" t="inlineStr">
        <is>
          <t>MH-DC-002-UPS-1</t>
        </is>
      </c>
      <c r="M59" t="inlineStr">
        <is>
          <t>MH-DC-002-AC-2</t>
        </is>
      </c>
    </row>
    <row r="60">
      <c r="A60" t="inlineStr">
        <is>
          <t>MH-DC-002-RACK-I-PDU-A</t>
        </is>
      </c>
      <c r="B60" t="inlineStr">
        <is>
          <t>MH-DC-002</t>
        </is>
      </c>
      <c r="C60" t="inlineStr">
        <is>
          <t>MH-DC-002-RACK-I</t>
        </is>
      </c>
      <c r="D60" t="inlineStr">
        <is>
          <t>A</t>
        </is>
      </c>
      <c r="E60" t="inlineStr">
        <is>
          <t>AC</t>
        </is>
      </c>
      <c r="F60" t="inlineStr">
        <is>
          <t>Switched rack PDU · 3-ph 16 A · 400 V</t>
        </is>
      </c>
      <c r="G60" t="n">
        <v>400</v>
      </c>
      <c r="H60" t="n">
        <v>3</v>
      </c>
      <c r="I60" t="n">
        <v>16</v>
      </c>
      <c r="J60" t="n">
        <v>8</v>
      </c>
      <c r="K60" t="n">
        <v>24</v>
      </c>
      <c r="L60" t="inlineStr">
        <is>
          <t>MH-DC-002-UPS-4</t>
        </is>
      </c>
      <c r="M60" t="inlineStr">
        <is>
          <t>MH-DC-002-AC-1</t>
        </is>
      </c>
    </row>
    <row r="61">
      <c r="A61" t="inlineStr">
        <is>
          <t>MH-DC-002-RACK-I-PDU-B</t>
        </is>
      </c>
      <c r="B61" t="inlineStr">
        <is>
          <t>MH-DC-002</t>
        </is>
      </c>
      <c r="C61" t="inlineStr">
        <is>
          <t>MH-DC-002-RACK-I</t>
        </is>
      </c>
      <c r="D61" t="inlineStr">
        <is>
          <t>B</t>
        </is>
      </c>
      <c r="E61" t="inlineStr">
        <is>
          <t>AC</t>
        </is>
      </c>
      <c r="F61" t="inlineStr">
        <is>
          <t>Switched rack PDU · 3-ph 16 A · 400 V</t>
        </is>
      </c>
      <c r="G61" t="n">
        <v>400</v>
      </c>
      <c r="H61" t="n">
        <v>3</v>
      </c>
      <c r="I61" t="n">
        <v>16</v>
      </c>
      <c r="J61" t="n">
        <v>8</v>
      </c>
      <c r="K61" t="n">
        <v>24</v>
      </c>
      <c r="L61" t="inlineStr">
        <is>
          <t>MH-DC-002-UPS-3</t>
        </is>
      </c>
      <c r="M61" t="inlineStr">
        <is>
          <t>MH-DC-002-AC-2</t>
        </is>
      </c>
    </row>
    <row r="62">
      <c r="A62" t="inlineStr">
        <is>
          <t>MH-DC-002-RACK-J-PDU-A</t>
        </is>
      </c>
      <c r="B62" t="inlineStr">
        <is>
          <t>MH-DC-002</t>
        </is>
      </c>
      <c r="C62" t="inlineStr">
        <is>
          <t>MH-DC-002-RACK-J</t>
        </is>
      </c>
      <c r="D62" t="inlineStr">
        <is>
          <t>A</t>
        </is>
      </c>
      <c r="E62" t="inlineStr">
        <is>
          <t>AC</t>
        </is>
      </c>
      <c r="F62" t="inlineStr">
        <is>
          <t>Switched rack PDU · 3-ph 16 A · 400 V</t>
        </is>
      </c>
      <c r="G62" t="n">
        <v>400</v>
      </c>
      <c r="H62" t="n">
        <v>3</v>
      </c>
      <c r="I62" t="n">
        <v>16</v>
      </c>
      <c r="J62" t="n">
        <v>8</v>
      </c>
      <c r="K62" t="n">
        <v>24</v>
      </c>
      <c r="L62" t="inlineStr">
        <is>
          <t>MH-DC-002-UPS-4</t>
        </is>
      </c>
      <c r="M62" t="inlineStr">
        <is>
          <t>MH-DC-002-AC-1</t>
        </is>
      </c>
    </row>
    <row r="63">
      <c r="A63" t="inlineStr">
        <is>
          <t>MH-DC-002-RACK-J-PDU-B</t>
        </is>
      </c>
      <c r="B63" t="inlineStr">
        <is>
          <t>MH-DC-002</t>
        </is>
      </c>
      <c r="C63" t="inlineStr">
        <is>
          <t>MH-DC-002-RACK-J</t>
        </is>
      </c>
      <c r="D63" t="inlineStr">
        <is>
          <t>B</t>
        </is>
      </c>
      <c r="E63" t="inlineStr">
        <is>
          <t>AC</t>
        </is>
      </c>
      <c r="F63" t="inlineStr">
        <is>
          <t>Switched rack PDU · 3-ph 16 A · 400 V</t>
        </is>
      </c>
      <c r="G63" t="n">
        <v>400</v>
      </c>
      <c r="H63" t="n">
        <v>3</v>
      </c>
      <c r="I63" t="n">
        <v>16</v>
      </c>
      <c r="J63" t="n">
        <v>8</v>
      </c>
      <c r="K63" t="n">
        <v>24</v>
      </c>
      <c r="L63" t="inlineStr">
        <is>
          <t>MH-DC-002-UPS-3</t>
        </is>
      </c>
      <c r="M63" t="inlineStr">
        <is>
          <t>MH-DC-002-AC-2</t>
        </is>
      </c>
    </row>
    <row r="64">
      <c r="A64" t="inlineStr">
        <is>
          <t>MH-DC-002-RACK-K-PDU-A</t>
        </is>
      </c>
      <c r="B64" t="inlineStr">
        <is>
          <t>MH-DC-002</t>
        </is>
      </c>
      <c r="C64" t="inlineStr">
        <is>
          <t>MH-DC-002-RACK-K</t>
        </is>
      </c>
      <c r="D64" t="inlineStr">
        <is>
          <t>A</t>
        </is>
      </c>
      <c r="E64" t="inlineStr">
        <is>
          <t>AC</t>
        </is>
      </c>
      <c r="F64" t="inlineStr">
        <is>
          <t>Switched rack PDU · 3-ph 16 A · 400 V</t>
        </is>
      </c>
      <c r="G64" t="n">
        <v>400</v>
      </c>
      <c r="H64" t="n">
        <v>3</v>
      </c>
      <c r="I64" t="n">
        <v>16</v>
      </c>
      <c r="J64" t="n">
        <v>8</v>
      </c>
      <c r="K64" t="n">
        <v>24</v>
      </c>
      <c r="L64" t="inlineStr">
        <is>
          <t>MH-DC-002-UPS-2</t>
        </is>
      </c>
      <c r="M64" t="inlineStr">
        <is>
          <t>MH-DC-002-AC-1</t>
        </is>
      </c>
    </row>
    <row r="65">
      <c r="A65" t="inlineStr">
        <is>
          <t>MH-DC-002-RACK-K-PDU-B</t>
        </is>
      </c>
      <c r="B65" t="inlineStr">
        <is>
          <t>MH-DC-002</t>
        </is>
      </c>
      <c r="C65" t="inlineStr">
        <is>
          <t>MH-DC-002-RACK-K</t>
        </is>
      </c>
      <c r="D65" t="inlineStr">
        <is>
          <t>B</t>
        </is>
      </c>
      <c r="E65" t="inlineStr">
        <is>
          <t>AC</t>
        </is>
      </c>
      <c r="F65" t="inlineStr">
        <is>
          <t>Switched rack PDU · 3-ph 16 A · 400 V</t>
        </is>
      </c>
      <c r="G65" t="n">
        <v>400</v>
      </c>
      <c r="H65" t="n">
        <v>3</v>
      </c>
      <c r="I65" t="n">
        <v>16</v>
      </c>
      <c r="J65" t="n">
        <v>8</v>
      </c>
      <c r="K65" t="n">
        <v>24</v>
      </c>
      <c r="L65" t="inlineStr">
        <is>
          <t>MH-DC-002-UPS-1</t>
        </is>
      </c>
      <c r="M65" t="inlineStr">
        <is>
          <t>MH-DC-002-AC-2</t>
        </is>
      </c>
    </row>
  </sheetData>
  <autoFilter ref="A1:M65"/>
  <dataValidations count="2">
    <dataValidation sqref="D2:D2000" showDropDown="0" showInputMessage="0" showErrorMessage="1" allowBlank="1" errorTitle="Not an allowed value" error="Pick a value from the list (Lookups → pdu_side)." type="list">
      <formula1>=L_pdu_side</formula1>
    </dataValidation>
    <dataValidation sqref="E2:E2000" showDropDown="0" showInputMessage="0" showErrorMessage="1" allowBlank="1" errorTitle="Not an allowed value" error="Pick a value from the list (Lookups → pdu_kind)." type="list">
      <formula1>=L_pdu_kind</formula1>
    </dataValidation>
  </dataValidations>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tabColor rgb="002E6BD9"/>
    <outlinePr summaryBelow="1" summaryRight="1"/>
    <pageSetUpPr/>
  </sheetPr>
  <dimension ref="A1:F3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1" customWidth="1" min="1" max="1"/>
    <col width="13" customWidth="1" min="2" max="2"/>
    <col width="24" customWidth="1" min="3" max="3"/>
    <col width="11" customWidth="1" min="4" max="4"/>
    <col width="17" customWidth="1" min="5" max="5"/>
    <col width="16" customWidth="1" min="6" max="6"/>
  </cols>
  <sheetData>
    <row r="1" ht="30" customHeight="1">
      <c r="A1" s="16" t="inlineStr">
        <is>
          <t>device_id *</t>
        </is>
      </c>
      <c r="B1" s="16" t="inlineStr">
        <is>
          <t>psu_slot *</t>
        </is>
      </c>
      <c r="C1" s="16" t="inlineStr">
        <is>
          <t>pdu_id *</t>
        </is>
      </c>
      <c r="D1" s="16" t="inlineStr">
        <is>
          <t>outlet *</t>
        </is>
      </c>
      <c r="E1" s="17" t="inlineStr">
        <is>
          <t>breaker_bank</t>
        </is>
      </c>
      <c r="F1" s="17" t="inlineStr">
        <is>
          <t>psu_rated_w</t>
        </is>
      </c>
    </row>
    <row r="2">
      <c r="A2" t="inlineStr">
        <is>
          <t>MH-DC-001-PE-T4-01</t>
        </is>
      </c>
      <c r="B2" t="inlineStr">
        <is>
          <t>PEM0</t>
        </is>
      </c>
      <c r="C2" t="inlineStr">
        <is>
          <t>MH-DC-001-RACK-A-PDU-A</t>
        </is>
      </c>
      <c r="D2" t="n">
        <v>1</v>
      </c>
      <c r="E2" t="inlineStr">
        <is>
          <t>L1</t>
        </is>
      </c>
    </row>
    <row r="3">
      <c r="A3" t="inlineStr">
        <is>
          <t>MH-DC-001-PE-T4-01</t>
        </is>
      </c>
      <c r="B3" t="inlineStr">
        <is>
          <t>PEM1</t>
        </is>
      </c>
      <c r="C3" t="inlineStr">
        <is>
          <t>MH-DC-001-RACK-A-PDU-B</t>
        </is>
      </c>
      <c r="D3" t="n">
        <v>1</v>
      </c>
      <c r="E3" t="inlineStr">
        <is>
          <t>L1</t>
        </is>
      </c>
    </row>
    <row r="4">
      <c r="A4" t="inlineStr">
        <is>
          <t>MH-DC-001-PE-T4-02</t>
        </is>
      </c>
      <c r="B4" t="inlineStr">
        <is>
          <t>PEM0</t>
        </is>
      </c>
      <c r="C4" t="inlineStr">
        <is>
          <t>MH-DC-001-RACK-A-PDU-A</t>
        </is>
      </c>
      <c r="D4" t="n">
        <v>13</v>
      </c>
      <c r="E4" t="inlineStr">
        <is>
          <t>L2</t>
        </is>
      </c>
    </row>
    <row r="5">
      <c r="A5" t="inlineStr">
        <is>
          <t>MH-DC-001-PE-T4-02</t>
        </is>
      </c>
      <c r="B5" t="inlineStr">
        <is>
          <t>PEM1</t>
        </is>
      </c>
      <c r="C5" t="inlineStr">
        <is>
          <t>MH-DC-001-RACK-A-PDU-B</t>
        </is>
      </c>
      <c r="D5" t="n">
        <v>13</v>
      </c>
      <c r="E5" t="inlineStr">
        <is>
          <t>L2</t>
        </is>
      </c>
    </row>
    <row r="6">
      <c r="A6" t="inlineStr">
        <is>
          <t>MH-DC-001-PE-T4-03</t>
        </is>
      </c>
      <c r="B6" t="inlineStr">
        <is>
          <t>PEM0</t>
        </is>
      </c>
      <c r="C6" t="inlineStr">
        <is>
          <t>MH-DC-001-RACK-A-PDU-A</t>
        </is>
      </c>
      <c r="D6" t="n">
        <v>25</v>
      </c>
      <c r="E6" t="inlineStr">
        <is>
          <t>L3</t>
        </is>
      </c>
    </row>
    <row r="7">
      <c r="A7" t="inlineStr">
        <is>
          <t>MH-DC-001-PE-T4-03</t>
        </is>
      </c>
      <c r="B7" t="inlineStr">
        <is>
          <t>PEM1</t>
        </is>
      </c>
      <c r="C7" t="inlineStr">
        <is>
          <t>MH-DC-001-RACK-A-PDU-B</t>
        </is>
      </c>
      <c r="D7" t="n">
        <v>25</v>
      </c>
      <c r="E7" t="inlineStr">
        <is>
          <t>L3</t>
        </is>
      </c>
    </row>
    <row r="8">
      <c r="A8" t="inlineStr">
        <is>
          <t>MH-DC-001-PE-T4-04</t>
        </is>
      </c>
      <c r="B8" t="inlineStr">
        <is>
          <t>PEM0</t>
        </is>
      </c>
      <c r="C8" t="inlineStr">
        <is>
          <t>MH-DC-001-RACK-A-PDU-A</t>
        </is>
      </c>
      <c r="D8" t="n">
        <v>2</v>
      </c>
      <c r="E8" t="inlineStr">
        <is>
          <t>L1</t>
        </is>
      </c>
    </row>
    <row r="9">
      <c r="A9" t="inlineStr">
        <is>
          <t>MH-DC-001-PE-T4-04</t>
        </is>
      </c>
      <c r="B9" t="inlineStr">
        <is>
          <t>PEM1</t>
        </is>
      </c>
      <c r="C9" t="inlineStr">
        <is>
          <t>MH-DC-001-RACK-A-PDU-B</t>
        </is>
      </c>
      <c r="D9" t="n">
        <v>2</v>
      </c>
      <c r="E9" t="inlineStr">
        <is>
          <t>L1</t>
        </is>
      </c>
    </row>
    <row r="10">
      <c r="A10" t="inlineStr">
        <is>
          <t>MH-DC-001-FW-01</t>
        </is>
      </c>
      <c r="B10" t="inlineStr">
        <is>
          <t>PSU1</t>
        </is>
      </c>
      <c r="C10" t="inlineStr">
        <is>
          <t>MH-DC-001-RACK-A-PDU-A</t>
        </is>
      </c>
      <c r="D10" t="n">
        <v>14</v>
      </c>
      <c r="E10" t="inlineStr">
        <is>
          <t>L2</t>
        </is>
      </c>
    </row>
    <row r="11">
      <c r="A11" t="inlineStr">
        <is>
          <t>MH-DC-001-FW-01</t>
        </is>
      </c>
      <c r="B11" t="inlineStr">
        <is>
          <t>PSU2</t>
        </is>
      </c>
      <c r="C11" t="inlineStr">
        <is>
          <t>MH-DC-001-RACK-A-PDU-B</t>
        </is>
      </c>
      <c r="D11" t="n">
        <v>14</v>
      </c>
      <c r="E11" t="inlineStr">
        <is>
          <t>L2</t>
        </is>
      </c>
    </row>
    <row r="12">
      <c r="A12" t="inlineStr">
        <is>
          <t>MH-DC-001-FW-02</t>
        </is>
      </c>
      <c r="B12" t="inlineStr">
        <is>
          <t>PSU1</t>
        </is>
      </c>
      <c r="C12" t="inlineStr">
        <is>
          <t>MH-DC-001-RACK-A-PDU-A</t>
        </is>
      </c>
      <c r="D12" t="n">
        <v>26</v>
      </c>
      <c r="E12" t="inlineStr">
        <is>
          <t>L3</t>
        </is>
      </c>
    </row>
    <row r="13">
      <c r="A13" t="inlineStr">
        <is>
          <t>MH-DC-001-FW-02</t>
        </is>
      </c>
      <c r="B13" t="inlineStr">
        <is>
          <t>PSU2</t>
        </is>
      </c>
      <c r="C13" t="inlineStr">
        <is>
          <t>MH-DC-001-RACK-A-PDU-B</t>
        </is>
      </c>
      <c r="D13" t="n">
        <v>26</v>
      </c>
      <c r="E13" t="inlineStr">
        <is>
          <t>L3</t>
        </is>
      </c>
    </row>
    <row r="14">
      <c r="A14" t="inlineStr">
        <is>
          <t>MH-DC-001-OLA-01</t>
        </is>
      </c>
      <c r="B14" t="inlineStr">
        <is>
          <t>PSU1</t>
        </is>
      </c>
      <c r="C14" t="inlineStr">
        <is>
          <t>MH-DC-001-RACK-A-PDU-A</t>
        </is>
      </c>
      <c r="D14" t="n">
        <v>3</v>
      </c>
      <c r="E14" t="inlineStr">
        <is>
          <t>L1</t>
        </is>
      </c>
    </row>
    <row r="15">
      <c r="A15" t="inlineStr">
        <is>
          <t>MH-DC-001-OLA-01</t>
        </is>
      </c>
      <c r="B15" t="inlineStr">
        <is>
          <t>PSU2</t>
        </is>
      </c>
      <c r="C15" t="inlineStr">
        <is>
          <t>MH-DC-001-RACK-A-PDU-B</t>
        </is>
      </c>
      <c r="D15" t="n">
        <v>3</v>
      </c>
      <c r="E15" t="inlineStr">
        <is>
          <t>L1</t>
        </is>
      </c>
    </row>
    <row r="16">
      <c r="A16" t="inlineStr">
        <is>
          <t>MH-DC-001-OLA-02</t>
        </is>
      </c>
      <c r="B16" t="inlineStr">
        <is>
          <t>PSU1</t>
        </is>
      </c>
      <c r="C16" t="inlineStr">
        <is>
          <t>MH-DC-001-RACK-A-PDU-A</t>
        </is>
      </c>
      <c r="D16" t="n">
        <v>15</v>
      </c>
      <c r="E16" t="inlineStr">
        <is>
          <t>L2</t>
        </is>
      </c>
    </row>
    <row r="17">
      <c r="A17" t="inlineStr">
        <is>
          <t>MH-DC-001-OLA-02</t>
        </is>
      </c>
      <c r="B17" t="inlineStr">
        <is>
          <t>PSU2</t>
        </is>
      </c>
      <c r="C17" t="inlineStr">
        <is>
          <t>MH-DC-001-RACK-A-PDU-A</t>
        </is>
      </c>
      <c r="D17" t="n">
        <v>27</v>
      </c>
      <c r="E17" t="inlineStr">
        <is>
          <t>L3</t>
        </is>
      </c>
    </row>
    <row r="18">
      <c r="A18" t="inlineStr">
        <is>
          <t>MH-DC-001-AGG-R01</t>
        </is>
      </c>
      <c r="B18" t="inlineStr">
        <is>
          <t>PEM0</t>
        </is>
      </c>
      <c r="C18" t="inlineStr">
        <is>
          <t>MH-DC-001-RACK-A-PDU-A</t>
        </is>
      </c>
      <c r="D18" t="n">
        <v>4</v>
      </c>
      <c r="E18" t="inlineStr">
        <is>
          <t>L1</t>
        </is>
      </c>
    </row>
    <row r="19">
      <c r="A19" t="inlineStr">
        <is>
          <t>MH-DC-001-AGG-R01</t>
        </is>
      </c>
      <c r="B19" t="inlineStr">
        <is>
          <t>PEM1</t>
        </is>
      </c>
      <c r="C19" t="inlineStr">
        <is>
          <t>MH-DC-001-RACK-A-PDU-B</t>
        </is>
      </c>
      <c r="D19" t="n">
        <v>15</v>
      </c>
      <c r="E19" t="inlineStr">
        <is>
          <t>L2</t>
        </is>
      </c>
    </row>
    <row r="20">
      <c r="A20" t="inlineStr">
        <is>
          <t>MH-DC-001-AGG-R02</t>
        </is>
      </c>
      <c r="B20" t="inlineStr">
        <is>
          <t>PEM0</t>
        </is>
      </c>
      <c r="C20" t="inlineStr">
        <is>
          <t>MH-DC-001-RACK-A-PDU-A</t>
        </is>
      </c>
      <c r="D20" t="n">
        <v>16</v>
      </c>
      <c r="E20" t="inlineStr">
        <is>
          <t>L2</t>
        </is>
      </c>
    </row>
    <row r="21">
      <c r="A21" t="inlineStr">
        <is>
          <t>MH-DC-001-AGG-R02</t>
        </is>
      </c>
      <c r="B21" t="inlineStr">
        <is>
          <t>PEM1</t>
        </is>
      </c>
      <c r="C21" t="inlineStr">
        <is>
          <t>MH-DC-001-RACK-A-PDU-B</t>
        </is>
      </c>
      <c r="D21" t="n">
        <v>27</v>
      </c>
      <c r="E21" t="inlineStr">
        <is>
          <t>L3</t>
        </is>
      </c>
    </row>
    <row r="22">
      <c r="A22" t="inlineStr">
        <is>
          <t>MH-DC-001-AGG-R03</t>
        </is>
      </c>
      <c r="B22" t="inlineStr">
        <is>
          <t>PEM0</t>
        </is>
      </c>
      <c r="C22" t="inlineStr">
        <is>
          <t>MH-DC-001-RACK-A-PDU-A</t>
        </is>
      </c>
      <c r="D22" t="n">
        <v>28</v>
      </c>
      <c r="E22" t="inlineStr">
        <is>
          <t>L3</t>
        </is>
      </c>
    </row>
    <row r="23">
      <c r="A23" t="inlineStr">
        <is>
          <t>MH-DC-001-AGG-R03</t>
        </is>
      </c>
      <c r="B23" t="inlineStr">
        <is>
          <t>PEM1</t>
        </is>
      </c>
      <c r="C23" t="inlineStr">
        <is>
          <t>MH-DC-001-RACK-A-PDU-B</t>
        </is>
      </c>
      <c r="D23" t="n">
        <v>4</v>
      </c>
      <c r="E23" t="inlineStr">
        <is>
          <t>L1</t>
        </is>
      </c>
    </row>
    <row r="24">
      <c r="A24" t="inlineStr">
        <is>
          <t>MH-DC-001-MMR-SW-01</t>
        </is>
      </c>
      <c r="B24" t="inlineStr">
        <is>
          <t>PSU1</t>
        </is>
      </c>
      <c r="C24" t="inlineStr">
        <is>
          <t>MH-DC-001-RACK-A-PDU-A</t>
        </is>
      </c>
      <c r="D24" t="n">
        <v>5</v>
      </c>
      <c r="E24" t="inlineStr">
        <is>
          <t>L1</t>
        </is>
      </c>
    </row>
    <row r="25">
      <c r="A25" t="inlineStr">
        <is>
          <t>MH-DC-001-MMR-SW-01</t>
        </is>
      </c>
      <c r="B25" t="inlineStr">
        <is>
          <t>PSU2</t>
        </is>
      </c>
      <c r="C25" t="inlineStr">
        <is>
          <t>MH-DC-001-RACK-A-PDU-B</t>
        </is>
      </c>
      <c r="D25" t="n">
        <v>16</v>
      </c>
      <c r="E25" t="inlineStr">
        <is>
          <t>L2</t>
        </is>
      </c>
    </row>
    <row r="26">
      <c r="A26" t="inlineStr">
        <is>
          <t>MH-DC-001-MMR-SW-02</t>
        </is>
      </c>
      <c r="B26" t="inlineStr">
        <is>
          <t>PSU1</t>
        </is>
      </c>
      <c r="C26" t="inlineStr">
        <is>
          <t>MH-DC-001-RACK-B-PDU-A</t>
        </is>
      </c>
      <c r="D26" t="n">
        <v>1</v>
      </c>
      <c r="E26" t="inlineStr">
        <is>
          <t>L1</t>
        </is>
      </c>
    </row>
    <row r="27">
      <c r="A27" t="inlineStr">
        <is>
          <t>MH-DC-001-MMR-SW-02</t>
        </is>
      </c>
      <c r="B27" t="inlineStr">
        <is>
          <t>PSU2</t>
        </is>
      </c>
      <c r="C27" t="inlineStr">
        <is>
          <t>MH-DC-001-RACK-B-PDU-B</t>
        </is>
      </c>
      <c r="D27" t="n">
        <v>1</v>
      </c>
      <c r="E27" t="inlineStr">
        <is>
          <t>L1</t>
        </is>
      </c>
    </row>
    <row r="28">
      <c r="A28" t="inlineStr">
        <is>
          <t>MH-DC-001-MMR-SW-03</t>
        </is>
      </c>
      <c r="B28" t="inlineStr">
        <is>
          <t>PSU1</t>
        </is>
      </c>
      <c r="C28" t="inlineStr">
        <is>
          <t>MH-DC-001-RACK-B-PDU-A</t>
        </is>
      </c>
      <c r="D28" t="n">
        <v>13</v>
      </c>
      <c r="E28" t="inlineStr">
        <is>
          <t>L2</t>
        </is>
      </c>
    </row>
    <row r="29">
      <c r="A29" t="inlineStr">
        <is>
          <t>MH-DC-001-MMR-SW-03</t>
        </is>
      </c>
      <c r="B29" t="inlineStr">
        <is>
          <t>PSU2</t>
        </is>
      </c>
      <c r="C29" t="inlineStr">
        <is>
          <t>MH-DC-001-RACK-B-PDU-B</t>
        </is>
      </c>
      <c r="D29" t="n">
        <v>13</v>
      </c>
      <c r="E29" t="inlineStr">
        <is>
          <t>L2</t>
        </is>
      </c>
    </row>
    <row r="30">
      <c r="A30" t="inlineStr">
        <is>
          <t>MH-DC-001-MMR-SW-04</t>
        </is>
      </c>
      <c r="B30" t="inlineStr">
        <is>
          <t>PSU1</t>
        </is>
      </c>
      <c r="C30" t="inlineStr">
        <is>
          <t>MH-DC-001-RACK-B-PDU-A</t>
        </is>
      </c>
      <c r="D30" t="n">
        <v>25</v>
      </c>
      <c r="E30" t="inlineStr">
        <is>
          <t>L3</t>
        </is>
      </c>
    </row>
    <row r="31">
      <c r="A31" t="inlineStr">
        <is>
          <t>MH-DC-001-MMR-SW-04</t>
        </is>
      </c>
      <c r="B31" t="inlineStr">
        <is>
          <t>PSU2</t>
        </is>
      </c>
      <c r="C31" t="inlineStr">
        <is>
          <t>MH-DC-001-RACK-B-PDU-B</t>
        </is>
      </c>
      <c r="D31" t="n">
        <v>25</v>
      </c>
      <c r="E31" t="inlineStr">
        <is>
          <t>L3</t>
        </is>
      </c>
    </row>
    <row r="32">
      <c r="A32" t="inlineStr">
        <is>
          <t>MH-DC-001-MMR-SW-05</t>
        </is>
      </c>
      <c r="B32" t="inlineStr">
        <is>
          <t>PSU1</t>
        </is>
      </c>
      <c r="C32" t="inlineStr">
        <is>
          <t>MH-DC-001-RACK-B-PDU-A</t>
        </is>
      </c>
      <c r="D32" t="n">
        <v>2</v>
      </c>
      <c r="E32" t="inlineStr">
        <is>
          <t>L1</t>
        </is>
      </c>
    </row>
    <row r="33">
      <c r="A33" t="inlineStr">
        <is>
          <t>MH-DC-001-MMR-SW-05</t>
        </is>
      </c>
      <c r="B33" t="inlineStr">
        <is>
          <t>PSU2</t>
        </is>
      </c>
      <c r="C33" t="inlineStr">
        <is>
          <t>MH-DC-001-RACK-B-PDU-B</t>
        </is>
      </c>
      <c r="D33" t="n">
        <v>2</v>
      </c>
      <c r="E33" t="inlineStr">
        <is>
          <t>L1</t>
        </is>
      </c>
    </row>
    <row r="34">
      <c r="A34" t="inlineStr">
        <is>
          <t>MH-DC-001-MMR-SW-06</t>
        </is>
      </c>
      <c r="B34" t="inlineStr">
        <is>
          <t>PSU1</t>
        </is>
      </c>
      <c r="C34" t="inlineStr">
        <is>
          <t>MH-DC-001-RACK-B-PDU-A</t>
        </is>
      </c>
      <c r="D34" t="n">
        <v>14</v>
      </c>
      <c r="E34" t="inlineStr">
        <is>
          <t>L2</t>
        </is>
      </c>
    </row>
    <row r="35">
      <c r="A35" t="inlineStr">
        <is>
          <t>MH-DC-001-MMR-SW-06</t>
        </is>
      </c>
      <c r="B35" t="inlineStr">
        <is>
          <t>PSU2</t>
        </is>
      </c>
      <c r="C35" t="inlineStr">
        <is>
          <t>MH-DC-001-RACK-B-PDU-B</t>
        </is>
      </c>
      <c r="D35" t="n">
        <v>14</v>
      </c>
      <c r="E35" t="inlineStr">
        <is>
          <t>L2</t>
        </is>
      </c>
    </row>
    <row r="36">
      <c r="A36" t="inlineStr">
        <is>
          <t>MH-DC-001-MMR-SW-07</t>
        </is>
      </c>
      <c r="B36" t="inlineStr">
        <is>
          <t>PSU1</t>
        </is>
      </c>
      <c r="C36" t="inlineStr">
        <is>
          <t>MH-DC-001-RACK-B-PDU-A</t>
        </is>
      </c>
      <c r="D36" t="n">
        <v>26</v>
      </c>
      <c r="E36" t="inlineStr">
        <is>
          <t>L3</t>
        </is>
      </c>
    </row>
    <row r="37">
      <c r="A37" t="inlineStr">
        <is>
          <t>MH-DC-001-MMR-SW-07</t>
        </is>
      </c>
      <c r="B37" t="inlineStr">
        <is>
          <t>PSU2</t>
        </is>
      </c>
      <c r="C37" t="inlineStr">
        <is>
          <t>MH-DC-001-RACK-B-PDU-B</t>
        </is>
      </c>
      <c r="D37" t="n">
        <v>26</v>
      </c>
      <c r="E37" t="inlineStr">
        <is>
          <t>L3</t>
        </is>
      </c>
    </row>
    <row r="38">
      <c r="A38" t="inlineStr">
        <is>
          <t>MH-DC-001-MMR-SW-08</t>
        </is>
      </c>
      <c r="B38" t="inlineStr">
        <is>
          <t>PSU1</t>
        </is>
      </c>
      <c r="C38" t="inlineStr">
        <is>
          <t>MH-DC-001-RACK-B-PDU-A</t>
        </is>
      </c>
      <c r="D38" t="n">
        <v>3</v>
      </c>
      <c r="E38" t="inlineStr">
        <is>
          <t>L1</t>
        </is>
      </c>
    </row>
    <row r="39">
      <c r="A39" t="inlineStr">
        <is>
          <t>MH-DC-001-MMR-SW-08</t>
        </is>
      </c>
      <c r="B39" t="inlineStr">
        <is>
          <t>PSU2</t>
        </is>
      </c>
      <c r="C39" t="inlineStr">
        <is>
          <t>MH-DC-001-RACK-B-PDU-B</t>
        </is>
      </c>
      <c r="D39" t="n">
        <v>3</v>
      </c>
      <c r="E39" t="inlineStr">
        <is>
          <t>L1</t>
        </is>
      </c>
    </row>
    <row r="40">
      <c r="A40" t="inlineStr">
        <is>
          <t>MH-DC-001-MMR-SW-09</t>
        </is>
      </c>
      <c r="B40" t="inlineStr">
        <is>
          <t>PSU1</t>
        </is>
      </c>
      <c r="C40" t="inlineStr">
        <is>
          <t>MH-DC-001-RACK-B-PDU-A</t>
        </is>
      </c>
      <c r="D40" t="n">
        <v>15</v>
      </c>
      <c r="E40" t="inlineStr">
        <is>
          <t>L2</t>
        </is>
      </c>
    </row>
    <row r="41">
      <c r="A41" t="inlineStr">
        <is>
          <t>MH-DC-001-MMR-SW-09</t>
        </is>
      </c>
      <c r="B41" t="inlineStr">
        <is>
          <t>PSU2</t>
        </is>
      </c>
      <c r="C41" t="inlineStr">
        <is>
          <t>MH-DC-001-RACK-B-PDU-B</t>
        </is>
      </c>
      <c r="D41" t="n">
        <v>15</v>
      </c>
      <c r="E41" t="inlineStr">
        <is>
          <t>L2</t>
        </is>
      </c>
    </row>
    <row r="42">
      <c r="A42" t="inlineStr">
        <is>
          <t>MH-DC-001-TOR-001</t>
        </is>
      </c>
      <c r="B42" t="inlineStr">
        <is>
          <t>PSU1</t>
        </is>
      </c>
      <c r="C42" t="inlineStr">
        <is>
          <t>MH-DC-001-RACK-B-PDU-A</t>
        </is>
      </c>
      <c r="D42" t="n">
        <v>27</v>
      </c>
      <c r="E42" t="inlineStr">
        <is>
          <t>L3</t>
        </is>
      </c>
    </row>
    <row r="43">
      <c r="A43" t="inlineStr">
        <is>
          <t>MH-DC-001-TOR-001</t>
        </is>
      </c>
      <c r="B43" t="inlineStr">
        <is>
          <t>PSU2</t>
        </is>
      </c>
      <c r="C43" t="inlineStr">
        <is>
          <t>MH-DC-001-RACK-B-PDU-B</t>
        </is>
      </c>
      <c r="D43" t="n">
        <v>27</v>
      </c>
      <c r="E43" t="inlineStr">
        <is>
          <t>L3</t>
        </is>
      </c>
    </row>
    <row r="44">
      <c r="A44" t="inlineStr">
        <is>
          <t>MH-DC-001-TOR-002</t>
        </is>
      </c>
      <c r="B44" t="inlineStr">
        <is>
          <t>PSU1</t>
        </is>
      </c>
      <c r="C44" t="inlineStr">
        <is>
          <t>MH-DC-001-RACK-B-PDU-A</t>
        </is>
      </c>
      <c r="D44" t="n">
        <v>4</v>
      </c>
      <c r="E44" t="inlineStr">
        <is>
          <t>L1</t>
        </is>
      </c>
    </row>
    <row r="45">
      <c r="A45" t="inlineStr">
        <is>
          <t>MH-DC-001-TOR-002</t>
        </is>
      </c>
      <c r="B45" t="inlineStr">
        <is>
          <t>PSU2</t>
        </is>
      </c>
      <c r="C45" t="inlineStr">
        <is>
          <t>MH-DC-001-RACK-B-PDU-B</t>
        </is>
      </c>
      <c r="D45" t="n">
        <v>4</v>
      </c>
      <c r="E45" t="inlineStr">
        <is>
          <t>L1</t>
        </is>
      </c>
    </row>
    <row r="46">
      <c r="A46" t="inlineStr">
        <is>
          <t>MH-DC-001-TOR-003</t>
        </is>
      </c>
      <c r="B46" t="inlineStr">
        <is>
          <t>PSU1</t>
        </is>
      </c>
      <c r="C46" t="inlineStr">
        <is>
          <t>MH-DC-001-RACK-B-PDU-A</t>
        </is>
      </c>
      <c r="D46" t="n">
        <v>16</v>
      </c>
      <c r="E46" t="inlineStr">
        <is>
          <t>L2</t>
        </is>
      </c>
    </row>
    <row r="47">
      <c r="A47" t="inlineStr">
        <is>
          <t>MH-DC-001-TOR-003</t>
        </is>
      </c>
      <c r="B47" t="inlineStr">
        <is>
          <t>PSU2</t>
        </is>
      </c>
      <c r="C47" t="inlineStr">
        <is>
          <t>MH-DC-001-RACK-B-PDU-B</t>
        </is>
      </c>
      <c r="D47" t="n">
        <v>16</v>
      </c>
      <c r="E47" t="inlineStr">
        <is>
          <t>L2</t>
        </is>
      </c>
    </row>
    <row r="48">
      <c r="A48" t="inlineStr">
        <is>
          <t>MH-DC-001-TOR-004</t>
        </is>
      </c>
      <c r="B48" t="inlineStr">
        <is>
          <t>PSU1</t>
        </is>
      </c>
      <c r="C48" t="inlineStr">
        <is>
          <t>MH-DC-001-RACK-B-PDU-A</t>
        </is>
      </c>
      <c r="D48" t="n">
        <v>28</v>
      </c>
      <c r="E48" t="inlineStr">
        <is>
          <t>L3</t>
        </is>
      </c>
    </row>
    <row r="49">
      <c r="A49" t="inlineStr">
        <is>
          <t>MH-DC-001-TOR-004</t>
        </is>
      </c>
      <c r="B49" t="inlineStr">
        <is>
          <t>PSU2</t>
        </is>
      </c>
      <c r="C49" t="inlineStr">
        <is>
          <t>MH-DC-001-RACK-B-PDU-B</t>
        </is>
      </c>
      <c r="D49" t="n">
        <v>28</v>
      </c>
      <c r="E49" t="inlineStr">
        <is>
          <t>L3</t>
        </is>
      </c>
    </row>
    <row r="50">
      <c r="A50" t="inlineStr">
        <is>
          <t>MH-DC-001-TOR-005</t>
        </is>
      </c>
      <c r="B50" t="inlineStr">
        <is>
          <t>PSU1</t>
        </is>
      </c>
      <c r="C50" t="inlineStr">
        <is>
          <t>MH-DC-001-RACK-B-PDU-A</t>
        </is>
      </c>
      <c r="D50" t="n">
        <v>5</v>
      </c>
      <c r="E50" t="inlineStr">
        <is>
          <t>L1</t>
        </is>
      </c>
    </row>
    <row r="51">
      <c r="A51" t="inlineStr">
        <is>
          <t>MH-DC-001-TOR-005</t>
        </is>
      </c>
      <c r="B51" t="inlineStr">
        <is>
          <t>PSU2</t>
        </is>
      </c>
      <c r="C51" t="inlineStr">
        <is>
          <t>MH-DC-001-RACK-B-PDU-B</t>
        </is>
      </c>
      <c r="D51" t="n">
        <v>5</v>
      </c>
      <c r="E51" t="inlineStr">
        <is>
          <t>L1</t>
        </is>
      </c>
    </row>
    <row r="52">
      <c r="A52" t="inlineStr">
        <is>
          <t>MH-DC-001-TOR-006</t>
        </is>
      </c>
      <c r="B52" t="inlineStr">
        <is>
          <t>PSU1</t>
        </is>
      </c>
      <c r="C52" t="inlineStr">
        <is>
          <t>MH-DC-001-RACK-B-PDU-A</t>
        </is>
      </c>
      <c r="D52" t="n">
        <v>17</v>
      </c>
      <c r="E52" t="inlineStr">
        <is>
          <t>L2</t>
        </is>
      </c>
    </row>
    <row r="53">
      <c r="A53" t="inlineStr">
        <is>
          <t>MH-DC-001-TOR-006</t>
        </is>
      </c>
      <c r="B53" t="inlineStr">
        <is>
          <t>PSU2</t>
        </is>
      </c>
      <c r="C53" t="inlineStr">
        <is>
          <t>MH-DC-001-RACK-B-PDU-B</t>
        </is>
      </c>
      <c r="D53" t="n">
        <v>17</v>
      </c>
      <c r="E53" t="inlineStr">
        <is>
          <t>L2</t>
        </is>
      </c>
    </row>
    <row r="54">
      <c r="A54" t="inlineStr">
        <is>
          <t>MH-DC-001-TN-001</t>
        </is>
      </c>
      <c r="B54" t="inlineStr">
        <is>
          <t>Feed A</t>
        </is>
      </c>
      <c r="C54" t="inlineStr">
        <is>
          <t>MH-DC-001-RACK-B-PDU-A</t>
        </is>
      </c>
      <c r="D54" t="n">
        <v>29</v>
      </c>
      <c r="E54" t="inlineStr">
        <is>
          <t>L3</t>
        </is>
      </c>
    </row>
    <row r="55">
      <c r="A55" t="inlineStr">
        <is>
          <t>MH-DC-001-TN-001</t>
        </is>
      </c>
      <c r="B55" t="inlineStr">
        <is>
          <t>Feed B</t>
        </is>
      </c>
      <c r="C55" t="inlineStr">
        <is>
          <t>MH-DC-001-RACK-B-PDU-B</t>
        </is>
      </c>
      <c r="D55" t="n">
        <v>29</v>
      </c>
      <c r="E55" t="inlineStr">
        <is>
          <t>L3</t>
        </is>
      </c>
    </row>
    <row r="56">
      <c r="A56" t="inlineStr">
        <is>
          <t>MH-DC-001-TN-002</t>
        </is>
      </c>
      <c r="B56" t="inlineStr">
        <is>
          <t>Feed A</t>
        </is>
      </c>
      <c r="C56" t="inlineStr">
        <is>
          <t>MH-DC-001-RACK-B-PDU-A</t>
        </is>
      </c>
      <c r="D56" t="n">
        <v>6</v>
      </c>
      <c r="E56" t="inlineStr">
        <is>
          <t>L1</t>
        </is>
      </c>
    </row>
    <row r="57">
      <c r="A57" t="inlineStr">
        <is>
          <t>MH-DC-001-TN-002</t>
        </is>
      </c>
      <c r="B57" t="inlineStr">
        <is>
          <t>Feed B</t>
        </is>
      </c>
      <c r="C57" t="inlineStr">
        <is>
          <t>MH-DC-001-RACK-B-PDU-B</t>
        </is>
      </c>
      <c r="D57" t="n">
        <v>6</v>
      </c>
      <c r="E57" t="inlineStr">
        <is>
          <t>L1</t>
        </is>
      </c>
    </row>
    <row r="58">
      <c r="A58" t="inlineStr">
        <is>
          <t>MH-DC-001-TN-003</t>
        </is>
      </c>
      <c r="B58" t="inlineStr">
        <is>
          <t>Feed A</t>
        </is>
      </c>
      <c r="C58" t="inlineStr">
        <is>
          <t>MH-DC-001-RACK-C-PDU-A</t>
        </is>
      </c>
      <c r="D58" t="n">
        <v>1</v>
      </c>
      <c r="E58" t="inlineStr">
        <is>
          <t>L1</t>
        </is>
      </c>
    </row>
    <row r="59">
      <c r="A59" t="inlineStr">
        <is>
          <t>MH-DC-001-TN-003</t>
        </is>
      </c>
      <c r="B59" t="inlineStr">
        <is>
          <t>Feed B</t>
        </is>
      </c>
      <c r="C59" t="inlineStr">
        <is>
          <t>MH-DC-001-RACK-C-PDU-B</t>
        </is>
      </c>
      <c r="D59" t="n">
        <v>1</v>
      </c>
      <c r="E59" t="inlineStr">
        <is>
          <t>L1</t>
        </is>
      </c>
    </row>
    <row r="60">
      <c r="A60" t="inlineStr">
        <is>
          <t>MH-DC-001-TN-004</t>
        </is>
      </c>
      <c r="B60" t="inlineStr">
        <is>
          <t>Feed A</t>
        </is>
      </c>
      <c r="C60" t="inlineStr">
        <is>
          <t>MH-DC-001-RACK-C-PDU-A</t>
        </is>
      </c>
      <c r="D60" t="n">
        <v>13</v>
      </c>
      <c r="E60" t="inlineStr">
        <is>
          <t>L2</t>
        </is>
      </c>
    </row>
    <row r="61">
      <c r="A61" t="inlineStr">
        <is>
          <t>MH-DC-001-TN-004</t>
        </is>
      </c>
      <c r="B61" t="inlineStr">
        <is>
          <t>Feed B</t>
        </is>
      </c>
      <c r="C61" t="inlineStr">
        <is>
          <t>MH-DC-001-RACK-C-PDU-B</t>
        </is>
      </c>
      <c r="D61" t="n">
        <v>13</v>
      </c>
      <c r="E61" t="inlineStr">
        <is>
          <t>L2</t>
        </is>
      </c>
    </row>
    <row r="62">
      <c r="A62" t="inlineStr">
        <is>
          <t>MH-DC-001-TN-005</t>
        </is>
      </c>
      <c r="B62" t="inlineStr">
        <is>
          <t>Feed A</t>
        </is>
      </c>
      <c r="C62" t="inlineStr">
        <is>
          <t>MH-DC-001-RACK-C-PDU-A</t>
        </is>
      </c>
      <c r="D62" t="n">
        <v>25</v>
      </c>
      <c r="E62" t="inlineStr">
        <is>
          <t>L3</t>
        </is>
      </c>
    </row>
    <row r="63">
      <c r="A63" t="inlineStr">
        <is>
          <t>MH-DC-001-TN-005</t>
        </is>
      </c>
      <c r="B63" t="inlineStr">
        <is>
          <t>Feed B</t>
        </is>
      </c>
      <c r="C63" t="inlineStr">
        <is>
          <t>MH-DC-001-RACK-C-PDU-B</t>
        </is>
      </c>
      <c r="D63" t="n">
        <v>25</v>
      </c>
      <c r="E63" t="inlineStr">
        <is>
          <t>L3</t>
        </is>
      </c>
    </row>
    <row r="64">
      <c r="A64" t="inlineStr">
        <is>
          <t>MH-DC-001-TN-006</t>
        </is>
      </c>
      <c r="B64" t="inlineStr">
        <is>
          <t>Feed A</t>
        </is>
      </c>
      <c r="C64" t="inlineStr">
        <is>
          <t>MH-DC-001-RACK-C-PDU-A</t>
        </is>
      </c>
      <c r="D64" t="n">
        <v>2</v>
      </c>
      <c r="E64" t="inlineStr">
        <is>
          <t>L1</t>
        </is>
      </c>
    </row>
    <row r="65">
      <c r="A65" t="inlineStr">
        <is>
          <t>MH-DC-001-TN-006</t>
        </is>
      </c>
      <c r="B65" t="inlineStr">
        <is>
          <t>Feed B</t>
        </is>
      </c>
      <c r="C65" t="inlineStr">
        <is>
          <t>MH-DC-001-RACK-C-PDU-B</t>
        </is>
      </c>
      <c r="D65" t="n">
        <v>2</v>
      </c>
      <c r="E65" t="inlineStr">
        <is>
          <t>L1</t>
        </is>
      </c>
    </row>
    <row r="66">
      <c r="A66" t="inlineStr">
        <is>
          <t>MH-DC-001-TN-007</t>
        </is>
      </c>
      <c r="B66" t="inlineStr">
        <is>
          <t>Feed A</t>
        </is>
      </c>
      <c r="C66" t="inlineStr">
        <is>
          <t>MH-DC-001-RACK-C-PDU-A</t>
        </is>
      </c>
      <c r="D66" t="n">
        <v>14</v>
      </c>
      <c r="E66" t="inlineStr">
        <is>
          <t>L2</t>
        </is>
      </c>
    </row>
    <row r="67">
      <c r="A67" t="inlineStr">
        <is>
          <t>MH-DC-001-TN-007</t>
        </is>
      </c>
      <c r="B67" t="inlineStr">
        <is>
          <t>Feed B</t>
        </is>
      </c>
      <c r="C67" t="inlineStr">
        <is>
          <t>MH-DC-001-RACK-C-PDU-B</t>
        </is>
      </c>
      <c r="D67" t="n">
        <v>14</v>
      </c>
      <c r="E67" t="inlineStr">
        <is>
          <t>L2</t>
        </is>
      </c>
    </row>
    <row r="68">
      <c r="A68" t="inlineStr">
        <is>
          <t>MH-DC-001-TN-008</t>
        </is>
      </c>
      <c r="B68" t="inlineStr">
        <is>
          <t>Feed A</t>
        </is>
      </c>
      <c r="C68" t="inlineStr">
        <is>
          <t>MH-DC-001-RACK-C-PDU-A</t>
        </is>
      </c>
      <c r="D68" t="n">
        <v>26</v>
      </c>
      <c r="E68" t="inlineStr">
        <is>
          <t>L3</t>
        </is>
      </c>
    </row>
    <row r="69">
      <c r="A69" t="inlineStr">
        <is>
          <t>MH-DC-001-TN-008</t>
        </is>
      </c>
      <c r="B69" t="inlineStr">
        <is>
          <t>Feed B</t>
        </is>
      </c>
      <c r="C69" t="inlineStr">
        <is>
          <t>MH-DC-001-RACK-C-PDU-B</t>
        </is>
      </c>
      <c r="D69" t="n">
        <v>26</v>
      </c>
      <c r="E69" t="inlineStr">
        <is>
          <t>L3</t>
        </is>
      </c>
    </row>
    <row r="70">
      <c r="A70" t="inlineStr">
        <is>
          <t>MH-DC-001-TN-009</t>
        </is>
      </c>
      <c r="B70" t="inlineStr">
        <is>
          <t>Feed A</t>
        </is>
      </c>
      <c r="C70" t="inlineStr">
        <is>
          <t>MH-DC-001-RACK-C-PDU-A</t>
        </is>
      </c>
      <c r="D70" t="n">
        <v>3</v>
      </c>
      <c r="E70" t="inlineStr">
        <is>
          <t>L1</t>
        </is>
      </c>
    </row>
    <row r="71">
      <c r="A71" t="inlineStr">
        <is>
          <t>MH-DC-001-TN-009</t>
        </is>
      </c>
      <c r="B71" t="inlineStr">
        <is>
          <t>Feed B</t>
        </is>
      </c>
      <c r="C71" t="inlineStr">
        <is>
          <t>MH-DC-001-RACK-C-PDU-B</t>
        </is>
      </c>
      <c r="D71" t="n">
        <v>3</v>
      </c>
      <c r="E71" t="inlineStr">
        <is>
          <t>L1</t>
        </is>
      </c>
    </row>
    <row r="72">
      <c r="A72" t="inlineStr">
        <is>
          <t>MH-DC-001-TN-010</t>
        </is>
      </c>
      <c r="B72" t="inlineStr">
        <is>
          <t>Feed A</t>
        </is>
      </c>
      <c r="C72" t="inlineStr">
        <is>
          <t>MH-DC-001-RACK-D-PDU-A</t>
        </is>
      </c>
      <c r="D72" t="n">
        <v>1</v>
      </c>
      <c r="E72" t="inlineStr">
        <is>
          <t>L1</t>
        </is>
      </c>
    </row>
    <row r="73">
      <c r="A73" t="inlineStr">
        <is>
          <t>MH-DC-001-TN-010</t>
        </is>
      </c>
      <c r="B73" t="inlineStr">
        <is>
          <t>Feed B</t>
        </is>
      </c>
      <c r="C73" t="inlineStr">
        <is>
          <t>MH-DC-001-RACK-D-PDU-B</t>
        </is>
      </c>
      <c r="D73" t="n">
        <v>1</v>
      </c>
      <c r="E73" t="inlineStr">
        <is>
          <t>L1</t>
        </is>
      </c>
    </row>
    <row r="74">
      <c r="A74" t="inlineStr">
        <is>
          <t>MH-DC-001-TN-011</t>
        </is>
      </c>
      <c r="B74" t="inlineStr">
        <is>
          <t>Feed A</t>
        </is>
      </c>
      <c r="C74" t="inlineStr">
        <is>
          <t>MH-DC-001-RACK-D-PDU-A</t>
        </is>
      </c>
      <c r="D74" t="n">
        <v>13</v>
      </c>
      <c r="E74" t="inlineStr">
        <is>
          <t>L2</t>
        </is>
      </c>
    </row>
    <row r="75">
      <c r="A75" t="inlineStr">
        <is>
          <t>MH-DC-001-TN-011</t>
        </is>
      </c>
      <c r="B75" t="inlineStr">
        <is>
          <t>Feed B</t>
        </is>
      </c>
      <c r="C75" t="inlineStr">
        <is>
          <t>MH-DC-001-RACK-D-PDU-B</t>
        </is>
      </c>
      <c r="D75" t="n">
        <v>13</v>
      </c>
      <c r="E75" t="inlineStr">
        <is>
          <t>L2</t>
        </is>
      </c>
    </row>
    <row r="76">
      <c r="A76" t="inlineStr">
        <is>
          <t>MH-DC-001-TN-012</t>
        </is>
      </c>
      <c r="B76" t="inlineStr">
        <is>
          <t>Feed A</t>
        </is>
      </c>
      <c r="C76" t="inlineStr">
        <is>
          <t>MH-DC-001-RACK-D-PDU-A</t>
        </is>
      </c>
      <c r="D76" t="n">
        <v>25</v>
      </c>
      <c r="E76" t="inlineStr">
        <is>
          <t>L3</t>
        </is>
      </c>
    </row>
    <row r="77">
      <c r="A77" t="inlineStr">
        <is>
          <t>MH-DC-001-TN-012</t>
        </is>
      </c>
      <c r="B77" t="inlineStr">
        <is>
          <t>Feed B</t>
        </is>
      </c>
      <c r="C77" t="inlineStr">
        <is>
          <t>MH-DC-001-RACK-D-PDU-B</t>
        </is>
      </c>
      <c r="D77" t="n">
        <v>25</v>
      </c>
      <c r="E77" t="inlineStr">
        <is>
          <t>L3</t>
        </is>
      </c>
    </row>
    <row r="78">
      <c r="A78" t="inlineStr">
        <is>
          <t>MH-DC-001-TN-013</t>
        </is>
      </c>
      <c r="B78" t="inlineStr">
        <is>
          <t>Feed A</t>
        </is>
      </c>
      <c r="C78" t="inlineStr">
        <is>
          <t>MH-DC-001-RACK-D-PDU-A</t>
        </is>
      </c>
      <c r="D78" t="n">
        <v>2</v>
      </c>
      <c r="E78" t="inlineStr">
        <is>
          <t>L1</t>
        </is>
      </c>
    </row>
    <row r="79">
      <c r="A79" t="inlineStr">
        <is>
          <t>MH-DC-001-TN-013</t>
        </is>
      </c>
      <c r="B79" t="inlineStr">
        <is>
          <t>Feed B</t>
        </is>
      </c>
      <c r="C79" t="inlineStr">
        <is>
          <t>MH-DC-001-RACK-D-PDU-B</t>
        </is>
      </c>
      <c r="D79" t="n">
        <v>2</v>
      </c>
      <c r="E79" t="inlineStr">
        <is>
          <t>L1</t>
        </is>
      </c>
    </row>
    <row r="80">
      <c r="A80" t="inlineStr">
        <is>
          <t>MH-DC-001-TN-014</t>
        </is>
      </c>
      <c r="B80" t="inlineStr">
        <is>
          <t>Feed A</t>
        </is>
      </c>
      <c r="C80" t="inlineStr">
        <is>
          <t>MH-DC-001-RACK-D-PDU-A</t>
        </is>
      </c>
      <c r="D80" t="n">
        <v>14</v>
      </c>
      <c r="E80" t="inlineStr">
        <is>
          <t>L2</t>
        </is>
      </c>
    </row>
    <row r="81">
      <c r="A81" t="inlineStr">
        <is>
          <t>MH-DC-001-TN-014</t>
        </is>
      </c>
      <c r="B81" t="inlineStr">
        <is>
          <t>Feed B</t>
        </is>
      </c>
      <c r="C81" t="inlineStr">
        <is>
          <t>MH-DC-001-RACK-D-PDU-B</t>
        </is>
      </c>
      <c r="D81" t="n">
        <v>14</v>
      </c>
      <c r="E81" t="inlineStr">
        <is>
          <t>L2</t>
        </is>
      </c>
    </row>
    <row r="82">
      <c r="A82" t="inlineStr">
        <is>
          <t>MH-DC-001-TN-015</t>
        </is>
      </c>
      <c r="B82" t="inlineStr">
        <is>
          <t>Feed A</t>
        </is>
      </c>
      <c r="C82" t="inlineStr">
        <is>
          <t>MH-DC-001-RACK-E-PDU-A</t>
        </is>
      </c>
      <c r="D82" t="n">
        <v>1</v>
      </c>
      <c r="E82" t="inlineStr">
        <is>
          <t>L1</t>
        </is>
      </c>
    </row>
    <row r="83">
      <c r="A83" t="inlineStr">
        <is>
          <t>MH-DC-001-TN-015</t>
        </is>
      </c>
      <c r="B83" t="inlineStr">
        <is>
          <t>Feed B</t>
        </is>
      </c>
      <c r="C83" t="inlineStr">
        <is>
          <t>MH-DC-001-RACK-E-PDU-B</t>
        </is>
      </c>
      <c r="D83" t="n">
        <v>1</v>
      </c>
      <c r="E83" t="inlineStr">
        <is>
          <t>L1</t>
        </is>
      </c>
    </row>
    <row r="84">
      <c r="A84" t="inlineStr">
        <is>
          <t>MH-DC-001-TN-016</t>
        </is>
      </c>
      <c r="B84" t="inlineStr">
        <is>
          <t>Feed A</t>
        </is>
      </c>
      <c r="C84" t="inlineStr">
        <is>
          <t>MH-DC-001-RACK-E-PDU-A</t>
        </is>
      </c>
      <c r="D84" t="n">
        <v>13</v>
      </c>
      <c r="E84" t="inlineStr">
        <is>
          <t>L2</t>
        </is>
      </c>
    </row>
    <row r="85">
      <c r="A85" t="inlineStr">
        <is>
          <t>MH-DC-001-TN-016</t>
        </is>
      </c>
      <c r="B85" t="inlineStr">
        <is>
          <t>Feed B</t>
        </is>
      </c>
      <c r="C85" t="inlineStr">
        <is>
          <t>MH-DC-001-RACK-E-PDU-B</t>
        </is>
      </c>
      <c r="D85" t="n">
        <v>13</v>
      </c>
      <c r="E85" t="inlineStr">
        <is>
          <t>L2</t>
        </is>
      </c>
    </row>
    <row r="86">
      <c r="A86" t="inlineStr">
        <is>
          <t>MH-DC-001-TN-017</t>
        </is>
      </c>
      <c r="B86" t="inlineStr">
        <is>
          <t>Feed A</t>
        </is>
      </c>
      <c r="C86" t="inlineStr">
        <is>
          <t>MH-DC-001-RACK-E-PDU-A</t>
        </is>
      </c>
      <c r="D86" t="n">
        <v>25</v>
      </c>
      <c r="E86" t="inlineStr">
        <is>
          <t>L3</t>
        </is>
      </c>
    </row>
    <row r="87">
      <c r="A87" t="inlineStr">
        <is>
          <t>MH-DC-001-TN-017</t>
        </is>
      </c>
      <c r="B87" t="inlineStr">
        <is>
          <t>Feed B</t>
        </is>
      </c>
      <c r="C87" t="inlineStr">
        <is>
          <t>MH-DC-001-RACK-E-PDU-B</t>
        </is>
      </c>
      <c r="D87" t="n">
        <v>25</v>
      </c>
      <c r="E87" t="inlineStr">
        <is>
          <t>L3</t>
        </is>
      </c>
    </row>
    <row r="88">
      <c r="A88" t="inlineStr">
        <is>
          <t>MH-DC-001-TN-018</t>
        </is>
      </c>
      <c r="B88" t="inlineStr">
        <is>
          <t>Feed A</t>
        </is>
      </c>
      <c r="C88" t="inlineStr">
        <is>
          <t>MH-DC-001-RACK-E-PDU-A</t>
        </is>
      </c>
      <c r="D88" t="n">
        <v>2</v>
      </c>
      <c r="E88" t="inlineStr">
        <is>
          <t>L1</t>
        </is>
      </c>
    </row>
    <row r="89">
      <c r="A89" t="inlineStr">
        <is>
          <t>MH-DC-001-TN-018</t>
        </is>
      </c>
      <c r="B89" t="inlineStr">
        <is>
          <t>Feed B</t>
        </is>
      </c>
      <c r="C89" t="inlineStr">
        <is>
          <t>MH-DC-001-RACK-E-PDU-B</t>
        </is>
      </c>
      <c r="D89" t="n">
        <v>2</v>
      </c>
      <c r="E89" t="inlineStr">
        <is>
          <t>L1</t>
        </is>
      </c>
    </row>
    <row r="90">
      <c r="A90" t="inlineStr">
        <is>
          <t>MH-DC-001-TN-019</t>
        </is>
      </c>
      <c r="B90" t="inlineStr">
        <is>
          <t>Feed A</t>
        </is>
      </c>
      <c r="C90" t="inlineStr">
        <is>
          <t>MH-DC-001-RACK-E-PDU-A</t>
        </is>
      </c>
      <c r="D90" t="n">
        <v>14</v>
      </c>
      <c r="E90" t="inlineStr">
        <is>
          <t>L2</t>
        </is>
      </c>
    </row>
    <row r="91">
      <c r="A91" t="inlineStr">
        <is>
          <t>MH-DC-001-TN-019</t>
        </is>
      </c>
      <c r="B91" t="inlineStr">
        <is>
          <t>Feed B</t>
        </is>
      </c>
      <c r="C91" t="inlineStr">
        <is>
          <t>MH-DC-001-RACK-E-PDU-B</t>
        </is>
      </c>
      <c r="D91" t="n">
        <v>14</v>
      </c>
      <c r="E91" t="inlineStr">
        <is>
          <t>L2</t>
        </is>
      </c>
    </row>
    <row r="92">
      <c r="A92" t="inlineStr">
        <is>
          <t>MH-DC-001-TN-020</t>
        </is>
      </c>
      <c r="B92" t="inlineStr">
        <is>
          <t>Feed A</t>
        </is>
      </c>
      <c r="C92" t="inlineStr">
        <is>
          <t>MH-DC-001-RACK-F-PDU-A</t>
        </is>
      </c>
      <c r="D92" t="n">
        <v>1</v>
      </c>
      <c r="E92" t="inlineStr">
        <is>
          <t>L1</t>
        </is>
      </c>
    </row>
    <row r="93">
      <c r="A93" t="inlineStr">
        <is>
          <t>MH-DC-001-TN-020</t>
        </is>
      </c>
      <c r="B93" t="inlineStr">
        <is>
          <t>Feed B</t>
        </is>
      </c>
      <c r="C93" t="inlineStr">
        <is>
          <t>MH-DC-001-RACK-F-PDU-B</t>
        </is>
      </c>
      <c r="D93" t="n">
        <v>1</v>
      </c>
      <c r="E93" t="inlineStr">
        <is>
          <t>L1</t>
        </is>
      </c>
    </row>
    <row r="94">
      <c r="A94" t="inlineStr">
        <is>
          <t>MH-DC-001-TN-021</t>
        </is>
      </c>
      <c r="B94" t="inlineStr">
        <is>
          <t>Feed A</t>
        </is>
      </c>
      <c r="C94" t="inlineStr">
        <is>
          <t>MH-DC-001-RACK-F-PDU-A</t>
        </is>
      </c>
      <c r="D94" t="n">
        <v>13</v>
      </c>
      <c r="E94" t="inlineStr">
        <is>
          <t>L2</t>
        </is>
      </c>
    </row>
    <row r="95">
      <c r="A95" t="inlineStr">
        <is>
          <t>MH-DC-001-TN-021</t>
        </is>
      </c>
      <c r="B95" t="inlineStr">
        <is>
          <t>Feed B</t>
        </is>
      </c>
      <c r="C95" t="inlineStr">
        <is>
          <t>MH-DC-001-RACK-F-PDU-B</t>
        </is>
      </c>
      <c r="D95" t="n">
        <v>13</v>
      </c>
      <c r="E95" t="inlineStr">
        <is>
          <t>L2</t>
        </is>
      </c>
    </row>
    <row r="96">
      <c r="A96" t="inlineStr">
        <is>
          <t>MH-DC-001-TN-022</t>
        </is>
      </c>
      <c r="B96" t="inlineStr">
        <is>
          <t>Feed A</t>
        </is>
      </c>
      <c r="C96" t="inlineStr">
        <is>
          <t>MH-DC-001-RACK-F-PDU-A</t>
        </is>
      </c>
      <c r="D96" t="n">
        <v>25</v>
      </c>
      <c r="E96" t="inlineStr">
        <is>
          <t>L3</t>
        </is>
      </c>
    </row>
    <row r="97">
      <c r="A97" t="inlineStr">
        <is>
          <t>MH-DC-001-TN-022</t>
        </is>
      </c>
      <c r="B97" t="inlineStr">
        <is>
          <t>Feed B</t>
        </is>
      </c>
      <c r="C97" t="inlineStr">
        <is>
          <t>MH-DC-001-RACK-F-PDU-B</t>
        </is>
      </c>
      <c r="D97" t="n">
        <v>25</v>
      </c>
      <c r="E97" t="inlineStr">
        <is>
          <t>L3</t>
        </is>
      </c>
    </row>
    <row r="98">
      <c r="A98" t="inlineStr">
        <is>
          <t>MH-DC-001-TN-023</t>
        </is>
      </c>
      <c r="B98" t="inlineStr">
        <is>
          <t>Feed A</t>
        </is>
      </c>
      <c r="C98" t="inlineStr">
        <is>
          <t>MH-DC-001-RACK-F-PDU-A</t>
        </is>
      </c>
      <c r="D98" t="n">
        <v>2</v>
      </c>
      <c r="E98" t="inlineStr">
        <is>
          <t>L1</t>
        </is>
      </c>
    </row>
    <row r="99">
      <c r="A99" t="inlineStr">
        <is>
          <t>MH-DC-001-TN-023</t>
        </is>
      </c>
      <c r="B99" t="inlineStr">
        <is>
          <t>Feed B</t>
        </is>
      </c>
      <c r="C99" t="inlineStr">
        <is>
          <t>MH-DC-001-RACK-F-PDU-B</t>
        </is>
      </c>
      <c r="D99" t="n">
        <v>2</v>
      </c>
      <c r="E99" t="inlineStr">
        <is>
          <t>L1</t>
        </is>
      </c>
    </row>
    <row r="100">
      <c r="A100" t="inlineStr">
        <is>
          <t>MH-DC-001-TN-024</t>
        </is>
      </c>
      <c r="B100" t="inlineStr">
        <is>
          <t>Feed A</t>
        </is>
      </c>
      <c r="C100" t="inlineStr">
        <is>
          <t>MH-DC-001-RACK-F-PDU-A</t>
        </is>
      </c>
      <c r="D100" t="n">
        <v>14</v>
      </c>
      <c r="E100" t="inlineStr">
        <is>
          <t>L2</t>
        </is>
      </c>
    </row>
    <row r="101">
      <c r="A101" t="inlineStr">
        <is>
          <t>MH-DC-001-TN-024</t>
        </is>
      </c>
      <c r="B101" t="inlineStr">
        <is>
          <t>Feed B</t>
        </is>
      </c>
      <c r="C101" t="inlineStr">
        <is>
          <t>MH-DC-001-RACK-F-PDU-B</t>
        </is>
      </c>
      <c r="D101" t="n">
        <v>14</v>
      </c>
      <c r="E101" t="inlineStr">
        <is>
          <t>L2</t>
        </is>
      </c>
    </row>
    <row r="102">
      <c r="A102" t="inlineStr">
        <is>
          <t>MH-DC-001-TN-025</t>
        </is>
      </c>
      <c r="B102" t="inlineStr">
        <is>
          <t>Feed A</t>
        </is>
      </c>
      <c r="C102" t="inlineStr">
        <is>
          <t>MH-DC-001-RACK-F-PDU-A</t>
        </is>
      </c>
      <c r="D102" t="n">
        <v>26</v>
      </c>
      <c r="E102" t="inlineStr">
        <is>
          <t>L3</t>
        </is>
      </c>
    </row>
    <row r="103">
      <c r="A103" t="inlineStr">
        <is>
          <t>MH-DC-001-TN-025</t>
        </is>
      </c>
      <c r="B103" t="inlineStr">
        <is>
          <t>Feed B</t>
        </is>
      </c>
      <c r="C103" t="inlineStr">
        <is>
          <t>MH-DC-001-RACK-F-PDU-B</t>
        </is>
      </c>
      <c r="D103" t="n">
        <v>26</v>
      </c>
      <c r="E103" t="inlineStr">
        <is>
          <t>L3</t>
        </is>
      </c>
    </row>
    <row r="104">
      <c r="A104" t="inlineStr">
        <is>
          <t>MH-DC-001-TN-026</t>
        </is>
      </c>
      <c r="B104" t="inlineStr">
        <is>
          <t>Feed A</t>
        </is>
      </c>
      <c r="C104" t="inlineStr">
        <is>
          <t>MH-DC-001-RACK-G-PDU-A</t>
        </is>
      </c>
      <c r="D104" t="n">
        <v>1</v>
      </c>
      <c r="E104" t="inlineStr">
        <is>
          <t>L1</t>
        </is>
      </c>
    </row>
    <row r="105">
      <c r="A105" t="inlineStr">
        <is>
          <t>MH-DC-001-TN-026</t>
        </is>
      </c>
      <c r="B105" t="inlineStr">
        <is>
          <t>Feed B</t>
        </is>
      </c>
      <c r="C105" t="inlineStr">
        <is>
          <t>MH-DC-001-RACK-G-PDU-B</t>
        </is>
      </c>
      <c r="D105" t="n">
        <v>1</v>
      </c>
      <c r="E105" t="inlineStr">
        <is>
          <t>L1</t>
        </is>
      </c>
    </row>
    <row r="106">
      <c r="A106" t="inlineStr">
        <is>
          <t>MH-DC-001-TN-027</t>
        </is>
      </c>
      <c r="B106" t="inlineStr">
        <is>
          <t>Feed A</t>
        </is>
      </c>
      <c r="C106" t="inlineStr">
        <is>
          <t>MH-DC-001-RACK-G-PDU-A</t>
        </is>
      </c>
      <c r="D106" t="n">
        <v>13</v>
      </c>
      <c r="E106" t="inlineStr">
        <is>
          <t>L2</t>
        </is>
      </c>
    </row>
    <row r="107">
      <c r="A107" t="inlineStr">
        <is>
          <t>MH-DC-001-TN-027</t>
        </is>
      </c>
      <c r="B107" t="inlineStr">
        <is>
          <t>Feed B</t>
        </is>
      </c>
      <c r="C107" t="inlineStr">
        <is>
          <t>MH-DC-001-RACK-G-PDU-B</t>
        </is>
      </c>
      <c r="D107" t="n">
        <v>13</v>
      </c>
      <c r="E107" t="inlineStr">
        <is>
          <t>L2</t>
        </is>
      </c>
    </row>
    <row r="108">
      <c r="A108" t="inlineStr">
        <is>
          <t>MH-DC-001-TN-028</t>
        </is>
      </c>
      <c r="B108" t="inlineStr">
        <is>
          <t>Feed A</t>
        </is>
      </c>
      <c r="C108" t="inlineStr">
        <is>
          <t>MH-DC-001-RACK-G-PDU-A</t>
        </is>
      </c>
      <c r="D108" t="n">
        <v>25</v>
      </c>
      <c r="E108" t="inlineStr">
        <is>
          <t>L3</t>
        </is>
      </c>
    </row>
    <row r="109">
      <c r="A109" t="inlineStr">
        <is>
          <t>MH-DC-001-TN-028</t>
        </is>
      </c>
      <c r="B109" t="inlineStr">
        <is>
          <t>Feed B</t>
        </is>
      </c>
      <c r="C109" t="inlineStr">
        <is>
          <t>MH-DC-001-RACK-G-PDU-B</t>
        </is>
      </c>
      <c r="D109" t="n">
        <v>25</v>
      </c>
      <c r="E109" t="inlineStr">
        <is>
          <t>L3</t>
        </is>
      </c>
    </row>
    <row r="110">
      <c r="A110" t="inlineStr">
        <is>
          <t>MH-DC-001-TN-029</t>
        </is>
      </c>
      <c r="B110" t="inlineStr">
        <is>
          <t>Feed A</t>
        </is>
      </c>
      <c r="C110" t="inlineStr">
        <is>
          <t>MH-DC-001-RACK-G-PDU-A</t>
        </is>
      </c>
      <c r="D110" t="n">
        <v>2</v>
      </c>
      <c r="E110" t="inlineStr">
        <is>
          <t>L1</t>
        </is>
      </c>
    </row>
    <row r="111">
      <c r="A111" t="inlineStr">
        <is>
          <t>MH-DC-001-TN-029</t>
        </is>
      </c>
      <c r="B111" t="inlineStr">
        <is>
          <t>Feed B</t>
        </is>
      </c>
      <c r="C111" t="inlineStr">
        <is>
          <t>MH-DC-001-RACK-G-PDU-B</t>
        </is>
      </c>
      <c r="D111" t="n">
        <v>2</v>
      </c>
      <c r="E111" t="inlineStr">
        <is>
          <t>L1</t>
        </is>
      </c>
    </row>
    <row r="112">
      <c r="A112" t="inlineStr">
        <is>
          <t>MH-DC-001-TN-030</t>
        </is>
      </c>
      <c r="B112" t="inlineStr">
        <is>
          <t>Feed A</t>
        </is>
      </c>
      <c r="C112" t="inlineStr">
        <is>
          <t>MH-DC-001-RACK-G-PDU-A</t>
        </is>
      </c>
      <c r="D112" t="n">
        <v>14</v>
      </c>
      <c r="E112" t="inlineStr">
        <is>
          <t>L2</t>
        </is>
      </c>
    </row>
    <row r="113">
      <c r="A113" t="inlineStr">
        <is>
          <t>MH-DC-001-TN-030</t>
        </is>
      </c>
      <c r="B113" t="inlineStr">
        <is>
          <t>Feed B</t>
        </is>
      </c>
      <c r="C113" t="inlineStr">
        <is>
          <t>MH-DC-001-RACK-G-PDU-B</t>
        </is>
      </c>
      <c r="D113" t="n">
        <v>14</v>
      </c>
      <c r="E113" t="inlineStr">
        <is>
          <t>L2</t>
        </is>
      </c>
    </row>
    <row r="114">
      <c r="A114" t="inlineStr">
        <is>
          <t>MH-DC-001-TN-031</t>
        </is>
      </c>
      <c r="B114" t="inlineStr">
        <is>
          <t>Feed A</t>
        </is>
      </c>
      <c r="C114" t="inlineStr">
        <is>
          <t>MH-DC-001-RACK-G-PDU-A</t>
        </is>
      </c>
      <c r="D114" t="n">
        <v>26</v>
      </c>
      <c r="E114" t="inlineStr">
        <is>
          <t>L3</t>
        </is>
      </c>
    </row>
    <row r="115">
      <c r="A115" t="inlineStr">
        <is>
          <t>MH-DC-001-TN-031</t>
        </is>
      </c>
      <c r="B115" t="inlineStr">
        <is>
          <t>Feed B</t>
        </is>
      </c>
      <c r="C115" t="inlineStr">
        <is>
          <t>MH-DC-001-RACK-G-PDU-B</t>
        </is>
      </c>
      <c r="D115" t="n">
        <v>26</v>
      </c>
      <c r="E115" t="inlineStr">
        <is>
          <t>L3</t>
        </is>
      </c>
    </row>
    <row r="116">
      <c r="A116" t="inlineStr">
        <is>
          <t>MH-DC-001-TN-032</t>
        </is>
      </c>
      <c r="B116" t="inlineStr">
        <is>
          <t>Feed A</t>
        </is>
      </c>
      <c r="C116" t="inlineStr">
        <is>
          <t>MH-DC-001-RACK-G-PDU-A</t>
        </is>
      </c>
      <c r="D116" t="n">
        <v>3</v>
      </c>
      <c r="E116" t="inlineStr">
        <is>
          <t>L1</t>
        </is>
      </c>
    </row>
    <row r="117">
      <c r="A117" t="inlineStr">
        <is>
          <t>MH-DC-001-TN-032</t>
        </is>
      </c>
      <c r="B117" t="inlineStr">
        <is>
          <t>Feed B</t>
        </is>
      </c>
      <c r="C117" t="inlineStr">
        <is>
          <t>MH-DC-001-RACK-G-PDU-B</t>
        </is>
      </c>
      <c r="D117" t="n">
        <v>3</v>
      </c>
      <c r="E117" t="inlineStr">
        <is>
          <t>L1</t>
        </is>
      </c>
    </row>
    <row r="118">
      <c r="A118" t="inlineStr">
        <is>
          <t>MH-DC-001-TN-033</t>
        </is>
      </c>
      <c r="B118" t="inlineStr">
        <is>
          <t>Feed A</t>
        </is>
      </c>
      <c r="C118" t="inlineStr">
        <is>
          <t>MH-DC-001-RACK-G-PDU-A</t>
        </is>
      </c>
      <c r="D118" t="n">
        <v>15</v>
      </c>
      <c r="E118" t="inlineStr">
        <is>
          <t>L2</t>
        </is>
      </c>
    </row>
    <row r="119">
      <c r="A119" t="inlineStr">
        <is>
          <t>MH-DC-001-TN-033</t>
        </is>
      </c>
      <c r="B119" t="inlineStr">
        <is>
          <t>Feed B</t>
        </is>
      </c>
      <c r="C119" t="inlineStr">
        <is>
          <t>MH-DC-001-RACK-G-PDU-B</t>
        </is>
      </c>
      <c r="D119" t="n">
        <v>15</v>
      </c>
      <c r="E119" t="inlineStr">
        <is>
          <t>L2</t>
        </is>
      </c>
    </row>
    <row r="120">
      <c r="A120" t="inlineStr">
        <is>
          <t>MH-DC-001-TN-034</t>
        </is>
      </c>
      <c r="B120" t="inlineStr">
        <is>
          <t>Feed A</t>
        </is>
      </c>
      <c r="C120" t="inlineStr">
        <is>
          <t>MH-DC-001-RACK-G-PDU-A</t>
        </is>
      </c>
      <c r="D120" t="n">
        <v>27</v>
      </c>
      <c r="E120" t="inlineStr">
        <is>
          <t>L3</t>
        </is>
      </c>
    </row>
    <row r="121">
      <c r="A121" t="inlineStr">
        <is>
          <t>MH-DC-001-TN-034</t>
        </is>
      </c>
      <c r="B121" t="inlineStr">
        <is>
          <t>Feed B</t>
        </is>
      </c>
      <c r="C121" t="inlineStr">
        <is>
          <t>MH-DC-001-RACK-G-PDU-B</t>
        </is>
      </c>
      <c r="D121" t="n">
        <v>27</v>
      </c>
      <c r="E121" t="inlineStr">
        <is>
          <t>L3</t>
        </is>
      </c>
    </row>
    <row r="122">
      <c r="A122" t="inlineStr">
        <is>
          <t>MH-DC-001-TN-035</t>
        </is>
      </c>
      <c r="B122" t="inlineStr">
        <is>
          <t>Feed A</t>
        </is>
      </c>
      <c r="C122" t="inlineStr">
        <is>
          <t>MH-DC-001-RACK-H-PDU-A</t>
        </is>
      </c>
      <c r="D122" t="n">
        <v>1</v>
      </c>
      <c r="E122" t="inlineStr">
        <is>
          <t>L1</t>
        </is>
      </c>
    </row>
    <row r="123">
      <c r="A123" t="inlineStr">
        <is>
          <t>MH-DC-001-TN-035</t>
        </is>
      </c>
      <c r="B123" t="inlineStr">
        <is>
          <t>Feed B</t>
        </is>
      </c>
      <c r="C123" t="inlineStr">
        <is>
          <t>MH-DC-001-RACK-H-PDU-B</t>
        </is>
      </c>
      <c r="D123" t="n">
        <v>1</v>
      </c>
      <c r="E123" t="inlineStr">
        <is>
          <t>L1</t>
        </is>
      </c>
    </row>
    <row r="124">
      <c r="A124" t="inlineStr">
        <is>
          <t>MH-DC-001-TN-036</t>
        </is>
      </c>
      <c r="B124" t="inlineStr">
        <is>
          <t>Feed A</t>
        </is>
      </c>
      <c r="C124" t="inlineStr">
        <is>
          <t>MH-DC-001-RACK-H-PDU-A</t>
        </is>
      </c>
      <c r="D124" t="n">
        <v>9</v>
      </c>
      <c r="E124" t="inlineStr">
        <is>
          <t>L2</t>
        </is>
      </c>
    </row>
    <row r="125">
      <c r="A125" t="inlineStr">
        <is>
          <t>MH-DC-001-TN-036</t>
        </is>
      </c>
      <c r="B125" t="inlineStr">
        <is>
          <t>Feed B</t>
        </is>
      </c>
      <c r="C125" t="inlineStr">
        <is>
          <t>MH-DC-001-RACK-H-PDU-B</t>
        </is>
      </c>
      <c r="D125" t="n">
        <v>9</v>
      </c>
      <c r="E125" t="inlineStr">
        <is>
          <t>L2</t>
        </is>
      </c>
    </row>
    <row r="126">
      <c r="A126" t="inlineStr">
        <is>
          <t>MH-DC-001-TN-037</t>
        </is>
      </c>
      <c r="B126" t="inlineStr">
        <is>
          <t>Feed A</t>
        </is>
      </c>
      <c r="C126" t="inlineStr">
        <is>
          <t>MH-DC-001-RACK-H-PDU-A</t>
        </is>
      </c>
      <c r="D126" t="n">
        <v>17</v>
      </c>
      <c r="E126" t="inlineStr">
        <is>
          <t>L3</t>
        </is>
      </c>
    </row>
    <row r="127">
      <c r="A127" t="inlineStr">
        <is>
          <t>MH-DC-001-TN-037</t>
        </is>
      </c>
      <c r="B127" t="inlineStr">
        <is>
          <t>Feed B</t>
        </is>
      </c>
      <c r="C127" t="inlineStr">
        <is>
          <t>MH-DC-001-RACK-H-PDU-B</t>
        </is>
      </c>
      <c r="D127" t="n">
        <v>17</v>
      </c>
      <c r="E127" t="inlineStr">
        <is>
          <t>L3</t>
        </is>
      </c>
    </row>
    <row r="128">
      <c r="A128" t="inlineStr">
        <is>
          <t>MH-DC-001-TN-042</t>
        </is>
      </c>
      <c r="B128" t="inlineStr">
        <is>
          <t>Feed A</t>
        </is>
      </c>
      <c r="C128" t="inlineStr">
        <is>
          <t>MH-DC-001-RACK-I-PDU-A</t>
        </is>
      </c>
      <c r="D128" t="n">
        <v>1</v>
      </c>
      <c r="E128" t="inlineStr">
        <is>
          <t>L1</t>
        </is>
      </c>
    </row>
    <row r="129">
      <c r="A129" t="inlineStr">
        <is>
          <t>MH-DC-001-TN-042</t>
        </is>
      </c>
      <c r="B129" t="inlineStr">
        <is>
          <t>Feed B</t>
        </is>
      </c>
      <c r="C129" t="inlineStr">
        <is>
          <t>MH-DC-001-RACK-I-PDU-B</t>
        </is>
      </c>
      <c r="D129" t="n">
        <v>1</v>
      </c>
      <c r="E129" t="inlineStr">
        <is>
          <t>L1</t>
        </is>
      </c>
    </row>
    <row r="130">
      <c r="A130" t="inlineStr">
        <is>
          <t>MH-DC-001-TN-043</t>
        </is>
      </c>
      <c r="B130" t="inlineStr">
        <is>
          <t>Feed A</t>
        </is>
      </c>
      <c r="C130" t="inlineStr">
        <is>
          <t>MH-DC-001-RACK-I-PDU-A</t>
        </is>
      </c>
      <c r="D130" t="n">
        <v>13</v>
      </c>
      <c r="E130" t="inlineStr">
        <is>
          <t>L2</t>
        </is>
      </c>
    </row>
    <row r="131">
      <c r="A131" t="inlineStr">
        <is>
          <t>MH-DC-001-TN-043</t>
        </is>
      </c>
      <c r="B131" t="inlineStr">
        <is>
          <t>Feed B</t>
        </is>
      </c>
      <c r="C131" t="inlineStr">
        <is>
          <t>MH-DC-001-RACK-I-PDU-B</t>
        </is>
      </c>
      <c r="D131" t="n">
        <v>13</v>
      </c>
      <c r="E131" t="inlineStr">
        <is>
          <t>L2</t>
        </is>
      </c>
    </row>
    <row r="132">
      <c r="A132" t="inlineStr">
        <is>
          <t>MH-DC-001-TN-044</t>
        </is>
      </c>
      <c r="B132" t="inlineStr">
        <is>
          <t>Feed A</t>
        </is>
      </c>
      <c r="C132" t="inlineStr">
        <is>
          <t>MH-DC-001-RACK-I-PDU-A</t>
        </is>
      </c>
      <c r="D132" t="n">
        <v>25</v>
      </c>
      <c r="E132" t="inlineStr">
        <is>
          <t>L3</t>
        </is>
      </c>
    </row>
    <row r="133">
      <c r="A133" t="inlineStr">
        <is>
          <t>MH-DC-001-TN-044</t>
        </is>
      </c>
      <c r="B133" t="inlineStr">
        <is>
          <t>Feed B</t>
        </is>
      </c>
      <c r="C133" t="inlineStr">
        <is>
          <t>MH-DC-001-RACK-I-PDU-B</t>
        </is>
      </c>
      <c r="D133" t="n">
        <v>25</v>
      </c>
      <c r="E133" t="inlineStr">
        <is>
          <t>L3</t>
        </is>
      </c>
    </row>
    <row r="134">
      <c r="A134" t="inlineStr">
        <is>
          <t>MH-DC-001-TN-045</t>
        </is>
      </c>
      <c r="B134" t="inlineStr">
        <is>
          <t>Feed A</t>
        </is>
      </c>
      <c r="C134" t="inlineStr">
        <is>
          <t>MH-DC-001-RACK-I-PDU-A</t>
        </is>
      </c>
      <c r="D134" t="n">
        <v>2</v>
      </c>
      <c r="E134" t="inlineStr">
        <is>
          <t>L1</t>
        </is>
      </c>
    </row>
    <row r="135">
      <c r="A135" t="inlineStr">
        <is>
          <t>MH-DC-001-TN-045</t>
        </is>
      </c>
      <c r="B135" t="inlineStr">
        <is>
          <t>Feed B</t>
        </is>
      </c>
      <c r="C135" t="inlineStr">
        <is>
          <t>MH-DC-001-RACK-I-PDU-B</t>
        </is>
      </c>
      <c r="D135" t="n">
        <v>2</v>
      </c>
      <c r="E135" t="inlineStr">
        <is>
          <t>L1</t>
        </is>
      </c>
    </row>
    <row r="136">
      <c r="A136" t="inlineStr">
        <is>
          <t>MH-DC-001-TN-048</t>
        </is>
      </c>
      <c r="B136" t="inlineStr">
        <is>
          <t>Feed A</t>
        </is>
      </c>
      <c r="C136" t="inlineStr">
        <is>
          <t>MH-DC-001-RACK-J-PDU-A</t>
        </is>
      </c>
      <c r="D136" t="n">
        <v>1</v>
      </c>
      <c r="E136" t="inlineStr">
        <is>
          <t>L1</t>
        </is>
      </c>
    </row>
    <row r="137">
      <c r="A137" t="inlineStr">
        <is>
          <t>MH-DC-001-TN-048</t>
        </is>
      </c>
      <c r="B137" t="inlineStr">
        <is>
          <t>Feed B</t>
        </is>
      </c>
      <c r="C137" t="inlineStr">
        <is>
          <t>MH-DC-001-RACK-J-PDU-B</t>
        </is>
      </c>
      <c r="D137" t="n">
        <v>1</v>
      </c>
      <c r="E137" t="inlineStr">
        <is>
          <t>L1</t>
        </is>
      </c>
    </row>
    <row r="138">
      <c r="A138" t="inlineStr">
        <is>
          <t>MH-DC-001-TN-049</t>
        </is>
      </c>
      <c r="B138" t="inlineStr">
        <is>
          <t>Feed A</t>
        </is>
      </c>
      <c r="C138" t="inlineStr">
        <is>
          <t>MH-DC-001-RACK-J-PDU-A</t>
        </is>
      </c>
      <c r="D138" t="n">
        <v>9</v>
      </c>
      <c r="E138" t="inlineStr">
        <is>
          <t>L2</t>
        </is>
      </c>
    </row>
    <row r="139">
      <c r="A139" t="inlineStr">
        <is>
          <t>MH-DC-001-TN-049</t>
        </is>
      </c>
      <c r="B139" t="inlineStr">
        <is>
          <t>Feed B</t>
        </is>
      </c>
      <c r="C139" t="inlineStr">
        <is>
          <t>MH-DC-001-RACK-J-PDU-B</t>
        </is>
      </c>
      <c r="D139" t="n">
        <v>9</v>
      </c>
      <c r="E139" t="inlineStr">
        <is>
          <t>L2</t>
        </is>
      </c>
    </row>
    <row r="140">
      <c r="A140" t="inlineStr">
        <is>
          <t>MH-DC-001-TN-050</t>
        </is>
      </c>
      <c r="B140" t="inlineStr">
        <is>
          <t>Feed A</t>
        </is>
      </c>
      <c r="C140" t="inlineStr">
        <is>
          <t>MH-DC-001-RACK-J-PDU-A</t>
        </is>
      </c>
      <c r="D140" t="n">
        <v>17</v>
      </c>
      <c r="E140" t="inlineStr">
        <is>
          <t>L3</t>
        </is>
      </c>
    </row>
    <row r="141">
      <c r="A141" t="inlineStr">
        <is>
          <t>MH-DC-001-TN-050</t>
        </is>
      </c>
      <c r="B141" t="inlineStr">
        <is>
          <t>Feed B</t>
        </is>
      </c>
      <c r="C141" t="inlineStr">
        <is>
          <t>MH-DC-001-RACK-J-PDU-B</t>
        </is>
      </c>
      <c r="D141" t="n">
        <v>17</v>
      </c>
      <c r="E141" t="inlineStr">
        <is>
          <t>L3</t>
        </is>
      </c>
    </row>
    <row r="142">
      <c r="A142" t="inlineStr">
        <is>
          <t>MH-DC-001-TN-051</t>
        </is>
      </c>
      <c r="B142" t="inlineStr">
        <is>
          <t>Feed A</t>
        </is>
      </c>
      <c r="C142" t="inlineStr">
        <is>
          <t>MH-DC-001-RACK-J-PDU-A</t>
        </is>
      </c>
      <c r="D142" t="n">
        <v>2</v>
      </c>
      <c r="E142" t="inlineStr">
        <is>
          <t>L1</t>
        </is>
      </c>
    </row>
    <row r="143">
      <c r="A143" t="inlineStr">
        <is>
          <t>MH-DC-001-TN-051</t>
        </is>
      </c>
      <c r="B143" t="inlineStr">
        <is>
          <t>Feed B</t>
        </is>
      </c>
      <c r="C143" t="inlineStr">
        <is>
          <t>MH-DC-001-RACK-J-PDU-B</t>
        </is>
      </c>
      <c r="D143" t="n">
        <v>2</v>
      </c>
      <c r="E143" t="inlineStr">
        <is>
          <t>L1</t>
        </is>
      </c>
    </row>
    <row r="144">
      <c r="A144" t="inlineStr">
        <is>
          <t>MH-DC-001-TN-053</t>
        </is>
      </c>
      <c r="B144" t="inlineStr">
        <is>
          <t>Feed A</t>
        </is>
      </c>
      <c r="C144" t="inlineStr">
        <is>
          <t>MH-DC-001-RACK-K-PDU-A</t>
        </is>
      </c>
      <c r="D144" t="n">
        <v>1</v>
      </c>
      <c r="E144" t="inlineStr">
        <is>
          <t>L1</t>
        </is>
      </c>
    </row>
    <row r="145">
      <c r="A145" t="inlineStr">
        <is>
          <t>MH-DC-001-TN-053</t>
        </is>
      </c>
      <c r="B145" t="inlineStr">
        <is>
          <t>Feed B</t>
        </is>
      </c>
      <c r="C145" t="inlineStr">
        <is>
          <t>MH-DC-001-RACK-K-PDU-B</t>
        </is>
      </c>
      <c r="D145" t="n">
        <v>1</v>
      </c>
      <c r="E145" t="inlineStr">
        <is>
          <t>L1</t>
        </is>
      </c>
    </row>
    <row r="146">
      <c r="A146" t="inlineStr">
        <is>
          <t>MH-DC-001-TN-054</t>
        </is>
      </c>
      <c r="B146" t="inlineStr">
        <is>
          <t>Feed A</t>
        </is>
      </c>
      <c r="C146" t="inlineStr">
        <is>
          <t>MH-DC-001-RACK-K-PDU-A</t>
        </is>
      </c>
      <c r="D146" t="n">
        <v>9</v>
      </c>
      <c r="E146" t="inlineStr">
        <is>
          <t>L2</t>
        </is>
      </c>
    </row>
    <row r="147">
      <c r="A147" t="inlineStr">
        <is>
          <t>MH-DC-001-TN-054</t>
        </is>
      </c>
      <c r="B147" t="inlineStr">
        <is>
          <t>Feed B</t>
        </is>
      </c>
      <c r="C147" t="inlineStr">
        <is>
          <t>MH-DC-001-RACK-K-PDU-B</t>
        </is>
      </c>
      <c r="D147" t="n">
        <v>9</v>
      </c>
      <c r="E147" t="inlineStr">
        <is>
          <t>L2</t>
        </is>
      </c>
    </row>
    <row r="148">
      <c r="A148" t="inlineStr">
        <is>
          <t>MH-DC-001-TN-066</t>
        </is>
      </c>
      <c r="B148" t="inlineStr">
        <is>
          <t>Feed A</t>
        </is>
      </c>
      <c r="C148" t="inlineStr">
        <is>
          <t>MH-DC-001-RACK-N-PDU-A</t>
        </is>
      </c>
      <c r="D148" t="n">
        <v>1</v>
      </c>
      <c r="E148" t="inlineStr">
        <is>
          <t>L1</t>
        </is>
      </c>
    </row>
    <row r="149">
      <c r="A149" t="inlineStr">
        <is>
          <t>MH-DC-001-TN-066</t>
        </is>
      </c>
      <c r="B149" t="inlineStr">
        <is>
          <t>Feed B</t>
        </is>
      </c>
      <c r="C149" t="inlineStr">
        <is>
          <t>MH-DC-001-RACK-N-PDU-B</t>
        </is>
      </c>
      <c r="D149" t="n">
        <v>1</v>
      </c>
      <c r="E149" t="inlineStr">
        <is>
          <t>L1</t>
        </is>
      </c>
    </row>
    <row r="150">
      <c r="A150" t="inlineStr">
        <is>
          <t>MH-DC-001-TN-069</t>
        </is>
      </c>
      <c r="B150" t="inlineStr">
        <is>
          <t>Feed A</t>
        </is>
      </c>
      <c r="C150" t="inlineStr">
        <is>
          <t>MH-DC-001-RACK-N-PDU-A</t>
        </is>
      </c>
      <c r="D150" t="n">
        <v>9</v>
      </c>
      <c r="E150" t="inlineStr">
        <is>
          <t>L2</t>
        </is>
      </c>
    </row>
    <row r="151">
      <c r="A151" t="inlineStr">
        <is>
          <t>MH-DC-001-TN-069</t>
        </is>
      </c>
      <c r="B151" t="inlineStr">
        <is>
          <t>Feed B</t>
        </is>
      </c>
      <c r="C151" t="inlineStr">
        <is>
          <t>MH-DC-001-RACK-N-PDU-B</t>
        </is>
      </c>
      <c r="D151" t="n">
        <v>9</v>
      </c>
      <c r="E151" t="inlineStr">
        <is>
          <t>L2</t>
        </is>
      </c>
    </row>
    <row r="152">
      <c r="A152" t="inlineStr">
        <is>
          <t>MH-DC-001-TN-072</t>
        </is>
      </c>
      <c r="B152" t="inlineStr">
        <is>
          <t>Feed A</t>
        </is>
      </c>
      <c r="C152" t="inlineStr">
        <is>
          <t>MH-DC-001-RACK-O-PDU-A</t>
        </is>
      </c>
      <c r="D152" t="n">
        <v>1</v>
      </c>
      <c r="E152" t="inlineStr">
        <is>
          <t>L1</t>
        </is>
      </c>
    </row>
    <row r="153">
      <c r="A153" t="inlineStr">
        <is>
          <t>MH-DC-001-TN-072</t>
        </is>
      </c>
      <c r="B153" t="inlineStr">
        <is>
          <t>Feed B</t>
        </is>
      </c>
      <c r="C153" t="inlineStr">
        <is>
          <t>MH-DC-001-RACK-O-PDU-B</t>
        </is>
      </c>
      <c r="D153" t="n">
        <v>1</v>
      </c>
      <c r="E153" t="inlineStr">
        <is>
          <t>L1</t>
        </is>
      </c>
    </row>
    <row r="154">
      <c r="A154" t="inlineStr">
        <is>
          <t>MH-DC-001-TN-075</t>
        </is>
      </c>
      <c r="B154" t="inlineStr">
        <is>
          <t>Feed A</t>
        </is>
      </c>
      <c r="C154" t="inlineStr">
        <is>
          <t>MH-DC-001-RACK-O-PDU-A</t>
        </is>
      </c>
      <c r="D154" t="n">
        <v>9</v>
      </c>
      <c r="E154" t="inlineStr">
        <is>
          <t>L2</t>
        </is>
      </c>
    </row>
    <row r="155">
      <c r="A155" t="inlineStr">
        <is>
          <t>MH-DC-001-TN-075</t>
        </is>
      </c>
      <c r="B155" t="inlineStr">
        <is>
          <t>Feed B</t>
        </is>
      </c>
      <c r="C155" t="inlineStr">
        <is>
          <t>MH-DC-001-RACK-O-PDU-B</t>
        </is>
      </c>
      <c r="D155" t="n">
        <v>9</v>
      </c>
      <c r="E155" t="inlineStr">
        <is>
          <t>L2</t>
        </is>
      </c>
    </row>
    <row r="156">
      <c r="A156" t="inlineStr">
        <is>
          <t>MH-DC-001-TN-076</t>
        </is>
      </c>
      <c r="B156" t="inlineStr">
        <is>
          <t>Feed A</t>
        </is>
      </c>
      <c r="C156" t="inlineStr">
        <is>
          <t>MH-DC-001-RACK-O-PDU-A</t>
        </is>
      </c>
      <c r="D156" t="n">
        <v>17</v>
      </c>
      <c r="E156" t="inlineStr">
        <is>
          <t>L3</t>
        </is>
      </c>
    </row>
    <row r="157">
      <c r="A157" t="inlineStr">
        <is>
          <t>MH-DC-001-TN-076</t>
        </is>
      </c>
      <c r="B157" t="inlineStr">
        <is>
          <t>Feed B</t>
        </is>
      </c>
      <c r="C157" t="inlineStr">
        <is>
          <t>MH-DC-001-RACK-O-PDU-B</t>
        </is>
      </c>
      <c r="D157" t="n">
        <v>17</v>
      </c>
      <c r="E157" t="inlineStr">
        <is>
          <t>L3</t>
        </is>
      </c>
    </row>
    <row r="158">
      <c r="A158" t="inlineStr">
        <is>
          <t>MH-DC-001-TN-078</t>
        </is>
      </c>
      <c r="B158" t="inlineStr">
        <is>
          <t>Feed A</t>
        </is>
      </c>
      <c r="C158" t="inlineStr">
        <is>
          <t>MH-DC-001-RACK-O-PDU-A</t>
        </is>
      </c>
      <c r="D158" t="n">
        <v>2</v>
      </c>
      <c r="E158" t="inlineStr">
        <is>
          <t>L1</t>
        </is>
      </c>
    </row>
    <row r="159">
      <c r="A159" t="inlineStr">
        <is>
          <t>MH-DC-001-TN-078</t>
        </is>
      </c>
      <c r="B159" t="inlineStr">
        <is>
          <t>Feed B</t>
        </is>
      </c>
      <c r="C159" t="inlineStr">
        <is>
          <t>MH-DC-001-RACK-O-PDU-B</t>
        </is>
      </c>
      <c r="D159" t="n">
        <v>2</v>
      </c>
      <c r="E159" t="inlineStr">
        <is>
          <t>L1</t>
        </is>
      </c>
    </row>
    <row r="160">
      <c r="A160" t="inlineStr">
        <is>
          <t>MH-DC-001-TN-081</t>
        </is>
      </c>
      <c r="B160" t="inlineStr">
        <is>
          <t>Feed A</t>
        </is>
      </c>
      <c r="C160" t="inlineStr">
        <is>
          <t>MH-DC-001-RACK-P-PDU-A</t>
        </is>
      </c>
      <c r="D160" t="n">
        <v>1</v>
      </c>
      <c r="E160" t="inlineStr">
        <is>
          <t>L1</t>
        </is>
      </c>
    </row>
    <row r="161">
      <c r="A161" t="inlineStr">
        <is>
          <t>MH-DC-001-TN-081</t>
        </is>
      </c>
      <c r="B161" t="inlineStr">
        <is>
          <t>Feed B</t>
        </is>
      </c>
      <c r="C161" t="inlineStr">
        <is>
          <t>MH-DC-001-RACK-P-PDU-B</t>
        </is>
      </c>
      <c r="D161" t="n">
        <v>1</v>
      </c>
      <c r="E161" t="inlineStr">
        <is>
          <t>L1</t>
        </is>
      </c>
    </row>
    <row r="162">
      <c r="A162" t="inlineStr">
        <is>
          <t>MH-DC-001-BMS-01</t>
        </is>
      </c>
      <c r="B162" t="inlineStr">
        <is>
          <t>PSU1</t>
        </is>
      </c>
      <c r="C162" t="inlineStr">
        <is>
          <t>MH-DC-001-RACK-U-PDU-A</t>
        </is>
      </c>
      <c r="D162" t="n">
        <v>1</v>
      </c>
      <c r="E162" t="inlineStr">
        <is>
          <t>L1</t>
        </is>
      </c>
    </row>
    <row r="163">
      <c r="A163" t="inlineStr">
        <is>
          <t>MH-DC-001-BMS-01</t>
        </is>
      </c>
      <c r="B163" t="inlineStr">
        <is>
          <t>PSU2</t>
        </is>
      </c>
      <c r="C163" t="inlineStr">
        <is>
          <t>MH-DC-001-RACK-U-PDU-B</t>
        </is>
      </c>
      <c r="D163" t="n">
        <v>1</v>
      </c>
      <c r="E163" t="inlineStr">
        <is>
          <t>L1</t>
        </is>
      </c>
    </row>
    <row r="164">
      <c r="A164" t="inlineStr">
        <is>
          <t>MH-DC-001-BMS-02</t>
        </is>
      </c>
      <c r="B164" t="inlineStr">
        <is>
          <t>PSU1</t>
        </is>
      </c>
      <c r="C164" t="inlineStr">
        <is>
          <t>MH-DC-001-RACK-U-PDU-A</t>
        </is>
      </c>
      <c r="D164" t="n">
        <v>9</v>
      </c>
      <c r="E164" t="inlineStr">
        <is>
          <t>L2</t>
        </is>
      </c>
    </row>
    <row r="165">
      <c r="A165" t="inlineStr">
        <is>
          <t>MH-DC-001-BMS-02</t>
        </is>
      </c>
      <c r="B165" t="inlineStr">
        <is>
          <t>PSU2</t>
        </is>
      </c>
      <c r="C165" t="inlineStr">
        <is>
          <t>MH-DC-001-RACK-U-PDU-B</t>
        </is>
      </c>
      <c r="D165" t="n">
        <v>9</v>
      </c>
      <c r="E165" t="inlineStr">
        <is>
          <t>L2</t>
        </is>
      </c>
    </row>
    <row r="166">
      <c r="A166" t="inlineStr">
        <is>
          <t>MH-DC-001-ACS-01</t>
        </is>
      </c>
      <c r="B166" t="inlineStr">
        <is>
          <t>PSU1</t>
        </is>
      </c>
      <c r="C166" t="inlineStr">
        <is>
          <t>MH-DC-001-RACK-U-PDU-A</t>
        </is>
      </c>
      <c r="D166" t="n">
        <v>17</v>
      </c>
      <c r="E166" t="inlineStr">
        <is>
          <t>L3</t>
        </is>
      </c>
    </row>
    <row r="167">
      <c r="A167" t="inlineStr">
        <is>
          <t>MH-DC-001-ACS-01</t>
        </is>
      </c>
      <c r="B167" t="inlineStr">
        <is>
          <t>PSU2</t>
        </is>
      </c>
      <c r="C167" t="inlineStr">
        <is>
          <t>MH-DC-001-RACK-U-PDU-B</t>
        </is>
      </c>
      <c r="D167" t="n">
        <v>17</v>
      </c>
      <c r="E167" t="inlineStr">
        <is>
          <t>L3</t>
        </is>
      </c>
    </row>
    <row r="168">
      <c r="A168" t="inlineStr">
        <is>
          <t>MH-DC-001-NVR-01</t>
        </is>
      </c>
      <c r="B168" t="inlineStr">
        <is>
          <t>PSU1</t>
        </is>
      </c>
      <c r="C168" t="inlineStr">
        <is>
          <t>MH-DC-001-RACK-U-PDU-A</t>
        </is>
      </c>
      <c r="D168" t="n">
        <v>2</v>
      </c>
      <c r="E168" t="inlineStr">
        <is>
          <t>L1</t>
        </is>
      </c>
    </row>
    <row r="169">
      <c r="A169" t="inlineStr">
        <is>
          <t>MH-DC-001-NVR-01</t>
        </is>
      </c>
      <c r="B169" t="inlineStr">
        <is>
          <t>PSU2</t>
        </is>
      </c>
      <c r="C169" t="inlineStr">
        <is>
          <t>MH-DC-001-RACK-U-PDU-B</t>
        </is>
      </c>
      <c r="D169" t="n">
        <v>2</v>
      </c>
      <c r="E169" t="inlineStr">
        <is>
          <t>L1</t>
        </is>
      </c>
    </row>
    <row r="170">
      <c r="A170" t="inlineStr">
        <is>
          <t>MH-DC-001-NVR-02</t>
        </is>
      </c>
      <c r="B170" t="inlineStr">
        <is>
          <t>PSU1</t>
        </is>
      </c>
      <c r="C170" t="inlineStr">
        <is>
          <t>MH-DC-001-RACK-U-PDU-A</t>
        </is>
      </c>
      <c r="D170" t="n">
        <v>10</v>
      </c>
      <c r="E170" t="inlineStr">
        <is>
          <t>L2</t>
        </is>
      </c>
    </row>
    <row r="171">
      <c r="A171" t="inlineStr">
        <is>
          <t>MH-DC-001-NVR-02</t>
        </is>
      </c>
      <c r="B171" t="inlineStr">
        <is>
          <t>PSU2</t>
        </is>
      </c>
      <c r="C171" t="inlineStr">
        <is>
          <t>MH-DC-001-RACK-U-PDU-B</t>
        </is>
      </c>
      <c r="D171" t="n">
        <v>10</v>
      </c>
      <c r="E171" t="inlineStr">
        <is>
          <t>L2</t>
        </is>
      </c>
    </row>
    <row r="172">
      <c r="A172" t="inlineStr">
        <is>
          <t>MH-DC-001-JMP-01</t>
        </is>
      </c>
      <c r="B172" t="inlineStr">
        <is>
          <t>PSU1</t>
        </is>
      </c>
      <c r="C172" t="inlineStr">
        <is>
          <t>MH-DC-001-RACK-U-PDU-A</t>
        </is>
      </c>
      <c r="D172" t="n">
        <v>18</v>
      </c>
      <c r="E172" t="inlineStr">
        <is>
          <t>L3</t>
        </is>
      </c>
    </row>
    <row r="173">
      <c r="A173" t="inlineStr">
        <is>
          <t>MH-DC-001-JMP-01</t>
        </is>
      </c>
      <c r="B173" t="inlineStr">
        <is>
          <t>PSU2</t>
        </is>
      </c>
      <c r="C173" t="inlineStr">
        <is>
          <t>MH-DC-001-RACK-U-PDU-B</t>
        </is>
      </c>
      <c r="D173" t="n">
        <v>18</v>
      </c>
      <c r="E173" t="inlineStr">
        <is>
          <t>L3</t>
        </is>
      </c>
    </row>
    <row r="174">
      <c r="A174" t="inlineStr">
        <is>
          <t>MH-DC-001-JMP-02</t>
        </is>
      </c>
      <c r="B174" t="inlineStr">
        <is>
          <t>PSU1</t>
        </is>
      </c>
      <c r="C174" t="inlineStr">
        <is>
          <t>MH-DC-001-RACK-U-PDU-A</t>
        </is>
      </c>
      <c r="D174" t="n">
        <v>3</v>
      </c>
      <c r="E174" t="inlineStr">
        <is>
          <t>L1</t>
        </is>
      </c>
    </row>
    <row r="175">
      <c r="A175" t="inlineStr">
        <is>
          <t>MH-DC-001-JMP-02</t>
        </is>
      </c>
      <c r="B175" t="inlineStr">
        <is>
          <t>PSU2</t>
        </is>
      </c>
      <c r="C175" t="inlineStr">
        <is>
          <t>MH-DC-001-RACK-U-PDU-B</t>
        </is>
      </c>
      <c r="D175" t="n">
        <v>3</v>
      </c>
      <c r="E175" t="inlineStr">
        <is>
          <t>L1</t>
        </is>
      </c>
    </row>
    <row r="176">
      <c r="A176" t="inlineStr">
        <is>
          <t>MH-DC-001-BKP-01</t>
        </is>
      </c>
      <c r="B176" t="inlineStr">
        <is>
          <t>PSU1</t>
        </is>
      </c>
      <c r="C176" t="inlineStr">
        <is>
          <t>MH-DC-001-RACK-U-PDU-A</t>
        </is>
      </c>
      <c r="D176" t="n">
        <v>11</v>
      </c>
      <c r="E176" t="inlineStr">
        <is>
          <t>L2</t>
        </is>
      </c>
    </row>
    <row r="177">
      <c r="A177" t="inlineStr">
        <is>
          <t>MH-DC-001-BKP-01</t>
        </is>
      </c>
      <c r="B177" t="inlineStr">
        <is>
          <t>PSU2</t>
        </is>
      </c>
      <c r="C177" t="inlineStr">
        <is>
          <t>MH-DC-001-RACK-U-PDU-B</t>
        </is>
      </c>
      <c r="D177" t="n">
        <v>11</v>
      </c>
      <c r="E177" t="inlineStr">
        <is>
          <t>L2</t>
        </is>
      </c>
    </row>
    <row r="178">
      <c r="A178" t="inlineStr">
        <is>
          <t>MH-DC-001-DCIM-01</t>
        </is>
      </c>
      <c r="B178" t="inlineStr">
        <is>
          <t>PSU1</t>
        </is>
      </c>
      <c r="C178" t="inlineStr">
        <is>
          <t>MH-DC-001-RACK-U-PDU-A</t>
        </is>
      </c>
      <c r="D178" t="n">
        <v>19</v>
      </c>
      <c r="E178" t="inlineStr">
        <is>
          <t>L3</t>
        </is>
      </c>
    </row>
    <row r="179">
      <c r="A179" t="inlineStr">
        <is>
          <t>MH-DC-001-DCIM-01</t>
        </is>
      </c>
      <c r="B179" t="inlineStr">
        <is>
          <t>PSU2</t>
        </is>
      </c>
      <c r="C179" t="inlineStr">
        <is>
          <t>MH-DC-001-RACK-U-PDU-B</t>
        </is>
      </c>
      <c r="D179" t="n">
        <v>19</v>
      </c>
      <c r="E179" t="inlineStr">
        <is>
          <t>L3</t>
        </is>
      </c>
    </row>
    <row r="180">
      <c r="A180" t="inlineStr">
        <is>
          <t>MH-DC-001-DCIM-02</t>
        </is>
      </c>
      <c r="B180" t="inlineStr">
        <is>
          <t>PSU1</t>
        </is>
      </c>
      <c r="C180" t="inlineStr">
        <is>
          <t>MH-DC-001-RACK-U-PDU-A</t>
        </is>
      </c>
      <c r="D180" t="n">
        <v>4</v>
      </c>
      <c r="E180" t="inlineStr">
        <is>
          <t>L1</t>
        </is>
      </c>
    </row>
    <row r="181">
      <c r="A181" t="inlineStr">
        <is>
          <t>MH-DC-001-DCIM-02</t>
        </is>
      </c>
      <c r="B181" t="inlineStr">
        <is>
          <t>PSU2</t>
        </is>
      </c>
      <c r="C181" t="inlineStr">
        <is>
          <t>MH-DC-001-RACK-U-PDU-B</t>
        </is>
      </c>
      <c r="D181" t="n">
        <v>4</v>
      </c>
      <c r="E181" t="inlineStr">
        <is>
          <t>L1</t>
        </is>
      </c>
    </row>
    <row r="182">
      <c r="A182" t="inlineStr">
        <is>
          <t>MH-DC-001-MON-01</t>
        </is>
      </c>
      <c r="B182" t="inlineStr">
        <is>
          <t>PSU1</t>
        </is>
      </c>
      <c r="C182" t="inlineStr">
        <is>
          <t>MH-DC-001-RACK-U-PDU-A</t>
        </is>
      </c>
      <c r="D182" t="n">
        <v>12</v>
      </c>
      <c r="E182" t="inlineStr">
        <is>
          <t>L2</t>
        </is>
      </c>
    </row>
    <row r="183">
      <c r="A183" t="inlineStr">
        <is>
          <t>MH-DC-001-MON-01</t>
        </is>
      </c>
      <c r="B183" t="inlineStr">
        <is>
          <t>PSU2</t>
        </is>
      </c>
      <c r="C183" t="inlineStr">
        <is>
          <t>MH-DC-001-RACK-U-PDU-B</t>
        </is>
      </c>
      <c r="D183" t="n">
        <v>12</v>
      </c>
      <c r="E183" t="inlineStr">
        <is>
          <t>L2</t>
        </is>
      </c>
    </row>
    <row r="184">
      <c r="A184" t="inlineStr">
        <is>
          <t>MH-DC-001-MON-02</t>
        </is>
      </c>
      <c r="B184" t="inlineStr">
        <is>
          <t>PSU1</t>
        </is>
      </c>
      <c r="C184" t="inlineStr">
        <is>
          <t>MH-DC-001-RACK-U-PDU-A</t>
        </is>
      </c>
      <c r="D184" t="n">
        <v>20</v>
      </c>
      <c r="E184" t="inlineStr">
        <is>
          <t>L3</t>
        </is>
      </c>
    </row>
    <row r="185">
      <c r="A185" t="inlineStr">
        <is>
          <t>MH-DC-001-MON-02</t>
        </is>
      </c>
      <c r="B185" t="inlineStr">
        <is>
          <t>PSU2</t>
        </is>
      </c>
      <c r="C185" t="inlineStr">
        <is>
          <t>MH-DC-001-RACK-U-PDU-B</t>
        </is>
      </c>
      <c r="D185" t="n">
        <v>20</v>
      </c>
      <c r="E185" t="inlineStr">
        <is>
          <t>L3</t>
        </is>
      </c>
    </row>
    <row r="186">
      <c r="A186" t="inlineStr">
        <is>
          <t>MH-DC-002-PE-T4-01</t>
        </is>
      </c>
      <c r="B186" t="inlineStr">
        <is>
          <t>PEM0</t>
        </is>
      </c>
      <c r="C186" t="inlineStr">
        <is>
          <t>MH-DC-002-RACK-A-PDU-A</t>
        </is>
      </c>
      <c r="D186" t="n">
        <v>1</v>
      </c>
      <c r="E186" t="inlineStr">
        <is>
          <t>L1</t>
        </is>
      </c>
    </row>
    <row r="187">
      <c r="A187" t="inlineStr">
        <is>
          <t>MH-DC-002-PE-T4-01</t>
        </is>
      </c>
      <c r="B187" t="inlineStr">
        <is>
          <t>PEM1</t>
        </is>
      </c>
      <c r="C187" t="inlineStr">
        <is>
          <t>MH-DC-002-RACK-A-PDU-B</t>
        </is>
      </c>
      <c r="D187" t="n">
        <v>1</v>
      </c>
      <c r="E187" t="inlineStr">
        <is>
          <t>L1</t>
        </is>
      </c>
    </row>
    <row r="188">
      <c r="A188" t="inlineStr">
        <is>
          <t>MH-DC-002-PE-T4-02</t>
        </is>
      </c>
      <c r="B188" t="inlineStr">
        <is>
          <t>PEM0</t>
        </is>
      </c>
      <c r="C188" t="inlineStr">
        <is>
          <t>MH-DC-002-RACK-A-PDU-A</t>
        </is>
      </c>
      <c r="D188" t="n">
        <v>13</v>
      </c>
      <c r="E188" t="inlineStr">
        <is>
          <t>L2</t>
        </is>
      </c>
    </row>
    <row r="189">
      <c r="A189" t="inlineStr">
        <is>
          <t>MH-DC-002-PE-T4-02</t>
        </is>
      </c>
      <c r="B189" t="inlineStr">
        <is>
          <t>PEM1</t>
        </is>
      </c>
      <c r="C189" t="inlineStr">
        <is>
          <t>MH-DC-002-RACK-A-PDU-B</t>
        </is>
      </c>
      <c r="D189" t="n">
        <v>13</v>
      </c>
      <c r="E189" t="inlineStr">
        <is>
          <t>L2</t>
        </is>
      </c>
    </row>
    <row r="190">
      <c r="A190" t="inlineStr">
        <is>
          <t>MH-DC-002-PE-T4-03</t>
        </is>
      </c>
      <c r="B190" t="inlineStr">
        <is>
          <t>PEM0</t>
        </is>
      </c>
      <c r="C190" t="inlineStr">
        <is>
          <t>MH-DC-002-RACK-A-PDU-A</t>
        </is>
      </c>
      <c r="D190" t="n">
        <v>25</v>
      </c>
      <c r="E190" t="inlineStr">
        <is>
          <t>L3</t>
        </is>
      </c>
    </row>
    <row r="191">
      <c r="A191" t="inlineStr">
        <is>
          <t>MH-DC-002-PE-T4-03</t>
        </is>
      </c>
      <c r="B191" t="inlineStr">
        <is>
          <t>PEM1</t>
        </is>
      </c>
      <c r="C191" t="inlineStr">
        <is>
          <t>MH-DC-002-RACK-A-PDU-B</t>
        </is>
      </c>
      <c r="D191" t="n">
        <v>25</v>
      </c>
      <c r="E191" t="inlineStr">
        <is>
          <t>L3</t>
        </is>
      </c>
    </row>
    <row r="192">
      <c r="A192" t="inlineStr">
        <is>
          <t>MH-DC-002-PE-T4-04</t>
        </is>
      </c>
      <c r="B192" t="inlineStr">
        <is>
          <t>PEM0</t>
        </is>
      </c>
      <c r="C192" t="inlineStr">
        <is>
          <t>MH-DC-002-RACK-A-PDU-A</t>
        </is>
      </c>
      <c r="D192" t="n">
        <v>2</v>
      </c>
      <c r="E192" t="inlineStr">
        <is>
          <t>L1</t>
        </is>
      </c>
    </row>
    <row r="193">
      <c r="A193" t="inlineStr">
        <is>
          <t>MH-DC-002-PE-T4-04</t>
        </is>
      </c>
      <c r="B193" t="inlineStr">
        <is>
          <t>PEM1</t>
        </is>
      </c>
      <c r="C193" t="inlineStr">
        <is>
          <t>MH-DC-002-RACK-A-PDU-B</t>
        </is>
      </c>
      <c r="D193" t="n">
        <v>2</v>
      </c>
      <c r="E193" t="inlineStr">
        <is>
          <t>L1</t>
        </is>
      </c>
    </row>
    <row r="194">
      <c r="A194" t="inlineStr">
        <is>
          <t>MH-DC-002-FW-01</t>
        </is>
      </c>
      <c r="B194" t="inlineStr">
        <is>
          <t>PSU1</t>
        </is>
      </c>
      <c r="C194" t="inlineStr">
        <is>
          <t>MH-DC-002-RACK-A-PDU-A</t>
        </is>
      </c>
      <c r="D194" t="n">
        <v>14</v>
      </c>
      <c r="E194" t="inlineStr">
        <is>
          <t>L2</t>
        </is>
      </c>
    </row>
    <row r="195">
      <c r="A195" t="inlineStr">
        <is>
          <t>MH-DC-002-FW-01</t>
        </is>
      </c>
      <c r="B195" t="inlineStr">
        <is>
          <t>PSU2</t>
        </is>
      </c>
      <c r="C195" t="inlineStr">
        <is>
          <t>MH-DC-002-RACK-A-PDU-B</t>
        </is>
      </c>
      <c r="D195" t="n">
        <v>14</v>
      </c>
      <c r="E195" t="inlineStr">
        <is>
          <t>L2</t>
        </is>
      </c>
    </row>
    <row r="196">
      <c r="A196" t="inlineStr">
        <is>
          <t>MH-DC-002-OLA-01</t>
        </is>
      </c>
      <c r="B196" t="inlineStr">
        <is>
          <t>PSU1</t>
        </is>
      </c>
      <c r="C196" t="inlineStr">
        <is>
          <t>MH-DC-002-RACK-A-PDU-A</t>
        </is>
      </c>
      <c r="D196" t="n">
        <v>26</v>
      </c>
      <c r="E196" t="inlineStr">
        <is>
          <t>L3</t>
        </is>
      </c>
    </row>
    <row r="197">
      <c r="A197" t="inlineStr">
        <is>
          <t>MH-DC-002-OLA-01</t>
        </is>
      </c>
      <c r="B197" t="inlineStr">
        <is>
          <t>PSU2</t>
        </is>
      </c>
      <c r="C197" t="inlineStr">
        <is>
          <t>MH-DC-002-RACK-A-PDU-B</t>
        </is>
      </c>
      <c r="D197" t="n">
        <v>26</v>
      </c>
      <c r="E197" t="inlineStr">
        <is>
          <t>L3</t>
        </is>
      </c>
    </row>
    <row r="198">
      <c r="A198" t="inlineStr">
        <is>
          <t>MH-DC-002-AGG-R01</t>
        </is>
      </c>
      <c r="B198" t="inlineStr">
        <is>
          <t>PEM0</t>
        </is>
      </c>
      <c r="C198" t="inlineStr">
        <is>
          <t>MH-DC-002-RACK-A-PDU-A</t>
        </is>
      </c>
      <c r="D198" t="n">
        <v>3</v>
      </c>
      <c r="E198" t="inlineStr">
        <is>
          <t>L1</t>
        </is>
      </c>
    </row>
    <row r="199">
      <c r="A199" t="inlineStr">
        <is>
          <t>MH-DC-002-AGG-R01</t>
        </is>
      </c>
      <c r="B199" t="inlineStr">
        <is>
          <t>PEM1</t>
        </is>
      </c>
      <c r="C199" t="inlineStr">
        <is>
          <t>MH-DC-002-RACK-A-PDU-B</t>
        </is>
      </c>
      <c r="D199" t="n">
        <v>3</v>
      </c>
      <c r="E199" t="inlineStr">
        <is>
          <t>L1</t>
        </is>
      </c>
    </row>
    <row r="200">
      <c r="A200" t="inlineStr">
        <is>
          <t>MH-DC-002-AGG-R02</t>
        </is>
      </c>
      <c r="B200" t="inlineStr">
        <is>
          <t>PEM0</t>
        </is>
      </c>
      <c r="C200" t="inlineStr">
        <is>
          <t>MH-DC-002-RACK-A-PDU-A</t>
        </is>
      </c>
      <c r="D200" t="n">
        <v>15</v>
      </c>
      <c r="E200" t="inlineStr">
        <is>
          <t>L2</t>
        </is>
      </c>
    </row>
    <row r="201">
      <c r="A201" t="inlineStr">
        <is>
          <t>MH-DC-002-AGG-R02</t>
        </is>
      </c>
      <c r="B201" t="inlineStr">
        <is>
          <t>PEM1</t>
        </is>
      </c>
      <c r="C201" t="inlineStr">
        <is>
          <t>MH-DC-002-RACK-A-PDU-B</t>
        </is>
      </c>
      <c r="D201" t="n">
        <v>15</v>
      </c>
      <c r="E201" t="inlineStr">
        <is>
          <t>L2</t>
        </is>
      </c>
    </row>
    <row r="202">
      <c r="A202" t="inlineStr">
        <is>
          <t>MH-DC-002-MMR-SW-01</t>
        </is>
      </c>
      <c r="B202" t="inlineStr">
        <is>
          <t>PSU1</t>
        </is>
      </c>
      <c r="C202" t="inlineStr">
        <is>
          <t>MH-DC-002-RACK-A-PDU-A</t>
        </is>
      </c>
      <c r="D202" t="n">
        <v>27</v>
      </c>
      <c r="E202" t="inlineStr">
        <is>
          <t>L3</t>
        </is>
      </c>
    </row>
    <row r="203">
      <c r="A203" t="inlineStr">
        <is>
          <t>MH-DC-002-MMR-SW-01</t>
        </is>
      </c>
      <c r="B203" t="inlineStr">
        <is>
          <t>PSU2</t>
        </is>
      </c>
      <c r="C203" t="inlineStr">
        <is>
          <t>MH-DC-002-RACK-A-PDU-B</t>
        </is>
      </c>
      <c r="D203" t="n">
        <v>27</v>
      </c>
      <c r="E203" t="inlineStr">
        <is>
          <t>L3</t>
        </is>
      </c>
    </row>
    <row r="204">
      <c r="A204" t="inlineStr">
        <is>
          <t>MH-DC-002-MMR-SW-02</t>
        </is>
      </c>
      <c r="B204" t="inlineStr">
        <is>
          <t>PSU1</t>
        </is>
      </c>
      <c r="C204" t="inlineStr">
        <is>
          <t>MH-DC-002-RACK-A-PDU-A</t>
        </is>
      </c>
      <c r="D204" t="n">
        <v>4</v>
      </c>
      <c r="E204" t="inlineStr">
        <is>
          <t>L1</t>
        </is>
      </c>
    </row>
    <row r="205">
      <c r="A205" t="inlineStr">
        <is>
          <t>MH-DC-002-MMR-SW-02</t>
        </is>
      </c>
      <c r="B205" t="inlineStr">
        <is>
          <t>PSU2</t>
        </is>
      </c>
      <c r="C205" t="inlineStr">
        <is>
          <t>MH-DC-002-RACK-A-PDU-B</t>
        </is>
      </c>
      <c r="D205" t="n">
        <v>4</v>
      </c>
      <c r="E205" t="inlineStr">
        <is>
          <t>L1</t>
        </is>
      </c>
    </row>
    <row r="206">
      <c r="A206" t="inlineStr">
        <is>
          <t>MH-DC-002-MMR-SW-03</t>
        </is>
      </c>
      <c r="B206" t="inlineStr">
        <is>
          <t>PSU1</t>
        </is>
      </c>
      <c r="C206" t="inlineStr">
        <is>
          <t>MH-DC-002-RACK-A-PDU-A</t>
        </is>
      </c>
      <c r="D206" t="n">
        <v>16</v>
      </c>
      <c r="E206" t="inlineStr">
        <is>
          <t>L2</t>
        </is>
      </c>
    </row>
    <row r="207">
      <c r="A207" t="inlineStr">
        <is>
          <t>MH-DC-002-MMR-SW-03</t>
        </is>
      </c>
      <c r="B207" t="inlineStr">
        <is>
          <t>PSU2</t>
        </is>
      </c>
      <c r="C207" t="inlineStr">
        <is>
          <t>MH-DC-002-RACK-A-PDU-B</t>
        </is>
      </c>
      <c r="D207" t="n">
        <v>16</v>
      </c>
      <c r="E207" t="inlineStr">
        <is>
          <t>L2</t>
        </is>
      </c>
    </row>
    <row r="208">
      <c r="A208" t="inlineStr">
        <is>
          <t>MH-DC-002-MMR-SW-04</t>
        </is>
      </c>
      <c r="B208" t="inlineStr">
        <is>
          <t>PSU1</t>
        </is>
      </c>
      <c r="C208" t="inlineStr">
        <is>
          <t>MH-DC-002-RACK-A-PDU-A</t>
        </is>
      </c>
      <c r="D208" t="n">
        <v>28</v>
      </c>
      <c r="E208" t="inlineStr">
        <is>
          <t>L3</t>
        </is>
      </c>
    </row>
    <row r="209">
      <c r="A209" t="inlineStr">
        <is>
          <t>MH-DC-002-MMR-SW-04</t>
        </is>
      </c>
      <c r="B209" t="inlineStr">
        <is>
          <t>PSU2</t>
        </is>
      </c>
      <c r="C209" t="inlineStr">
        <is>
          <t>MH-DC-002-RACK-A-PDU-A</t>
        </is>
      </c>
      <c r="D209" t="n">
        <v>5</v>
      </c>
      <c r="E209" t="inlineStr">
        <is>
          <t>L1</t>
        </is>
      </c>
    </row>
    <row r="210">
      <c r="A210" t="inlineStr">
        <is>
          <t>MH-DC-002-TOR-001</t>
        </is>
      </c>
      <c r="B210" t="inlineStr">
        <is>
          <t>PSU1</t>
        </is>
      </c>
      <c r="C210" t="inlineStr">
        <is>
          <t>MH-DC-002-RACK-A-PDU-A</t>
        </is>
      </c>
      <c r="D210" t="n">
        <v>17</v>
      </c>
      <c r="E210" t="inlineStr">
        <is>
          <t>L2</t>
        </is>
      </c>
    </row>
    <row r="211">
      <c r="A211" t="inlineStr">
        <is>
          <t>MH-DC-002-TOR-001</t>
        </is>
      </c>
      <c r="B211" t="inlineStr">
        <is>
          <t>PSU2</t>
        </is>
      </c>
      <c r="C211" t="inlineStr">
        <is>
          <t>MH-DC-002-RACK-A-PDU-B</t>
        </is>
      </c>
      <c r="D211" t="n">
        <v>28</v>
      </c>
      <c r="E211" t="inlineStr">
        <is>
          <t>L3</t>
        </is>
      </c>
    </row>
    <row r="212">
      <c r="A212" t="inlineStr">
        <is>
          <t>MH-DC-002-TOR-002</t>
        </is>
      </c>
      <c r="B212" t="inlineStr">
        <is>
          <t>PSU1</t>
        </is>
      </c>
      <c r="C212" t="inlineStr">
        <is>
          <t>MH-DC-002-RACK-A-PDU-A</t>
        </is>
      </c>
      <c r="D212" t="n">
        <v>29</v>
      </c>
      <c r="E212" t="inlineStr">
        <is>
          <t>L3</t>
        </is>
      </c>
    </row>
    <row r="213">
      <c r="A213" t="inlineStr">
        <is>
          <t>MH-DC-002-TOR-002</t>
        </is>
      </c>
      <c r="B213" t="inlineStr">
        <is>
          <t>PSU2</t>
        </is>
      </c>
      <c r="C213" t="inlineStr">
        <is>
          <t>MH-DC-002-RACK-A-PDU-B</t>
        </is>
      </c>
      <c r="D213" t="n">
        <v>5</v>
      </c>
      <c r="E213" t="inlineStr">
        <is>
          <t>L1</t>
        </is>
      </c>
    </row>
    <row r="214">
      <c r="A214" t="inlineStr">
        <is>
          <t>MH-DC-002-TOR-003</t>
        </is>
      </c>
      <c r="B214" t="inlineStr">
        <is>
          <t>PSU1</t>
        </is>
      </c>
      <c r="C214" t="inlineStr">
        <is>
          <t>MH-DC-002-RACK-A-PDU-A</t>
        </is>
      </c>
      <c r="D214" t="n">
        <v>6</v>
      </c>
      <c r="E214" t="inlineStr">
        <is>
          <t>L1</t>
        </is>
      </c>
    </row>
    <row r="215">
      <c r="A215" t="inlineStr">
        <is>
          <t>MH-DC-002-TOR-003</t>
        </is>
      </c>
      <c r="B215" t="inlineStr">
        <is>
          <t>PSU2</t>
        </is>
      </c>
      <c r="C215" t="inlineStr">
        <is>
          <t>MH-DC-002-RACK-A-PDU-B</t>
        </is>
      </c>
      <c r="D215" t="n">
        <v>17</v>
      </c>
      <c r="E215" t="inlineStr">
        <is>
          <t>L2</t>
        </is>
      </c>
    </row>
    <row r="216">
      <c r="A216" t="inlineStr">
        <is>
          <t>MH-DC-002-TN-001</t>
        </is>
      </c>
      <c r="B216" t="inlineStr">
        <is>
          <t>Feed A</t>
        </is>
      </c>
      <c r="C216" t="inlineStr">
        <is>
          <t>MH-DC-002-RACK-B-PDU-A</t>
        </is>
      </c>
      <c r="D216" t="n">
        <v>1</v>
      </c>
      <c r="E216" t="inlineStr">
        <is>
          <t>L1</t>
        </is>
      </c>
    </row>
    <row r="217">
      <c r="A217" t="inlineStr">
        <is>
          <t>MH-DC-002-TN-001</t>
        </is>
      </c>
      <c r="B217" t="inlineStr">
        <is>
          <t>Feed B</t>
        </is>
      </c>
      <c r="C217" t="inlineStr">
        <is>
          <t>MH-DC-002-RACK-B-PDU-B</t>
        </is>
      </c>
      <c r="D217" t="n">
        <v>1</v>
      </c>
      <c r="E217" t="inlineStr">
        <is>
          <t>L1</t>
        </is>
      </c>
    </row>
    <row r="218">
      <c r="A218" t="inlineStr">
        <is>
          <t>MH-DC-002-TN-002</t>
        </is>
      </c>
      <c r="B218" t="inlineStr">
        <is>
          <t>Feed A</t>
        </is>
      </c>
      <c r="C218" t="inlineStr">
        <is>
          <t>MH-DC-002-RACK-B-PDU-A</t>
        </is>
      </c>
      <c r="D218" t="n">
        <v>17</v>
      </c>
      <c r="E218" t="inlineStr">
        <is>
          <t>L2</t>
        </is>
      </c>
    </row>
    <row r="219">
      <c r="A219" t="inlineStr">
        <is>
          <t>MH-DC-002-TN-002</t>
        </is>
      </c>
      <c r="B219" t="inlineStr">
        <is>
          <t>Feed B</t>
        </is>
      </c>
      <c r="C219" t="inlineStr">
        <is>
          <t>MH-DC-002-RACK-B-PDU-B</t>
        </is>
      </c>
      <c r="D219" t="n">
        <v>17</v>
      </c>
      <c r="E219" t="inlineStr">
        <is>
          <t>L2</t>
        </is>
      </c>
    </row>
    <row r="220">
      <c r="A220" t="inlineStr">
        <is>
          <t>MH-DC-002-TN-003</t>
        </is>
      </c>
      <c r="B220" t="inlineStr">
        <is>
          <t>Feed A</t>
        </is>
      </c>
      <c r="C220" t="inlineStr">
        <is>
          <t>MH-DC-002-RACK-B-PDU-A</t>
        </is>
      </c>
      <c r="D220" t="n">
        <v>33</v>
      </c>
      <c r="E220" t="inlineStr">
        <is>
          <t>L3</t>
        </is>
      </c>
    </row>
    <row r="221">
      <c r="A221" t="inlineStr">
        <is>
          <t>MH-DC-002-TN-003</t>
        </is>
      </c>
      <c r="B221" t="inlineStr">
        <is>
          <t>Feed B</t>
        </is>
      </c>
      <c r="C221" t="inlineStr">
        <is>
          <t>MH-DC-002-RACK-B-PDU-B</t>
        </is>
      </c>
      <c r="D221" t="n">
        <v>33</v>
      </c>
      <c r="E221" t="inlineStr">
        <is>
          <t>L3</t>
        </is>
      </c>
    </row>
    <row r="222">
      <c r="A222" t="inlineStr">
        <is>
          <t>MH-DC-002-TN-004</t>
        </is>
      </c>
      <c r="B222" t="inlineStr">
        <is>
          <t>Feed A</t>
        </is>
      </c>
      <c r="C222" t="inlineStr">
        <is>
          <t>MH-DC-002-RACK-B-PDU-A</t>
        </is>
      </c>
      <c r="D222" t="n">
        <v>2</v>
      </c>
      <c r="E222" t="inlineStr">
        <is>
          <t>L1</t>
        </is>
      </c>
    </row>
    <row r="223">
      <c r="A223" t="inlineStr">
        <is>
          <t>MH-DC-002-TN-004</t>
        </is>
      </c>
      <c r="B223" t="inlineStr">
        <is>
          <t>Feed B</t>
        </is>
      </c>
      <c r="C223" t="inlineStr">
        <is>
          <t>MH-DC-002-RACK-B-PDU-B</t>
        </is>
      </c>
      <c r="D223" t="n">
        <v>2</v>
      </c>
      <c r="E223" t="inlineStr">
        <is>
          <t>L1</t>
        </is>
      </c>
    </row>
    <row r="224">
      <c r="A224" t="inlineStr">
        <is>
          <t>MH-DC-002-TN-005</t>
        </is>
      </c>
      <c r="B224" t="inlineStr">
        <is>
          <t>Feed A</t>
        </is>
      </c>
      <c r="C224" t="inlineStr">
        <is>
          <t>MH-DC-002-RACK-B-PDU-A</t>
        </is>
      </c>
      <c r="D224" t="n">
        <v>18</v>
      </c>
      <c r="E224" t="inlineStr">
        <is>
          <t>L2</t>
        </is>
      </c>
    </row>
    <row r="225">
      <c r="A225" t="inlineStr">
        <is>
          <t>MH-DC-002-TN-005</t>
        </is>
      </c>
      <c r="B225" t="inlineStr">
        <is>
          <t>Feed B</t>
        </is>
      </c>
      <c r="C225" t="inlineStr">
        <is>
          <t>MH-DC-002-RACK-B-PDU-B</t>
        </is>
      </c>
      <c r="D225" t="n">
        <v>18</v>
      </c>
      <c r="E225" t="inlineStr">
        <is>
          <t>L2</t>
        </is>
      </c>
    </row>
    <row r="226">
      <c r="A226" t="inlineStr">
        <is>
          <t>MH-DC-002-TN-006</t>
        </is>
      </c>
      <c r="B226" t="inlineStr">
        <is>
          <t>Feed A</t>
        </is>
      </c>
      <c r="C226" t="inlineStr">
        <is>
          <t>MH-DC-002-RACK-B-PDU-A</t>
        </is>
      </c>
      <c r="D226" t="n">
        <v>34</v>
      </c>
      <c r="E226" t="inlineStr">
        <is>
          <t>L3</t>
        </is>
      </c>
    </row>
    <row r="227">
      <c r="A227" t="inlineStr">
        <is>
          <t>MH-DC-002-TN-006</t>
        </is>
      </c>
      <c r="B227" t="inlineStr">
        <is>
          <t>Feed B</t>
        </is>
      </c>
      <c r="C227" t="inlineStr">
        <is>
          <t>MH-DC-002-RACK-B-PDU-B</t>
        </is>
      </c>
      <c r="D227" t="n">
        <v>34</v>
      </c>
      <c r="E227" t="inlineStr">
        <is>
          <t>L3</t>
        </is>
      </c>
    </row>
    <row r="228">
      <c r="A228" t="inlineStr">
        <is>
          <t>MH-DC-002-TN-007</t>
        </is>
      </c>
      <c r="B228" t="inlineStr">
        <is>
          <t>Feed A</t>
        </is>
      </c>
      <c r="C228" t="inlineStr">
        <is>
          <t>MH-DC-002-RACK-C-PDU-A</t>
        </is>
      </c>
      <c r="D228" t="n">
        <v>1</v>
      </c>
      <c r="E228" t="inlineStr">
        <is>
          <t>L1</t>
        </is>
      </c>
    </row>
    <row r="229">
      <c r="A229" t="inlineStr">
        <is>
          <t>MH-DC-002-TN-007</t>
        </is>
      </c>
      <c r="B229" t="inlineStr">
        <is>
          <t>Feed B</t>
        </is>
      </c>
      <c r="C229" t="inlineStr">
        <is>
          <t>MH-DC-002-RACK-C-PDU-B</t>
        </is>
      </c>
      <c r="D229" t="n">
        <v>1</v>
      </c>
      <c r="E229" t="inlineStr">
        <is>
          <t>L1</t>
        </is>
      </c>
    </row>
    <row r="230">
      <c r="A230" t="inlineStr">
        <is>
          <t>MH-DC-002-TN-008</t>
        </is>
      </c>
      <c r="B230" t="inlineStr">
        <is>
          <t>Feed A</t>
        </is>
      </c>
      <c r="C230" t="inlineStr">
        <is>
          <t>MH-DC-002-RACK-C-PDU-A</t>
        </is>
      </c>
      <c r="D230" t="n">
        <v>17</v>
      </c>
      <c r="E230" t="inlineStr">
        <is>
          <t>L2</t>
        </is>
      </c>
    </row>
    <row r="231">
      <c r="A231" t="inlineStr">
        <is>
          <t>MH-DC-002-TN-008</t>
        </is>
      </c>
      <c r="B231" t="inlineStr">
        <is>
          <t>Feed B</t>
        </is>
      </c>
      <c r="C231" t="inlineStr">
        <is>
          <t>MH-DC-002-RACK-C-PDU-B</t>
        </is>
      </c>
      <c r="D231" t="n">
        <v>17</v>
      </c>
      <c r="E231" t="inlineStr">
        <is>
          <t>L2</t>
        </is>
      </c>
    </row>
    <row r="232">
      <c r="A232" t="inlineStr">
        <is>
          <t>MH-DC-002-TN-009</t>
        </is>
      </c>
      <c r="B232" t="inlineStr">
        <is>
          <t>Feed A</t>
        </is>
      </c>
      <c r="C232" t="inlineStr">
        <is>
          <t>MH-DC-002-RACK-C-PDU-A</t>
        </is>
      </c>
      <c r="D232" t="n">
        <v>33</v>
      </c>
      <c r="E232" t="inlineStr">
        <is>
          <t>L3</t>
        </is>
      </c>
    </row>
    <row r="233">
      <c r="A233" t="inlineStr">
        <is>
          <t>MH-DC-002-TN-009</t>
        </is>
      </c>
      <c r="B233" t="inlineStr">
        <is>
          <t>Feed B</t>
        </is>
      </c>
      <c r="C233" t="inlineStr">
        <is>
          <t>MH-DC-002-RACK-C-PDU-B</t>
        </is>
      </c>
      <c r="D233" t="n">
        <v>33</v>
      </c>
      <c r="E233" t="inlineStr">
        <is>
          <t>L3</t>
        </is>
      </c>
    </row>
    <row r="234">
      <c r="A234" t="inlineStr">
        <is>
          <t>MH-DC-002-TN-010</t>
        </is>
      </c>
      <c r="B234" t="inlineStr">
        <is>
          <t>Feed A</t>
        </is>
      </c>
      <c r="C234" t="inlineStr">
        <is>
          <t>MH-DC-002-RACK-C-PDU-A</t>
        </is>
      </c>
      <c r="D234" t="n">
        <v>2</v>
      </c>
      <c r="E234" t="inlineStr">
        <is>
          <t>L1</t>
        </is>
      </c>
    </row>
    <row r="235">
      <c r="A235" t="inlineStr">
        <is>
          <t>MH-DC-002-TN-010</t>
        </is>
      </c>
      <c r="B235" t="inlineStr">
        <is>
          <t>Feed B</t>
        </is>
      </c>
      <c r="C235" t="inlineStr">
        <is>
          <t>MH-DC-002-RACK-C-PDU-B</t>
        </is>
      </c>
      <c r="D235" t="n">
        <v>2</v>
      </c>
      <c r="E235" t="inlineStr">
        <is>
          <t>L1</t>
        </is>
      </c>
    </row>
    <row r="236">
      <c r="A236" t="inlineStr">
        <is>
          <t>MH-DC-002-TN-011</t>
        </is>
      </c>
      <c r="B236" t="inlineStr">
        <is>
          <t>Feed A</t>
        </is>
      </c>
      <c r="C236" t="inlineStr">
        <is>
          <t>MH-DC-002-RACK-C-PDU-A</t>
        </is>
      </c>
      <c r="D236" t="n">
        <v>18</v>
      </c>
      <c r="E236" t="inlineStr">
        <is>
          <t>L2</t>
        </is>
      </c>
    </row>
    <row r="237">
      <c r="A237" t="inlineStr">
        <is>
          <t>MH-DC-002-TN-011</t>
        </is>
      </c>
      <c r="B237" t="inlineStr">
        <is>
          <t>Feed B</t>
        </is>
      </c>
      <c r="C237" t="inlineStr">
        <is>
          <t>MH-DC-002-RACK-C-PDU-B</t>
        </is>
      </c>
      <c r="D237" t="n">
        <v>18</v>
      </c>
      <c r="E237" t="inlineStr">
        <is>
          <t>L2</t>
        </is>
      </c>
    </row>
    <row r="238">
      <c r="A238" t="inlineStr">
        <is>
          <t>MH-DC-002-TN-012</t>
        </is>
      </c>
      <c r="B238" t="inlineStr">
        <is>
          <t>Feed A</t>
        </is>
      </c>
      <c r="C238" t="inlineStr">
        <is>
          <t>MH-DC-002-RACK-D-PDU-A</t>
        </is>
      </c>
      <c r="D238" t="n">
        <v>1</v>
      </c>
      <c r="E238" t="inlineStr">
        <is>
          <t>L1</t>
        </is>
      </c>
    </row>
    <row r="239">
      <c r="A239" t="inlineStr">
        <is>
          <t>MH-DC-002-TN-012</t>
        </is>
      </c>
      <c r="B239" t="inlineStr">
        <is>
          <t>Feed B</t>
        </is>
      </c>
      <c r="C239" t="inlineStr">
        <is>
          <t>MH-DC-002-RACK-D-PDU-B</t>
        </is>
      </c>
      <c r="D239" t="n">
        <v>1</v>
      </c>
      <c r="E239" t="inlineStr">
        <is>
          <t>L1</t>
        </is>
      </c>
    </row>
    <row r="240">
      <c r="A240" t="inlineStr">
        <is>
          <t>MH-DC-002-TN-013</t>
        </is>
      </c>
      <c r="B240" t="inlineStr">
        <is>
          <t>Feed A</t>
        </is>
      </c>
      <c r="C240" t="inlineStr">
        <is>
          <t>MH-DC-002-RACK-D-PDU-A</t>
        </is>
      </c>
      <c r="D240" t="n">
        <v>13</v>
      </c>
      <c r="E240" t="inlineStr">
        <is>
          <t>L2</t>
        </is>
      </c>
    </row>
    <row r="241">
      <c r="A241" t="inlineStr">
        <is>
          <t>MH-DC-002-TN-013</t>
        </is>
      </c>
      <c r="B241" t="inlineStr">
        <is>
          <t>Feed B</t>
        </is>
      </c>
      <c r="C241" t="inlineStr">
        <is>
          <t>MH-DC-002-RACK-D-PDU-B</t>
        </is>
      </c>
      <c r="D241" t="n">
        <v>13</v>
      </c>
      <c r="E241" t="inlineStr">
        <is>
          <t>L2</t>
        </is>
      </c>
    </row>
    <row r="242">
      <c r="A242" t="inlineStr">
        <is>
          <t>MH-DC-002-TN-014</t>
        </is>
      </c>
      <c r="B242" t="inlineStr">
        <is>
          <t>Feed A</t>
        </is>
      </c>
      <c r="C242" t="inlineStr">
        <is>
          <t>MH-DC-002-RACK-D-PDU-A</t>
        </is>
      </c>
      <c r="D242" t="n">
        <v>25</v>
      </c>
      <c r="E242" t="inlineStr">
        <is>
          <t>L3</t>
        </is>
      </c>
    </row>
    <row r="243">
      <c r="A243" t="inlineStr">
        <is>
          <t>MH-DC-002-TN-014</t>
        </is>
      </c>
      <c r="B243" t="inlineStr">
        <is>
          <t>Feed B</t>
        </is>
      </c>
      <c r="C243" t="inlineStr">
        <is>
          <t>MH-DC-002-RACK-D-PDU-B</t>
        </is>
      </c>
      <c r="D243" t="n">
        <v>25</v>
      </c>
      <c r="E243" t="inlineStr">
        <is>
          <t>L3</t>
        </is>
      </c>
    </row>
    <row r="244">
      <c r="A244" t="inlineStr">
        <is>
          <t>MH-DC-002-TN-015</t>
        </is>
      </c>
      <c r="B244" t="inlineStr">
        <is>
          <t>Feed A</t>
        </is>
      </c>
      <c r="C244" t="inlineStr">
        <is>
          <t>MH-DC-002-RACK-D-PDU-A</t>
        </is>
      </c>
      <c r="D244" t="n">
        <v>2</v>
      </c>
      <c r="E244" t="inlineStr">
        <is>
          <t>L1</t>
        </is>
      </c>
    </row>
    <row r="245">
      <c r="A245" t="inlineStr">
        <is>
          <t>MH-DC-002-TN-015</t>
        </is>
      </c>
      <c r="B245" t="inlineStr">
        <is>
          <t>Feed B</t>
        </is>
      </c>
      <c r="C245" t="inlineStr">
        <is>
          <t>MH-DC-002-RACK-D-PDU-B</t>
        </is>
      </c>
      <c r="D245" t="n">
        <v>2</v>
      </c>
      <c r="E245" t="inlineStr">
        <is>
          <t>L1</t>
        </is>
      </c>
    </row>
    <row r="246">
      <c r="A246" t="inlineStr">
        <is>
          <t>MH-DC-002-TN-016</t>
        </is>
      </c>
      <c r="B246" t="inlineStr">
        <is>
          <t>Feed A</t>
        </is>
      </c>
      <c r="C246" t="inlineStr">
        <is>
          <t>MH-DC-002-RACK-E-PDU-A</t>
        </is>
      </c>
      <c r="D246" t="n">
        <v>1</v>
      </c>
      <c r="E246" t="inlineStr">
        <is>
          <t>L1</t>
        </is>
      </c>
    </row>
    <row r="247">
      <c r="A247" t="inlineStr">
        <is>
          <t>MH-DC-002-TN-016</t>
        </is>
      </c>
      <c r="B247" t="inlineStr">
        <is>
          <t>Feed B</t>
        </is>
      </c>
      <c r="C247" t="inlineStr">
        <is>
          <t>MH-DC-002-RACK-E-PDU-B</t>
        </is>
      </c>
      <c r="D247" t="n">
        <v>1</v>
      </c>
      <c r="E247" t="inlineStr">
        <is>
          <t>L1</t>
        </is>
      </c>
    </row>
    <row r="248">
      <c r="A248" t="inlineStr">
        <is>
          <t>MH-DC-002-TN-017</t>
        </is>
      </c>
      <c r="B248" t="inlineStr">
        <is>
          <t>Feed A</t>
        </is>
      </c>
      <c r="C248" t="inlineStr">
        <is>
          <t>MH-DC-002-RACK-E-PDU-A</t>
        </is>
      </c>
      <c r="D248" t="n">
        <v>13</v>
      </c>
      <c r="E248" t="inlineStr">
        <is>
          <t>L2</t>
        </is>
      </c>
    </row>
    <row r="249">
      <c r="A249" t="inlineStr">
        <is>
          <t>MH-DC-002-TN-017</t>
        </is>
      </c>
      <c r="B249" t="inlineStr">
        <is>
          <t>Feed B</t>
        </is>
      </c>
      <c r="C249" t="inlineStr">
        <is>
          <t>MH-DC-002-RACK-E-PDU-B</t>
        </is>
      </c>
      <c r="D249" t="n">
        <v>13</v>
      </c>
      <c r="E249" t="inlineStr">
        <is>
          <t>L2</t>
        </is>
      </c>
    </row>
    <row r="250">
      <c r="A250" t="inlineStr">
        <is>
          <t>MH-DC-002-TN-018</t>
        </is>
      </c>
      <c r="B250" t="inlineStr">
        <is>
          <t>Feed A</t>
        </is>
      </c>
      <c r="C250" t="inlineStr">
        <is>
          <t>MH-DC-002-RACK-E-PDU-A</t>
        </is>
      </c>
      <c r="D250" t="n">
        <v>25</v>
      </c>
      <c r="E250" t="inlineStr">
        <is>
          <t>L3</t>
        </is>
      </c>
    </row>
    <row r="251">
      <c r="A251" t="inlineStr">
        <is>
          <t>MH-DC-002-TN-018</t>
        </is>
      </c>
      <c r="B251" t="inlineStr">
        <is>
          <t>Feed B</t>
        </is>
      </c>
      <c r="C251" t="inlineStr">
        <is>
          <t>MH-DC-002-RACK-E-PDU-B</t>
        </is>
      </c>
      <c r="D251" t="n">
        <v>25</v>
      </c>
      <c r="E251" t="inlineStr">
        <is>
          <t>L3</t>
        </is>
      </c>
    </row>
    <row r="252">
      <c r="A252" t="inlineStr">
        <is>
          <t>MH-DC-002-TN-019</t>
        </is>
      </c>
      <c r="B252" t="inlineStr">
        <is>
          <t>Feed A</t>
        </is>
      </c>
      <c r="C252" t="inlineStr">
        <is>
          <t>MH-DC-002-RACK-E-PDU-A</t>
        </is>
      </c>
      <c r="D252" t="n">
        <v>2</v>
      </c>
      <c r="E252" t="inlineStr">
        <is>
          <t>L1</t>
        </is>
      </c>
    </row>
    <row r="253">
      <c r="A253" t="inlineStr">
        <is>
          <t>MH-DC-002-TN-019</t>
        </is>
      </c>
      <c r="B253" t="inlineStr">
        <is>
          <t>Feed B</t>
        </is>
      </c>
      <c r="C253" t="inlineStr">
        <is>
          <t>MH-DC-002-RACK-E-PDU-B</t>
        </is>
      </c>
      <c r="D253" t="n">
        <v>2</v>
      </c>
      <c r="E253" t="inlineStr">
        <is>
          <t>L1</t>
        </is>
      </c>
    </row>
    <row r="254">
      <c r="A254" t="inlineStr">
        <is>
          <t>MH-DC-002-TN-020</t>
        </is>
      </c>
      <c r="B254" t="inlineStr">
        <is>
          <t>Feed A</t>
        </is>
      </c>
      <c r="C254" t="inlineStr">
        <is>
          <t>MH-DC-002-RACK-E-PDU-A</t>
        </is>
      </c>
      <c r="D254" t="n">
        <v>14</v>
      </c>
      <c r="E254" t="inlineStr">
        <is>
          <t>L2</t>
        </is>
      </c>
    </row>
    <row r="255">
      <c r="A255" t="inlineStr">
        <is>
          <t>MH-DC-002-TN-020</t>
        </is>
      </c>
      <c r="B255" t="inlineStr">
        <is>
          <t>Feed B</t>
        </is>
      </c>
      <c r="C255" t="inlineStr">
        <is>
          <t>MH-DC-002-RACK-E-PDU-B</t>
        </is>
      </c>
      <c r="D255" t="n">
        <v>14</v>
      </c>
      <c r="E255" t="inlineStr">
        <is>
          <t>L2</t>
        </is>
      </c>
    </row>
    <row r="256">
      <c r="A256" t="inlineStr">
        <is>
          <t>MH-DC-002-TN-021</t>
        </is>
      </c>
      <c r="B256" t="inlineStr">
        <is>
          <t>Feed A</t>
        </is>
      </c>
      <c r="C256" t="inlineStr">
        <is>
          <t>MH-DC-002-RACK-F-PDU-A</t>
        </is>
      </c>
      <c r="D256" t="n">
        <v>1</v>
      </c>
      <c r="E256" t="inlineStr">
        <is>
          <t>L1</t>
        </is>
      </c>
    </row>
    <row r="257">
      <c r="A257" t="inlineStr">
        <is>
          <t>MH-DC-002-TN-021</t>
        </is>
      </c>
      <c r="B257" t="inlineStr">
        <is>
          <t>Feed B</t>
        </is>
      </c>
      <c r="C257" t="inlineStr">
        <is>
          <t>MH-DC-002-RACK-F-PDU-B</t>
        </is>
      </c>
      <c r="D257" t="n">
        <v>1</v>
      </c>
      <c r="E257" t="inlineStr">
        <is>
          <t>L1</t>
        </is>
      </c>
    </row>
    <row r="258">
      <c r="A258" t="inlineStr">
        <is>
          <t>MH-DC-002-TN-022</t>
        </is>
      </c>
      <c r="B258" t="inlineStr">
        <is>
          <t>Feed A</t>
        </is>
      </c>
      <c r="C258" t="inlineStr">
        <is>
          <t>MH-DC-002-RACK-F-PDU-A</t>
        </is>
      </c>
      <c r="D258" t="n">
        <v>13</v>
      </c>
      <c r="E258" t="inlineStr">
        <is>
          <t>L2</t>
        </is>
      </c>
    </row>
    <row r="259">
      <c r="A259" t="inlineStr">
        <is>
          <t>MH-DC-002-TN-022</t>
        </is>
      </c>
      <c r="B259" t="inlineStr">
        <is>
          <t>Feed B</t>
        </is>
      </c>
      <c r="C259" t="inlineStr">
        <is>
          <t>MH-DC-002-RACK-F-PDU-B</t>
        </is>
      </c>
      <c r="D259" t="n">
        <v>13</v>
      </c>
      <c r="E259" t="inlineStr">
        <is>
          <t>L2</t>
        </is>
      </c>
    </row>
    <row r="260">
      <c r="A260" t="inlineStr">
        <is>
          <t>MH-DC-002-TN-023</t>
        </is>
      </c>
      <c r="B260" t="inlineStr">
        <is>
          <t>Feed A</t>
        </is>
      </c>
      <c r="C260" t="inlineStr">
        <is>
          <t>MH-DC-002-RACK-F-PDU-A</t>
        </is>
      </c>
      <c r="D260" t="n">
        <v>25</v>
      </c>
      <c r="E260" t="inlineStr">
        <is>
          <t>L3</t>
        </is>
      </c>
    </row>
    <row r="261">
      <c r="A261" t="inlineStr">
        <is>
          <t>MH-DC-002-TN-023</t>
        </is>
      </c>
      <c r="B261" t="inlineStr">
        <is>
          <t>Feed B</t>
        </is>
      </c>
      <c r="C261" t="inlineStr">
        <is>
          <t>MH-DC-002-RACK-F-PDU-B</t>
        </is>
      </c>
      <c r="D261" t="n">
        <v>25</v>
      </c>
      <c r="E261" t="inlineStr">
        <is>
          <t>L3</t>
        </is>
      </c>
    </row>
    <row r="262">
      <c r="A262" t="inlineStr">
        <is>
          <t>MH-DC-002-TN-024</t>
        </is>
      </c>
      <c r="B262" t="inlineStr">
        <is>
          <t>Feed A</t>
        </is>
      </c>
      <c r="C262" t="inlineStr">
        <is>
          <t>MH-DC-002-RACK-F-PDU-A</t>
        </is>
      </c>
      <c r="D262" t="n">
        <v>2</v>
      </c>
      <c r="E262" t="inlineStr">
        <is>
          <t>L1</t>
        </is>
      </c>
    </row>
    <row r="263">
      <c r="A263" t="inlineStr">
        <is>
          <t>MH-DC-002-TN-024</t>
        </is>
      </c>
      <c r="B263" t="inlineStr">
        <is>
          <t>Feed B</t>
        </is>
      </c>
      <c r="C263" t="inlineStr">
        <is>
          <t>MH-DC-002-RACK-F-PDU-B</t>
        </is>
      </c>
      <c r="D263" t="n">
        <v>2</v>
      </c>
      <c r="E263" t="inlineStr">
        <is>
          <t>L1</t>
        </is>
      </c>
    </row>
    <row r="264">
      <c r="A264" t="inlineStr">
        <is>
          <t>MH-DC-002-TN-025</t>
        </is>
      </c>
      <c r="B264" t="inlineStr">
        <is>
          <t>Feed A</t>
        </is>
      </c>
      <c r="C264" t="inlineStr">
        <is>
          <t>MH-DC-002-RACK-F-PDU-A</t>
        </is>
      </c>
      <c r="D264" t="n">
        <v>14</v>
      </c>
      <c r="E264" t="inlineStr">
        <is>
          <t>L2</t>
        </is>
      </c>
    </row>
    <row r="265">
      <c r="A265" t="inlineStr">
        <is>
          <t>MH-DC-002-TN-025</t>
        </is>
      </c>
      <c r="B265" t="inlineStr">
        <is>
          <t>Feed B</t>
        </is>
      </c>
      <c r="C265" t="inlineStr">
        <is>
          <t>MH-DC-002-RACK-F-PDU-B</t>
        </is>
      </c>
      <c r="D265" t="n">
        <v>14</v>
      </c>
      <c r="E265" t="inlineStr">
        <is>
          <t>L2</t>
        </is>
      </c>
    </row>
    <row r="266">
      <c r="A266" t="inlineStr">
        <is>
          <t>MH-DC-002-TN-026</t>
        </is>
      </c>
      <c r="B266" t="inlineStr">
        <is>
          <t>Feed A</t>
        </is>
      </c>
      <c r="C266" t="inlineStr">
        <is>
          <t>MH-DC-002-RACK-F-PDU-A</t>
        </is>
      </c>
      <c r="D266" t="n">
        <v>26</v>
      </c>
      <c r="E266" t="inlineStr">
        <is>
          <t>L3</t>
        </is>
      </c>
    </row>
    <row r="267">
      <c r="A267" t="inlineStr">
        <is>
          <t>MH-DC-002-TN-026</t>
        </is>
      </c>
      <c r="B267" t="inlineStr">
        <is>
          <t>Feed B</t>
        </is>
      </c>
      <c r="C267" t="inlineStr">
        <is>
          <t>MH-DC-002-RACK-F-PDU-B</t>
        </is>
      </c>
      <c r="D267" t="n">
        <v>26</v>
      </c>
      <c r="E267" t="inlineStr">
        <is>
          <t>L3</t>
        </is>
      </c>
    </row>
    <row r="268">
      <c r="A268" t="inlineStr">
        <is>
          <t>MH-DC-002-TN-027</t>
        </is>
      </c>
      <c r="B268" t="inlineStr">
        <is>
          <t>Feed A</t>
        </is>
      </c>
      <c r="C268" t="inlineStr">
        <is>
          <t>MH-DC-002-RACK-F-PDU-A</t>
        </is>
      </c>
      <c r="D268" t="n">
        <v>3</v>
      </c>
      <c r="E268" t="inlineStr">
        <is>
          <t>L1</t>
        </is>
      </c>
    </row>
    <row r="269">
      <c r="A269" t="inlineStr">
        <is>
          <t>MH-DC-002-TN-027</t>
        </is>
      </c>
      <c r="B269" t="inlineStr">
        <is>
          <t>Feed B</t>
        </is>
      </c>
      <c r="C269" t="inlineStr">
        <is>
          <t>MH-DC-002-RACK-F-PDU-B</t>
        </is>
      </c>
      <c r="D269" t="n">
        <v>3</v>
      </c>
      <c r="E269" t="inlineStr">
        <is>
          <t>L1</t>
        </is>
      </c>
    </row>
    <row r="270">
      <c r="A270" t="inlineStr">
        <is>
          <t>MH-DC-002-TN-028</t>
        </is>
      </c>
      <c r="B270" t="inlineStr">
        <is>
          <t>Feed A</t>
        </is>
      </c>
      <c r="C270" t="inlineStr">
        <is>
          <t>MH-DC-002-RACK-F-PDU-A</t>
        </is>
      </c>
      <c r="D270" t="n">
        <v>15</v>
      </c>
      <c r="E270" t="inlineStr">
        <is>
          <t>L2</t>
        </is>
      </c>
    </row>
    <row r="271">
      <c r="A271" t="inlineStr">
        <is>
          <t>MH-DC-002-TN-028</t>
        </is>
      </c>
      <c r="B271" t="inlineStr">
        <is>
          <t>Feed B</t>
        </is>
      </c>
      <c r="C271" t="inlineStr">
        <is>
          <t>MH-DC-002-RACK-F-PDU-B</t>
        </is>
      </c>
      <c r="D271" t="n">
        <v>15</v>
      </c>
      <c r="E271" t="inlineStr">
        <is>
          <t>L2</t>
        </is>
      </c>
    </row>
    <row r="272">
      <c r="A272" t="inlineStr">
        <is>
          <t>MH-DC-002-TN-029</t>
        </is>
      </c>
      <c r="B272" t="inlineStr">
        <is>
          <t>Feed A</t>
        </is>
      </c>
      <c r="C272" t="inlineStr">
        <is>
          <t>MH-DC-002-RACK-G-PDU-A</t>
        </is>
      </c>
      <c r="D272" t="n">
        <v>1</v>
      </c>
      <c r="E272" t="inlineStr">
        <is>
          <t>L1</t>
        </is>
      </c>
    </row>
    <row r="273">
      <c r="A273" t="inlineStr">
        <is>
          <t>MH-DC-002-TN-029</t>
        </is>
      </c>
      <c r="B273" t="inlineStr">
        <is>
          <t>Feed B</t>
        </is>
      </c>
      <c r="C273" t="inlineStr">
        <is>
          <t>MH-DC-002-RACK-G-PDU-B</t>
        </is>
      </c>
      <c r="D273" t="n">
        <v>1</v>
      </c>
      <c r="E273" t="inlineStr">
        <is>
          <t>L1</t>
        </is>
      </c>
    </row>
    <row r="274">
      <c r="A274" t="inlineStr">
        <is>
          <t>MH-DC-002-TN-030</t>
        </is>
      </c>
      <c r="B274" t="inlineStr">
        <is>
          <t>Feed A</t>
        </is>
      </c>
      <c r="C274" t="inlineStr">
        <is>
          <t>MH-DC-002-RACK-G-PDU-A</t>
        </is>
      </c>
      <c r="D274" t="n">
        <v>13</v>
      </c>
      <c r="E274" t="inlineStr">
        <is>
          <t>L2</t>
        </is>
      </c>
    </row>
    <row r="275">
      <c r="A275" t="inlineStr">
        <is>
          <t>MH-DC-002-TN-030</t>
        </is>
      </c>
      <c r="B275" t="inlineStr">
        <is>
          <t>Feed B</t>
        </is>
      </c>
      <c r="C275" t="inlineStr">
        <is>
          <t>MH-DC-002-RACK-G-PDU-B</t>
        </is>
      </c>
      <c r="D275" t="n">
        <v>13</v>
      </c>
      <c r="E275" t="inlineStr">
        <is>
          <t>L2</t>
        </is>
      </c>
    </row>
    <row r="276">
      <c r="A276" t="inlineStr">
        <is>
          <t>MH-DC-002-TN-031</t>
        </is>
      </c>
      <c r="B276" t="inlineStr">
        <is>
          <t>Feed A</t>
        </is>
      </c>
      <c r="C276" t="inlineStr">
        <is>
          <t>MH-DC-002-RACK-G-PDU-A</t>
        </is>
      </c>
      <c r="D276" t="n">
        <v>25</v>
      </c>
      <c r="E276" t="inlineStr">
        <is>
          <t>L3</t>
        </is>
      </c>
    </row>
    <row r="277">
      <c r="A277" t="inlineStr">
        <is>
          <t>MH-DC-002-TN-031</t>
        </is>
      </c>
      <c r="B277" t="inlineStr">
        <is>
          <t>Feed B</t>
        </is>
      </c>
      <c r="C277" t="inlineStr">
        <is>
          <t>MH-DC-002-RACK-G-PDU-B</t>
        </is>
      </c>
      <c r="D277" t="n">
        <v>25</v>
      </c>
      <c r="E277" t="inlineStr">
        <is>
          <t>L3</t>
        </is>
      </c>
    </row>
    <row r="278">
      <c r="A278" t="inlineStr">
        <is>
          <t>MH-DC-002-TN-032</t>
        </is>
      </c>
      <c r="B278" t="inlineStr">
        <is>
          <t>Feed A</t>
        </is>
      </c>
      <c r="C278" t="inlineStr">
        <is>
          <t>MH-DC-002-RACK-G-PDU-A</t>
        </is>
      </c>
      <c r="D278" t="n">
        <v>2</v>
      </c>
      <c r="E278" t="inlineStr">
        <is>
          <t>L1</t>
        </is>
      </c>
    </row>
    <row r="279">
      <c r="A279" t="inlineStr">
        <is>
          <t>MH-DC-002-TN-032</t>
        </is>
      </c>
      <c r="B279" t="inlineStr">
        <is>
          <t>Feed B</t>
        </is>
      </c>
      <c r="C279" t="inlineStr">
        <is>
          <t>MH-DC-002-RACK-G-PDU-B</t>
        </is>
      </c>
      <c r="D279" t="n">
        <v>2</v>
      </c>
      <c r="E279" t="inlineStr">
        <is>
          <t>L1</t>
        </is>
      </c>
    </row>
    <row r="280">
      <c r="A280" t="inlineStr">
        <is>
          <t>MH-DC-002-TN-033</t>
        </is>
      </c>
      <c r="B280" t="inlineStr">
        <is>
          <t>Feed A</t>
        </is>
      </c>
      <c r="C280" t="inlineStr">
        <is>
          <t>MH-DC-002-RACK-G-PDU-A</t>
        </is>
      </c>
      <c r="D280" t="n">
        <v>14</v>
      </c>
      <c r="E280" t="inlineStr">
        <is>
          <t>L2</t>
        </is>
      </c>
    </row>
    <row r="281">
      <c r="A281" t="inlineStr">
        <is>
          <t>MH-DC-002-TN-033</t>
        </is>
      </c>
      <c r="B281" t="inlineStr">
        <is>
          <t>Feed B</t>
        </is>
      </c>
      <c r="C281" t="inlineStr">
        <is>
          <t>MH-DC-002-RACK-G-PDU-B</t>
        </is>
      </c>
      <c r="D281" t="n">
        <v>14</v>
      </c>
      <c r="E281" t="inlineStr">
        <is>
          <t>L2</t>
        </is>
      </c>
    </row>
    <row r="282">
      <c r="A282" t="inlineStr">
        <is>
          <t>MH-DC-002-TN-034</t>
        </is>
      </c>
      <c r="B282" t="inlineStr">
        <is>
          <t>Feed A</t>
        </is>
      </c>
      <c r="C282" t="inlineStr">
        <is>
          <t>MH-DC-002-RACK-H-PDU-A</t>
        </is>
      </c>
      <c r="D282" t="n">
        <v>1</v>
      </c>
      <c r="E282" t="inlineStr">
        <is>
          <t>L1</t>
        </is>
      </c>
    </row>
    <row r="283">
      <c r="A283" t="inlineStr">
        <is>
          <t>MH-DC-002-TN-034</t>
        </is>
      </c>
      <c r="B283" t="inlineStr">
        <is>
          <t>Feed B</t>
        </is>
      </c>
      <c r="C283" t="inlineStr">
        <is>
          <t>MH-DC-002-RACK-H-PDU-B</t>
        </is>
      </c>
      <c r="D283" t="n">
        <v>1</v>
      </c>
      <c r="E283" t="inlineStr">
        <is>
          <t>L1</t>
        </is>
      </c>
    </row>
    <row r="284">
      <c r="A284" t="inlineStr">
        <is>
          <t>MH-DC-002-TN-035</t>
        </is>
      </c>
      <c r="B284" t="inlineStr">
        <is>
          <t>Feed A</t>
        </is>
      </c>
      <c r="C284" t="inlineStr">
        <is>
          <t>MH-DC-002-RACK-H-PDU-A</t>
        </is>
      </c>
      <c r="D284" t="n">
        <v>17</v>
      </c>
      <c r="E284" t="inlineStr">
        <is>
          <t>L2</t>
        </is>
      </c>
    </row>
    <row r="285">
      <c r="A285" t="inlineStr">
        <is>
          <t>MH-DC-002-TN-035</t>
        </is>
      </c>
      <c r="B285" t="inlineStr">
        <is>
          <t>Feed B</t>
        </is>
      </c>
      <c r="C285" t="inlineStr">
        <is>
          <t>MH-DC-002-RACK-H-PDU-B</t>
        </is>
      </c>
      <c r="D285" t="n">
        <v>17</v>
      </c>
      <c r="E285" t="inlineStr">
        <is>
          <t>L2</t>
        </is>
      </c>
    </row>
    <row r="286">
      <c r="A286" t="inlineStr">
        <is>
          <t>MH-DC-002-TN-036</t>
        </is>
      </c>
      <c r="B286" t="inlineStr">
        <is>
          <t>Feed A</t>
        </is>
      </c>
      <c r="C286" t="inlineStr">
        <is>
          <t>MH-DC-002-RACK-H-PDU-A</t>
        </is>
      </c>
      <c r="D286" t="n">
        <v>33</v>
      </c>
      <c r="E286" t="inlineStr">
        <is>
          <t>L3</t>
        </is>
      </c>
    </row>
    <row r="287">
      <c r="A287" t="inlineStr">
        <is>
          <t>MH-DC-002-TN-036</t>
        </is>
      </c>
      <c r="B287" t="inlineStr">
        <is>
          <t>Feed B</t>
        </is>
      </c>
      <c r="C287" t="inlineStr">
        <is>
          <t>MH-DC-002-RACK-H-PDU-B</t>
        </is>
      </c>
      <c r="D287" t="n">
        <v>33</v>
      </c>
      <c r="E287" t="inlineStr">
        <is>
          <t>L3</t>
        </is>
      </c>
    </row>
    <row r="288">
      <c r="A288" t="inlineStr">
        <is>
          <t>MH-DC-002-TN-037</t>
        </is>
      </c>
      <c r="B288" t="inlineStr">
        <is>
          <t>Feed A</t>
        </is>
      </c>
      <c r="C288" t="inlineStr">
        <is>
          <t>MH-DC-002-RACK-H-PDU-A</t>
        </is>
      </c>
      <c r="D288" t="n">
        <v>2</v>
      </c>
      <c r="E288" t="inlineStr">
        <is>
          <t>L1</t>
        </is>
      </c>
    </row>
    <row r="289">
      <c r="A289" t="inlineStr">
        <is>
          <t>MH-DC-002-TN-037</t>
        </is>
      </c>
      <c r="B289" t="inlineStr">
        <is>
          <t>Feed B</t>
        </is>
      </c>
      <c r="C289" t="inlineStr">
        <is>
          <t>MH-DC-002-RACK-H-PDU-B</t>
        </is>
      </c>
      <c r="D289" t="n">
        <v>2</v>
      </c>
      <c r="E289" t="inlineStr">
        <is>
          <t>L1</t>
        </is>
      </c>
    </row>
    <row r="290">
      <c r="A290" t="inlineStr">
        <is>
          <t>MH-DC-002-TN-038</t>
        </is>
      </c>
      <c r="B290" t="inlineStr">
        <is>
          <t>Feed A</t>
        </is>
      </c>
      <c r="C290" t="inlineStr">
        <is>
          <t>MH-DC-002-RACK-H-PDU-A</t>
        </is>
      </c>
      <c r="D290" t="n">
        <v>18</v>
      </c>
      <c r="E290" t="inlineStr">
        <is>
          <t>L2</t>
        </is>
      </c>
    </row>
    <row r="291">
      <c r="A291" t="inlineStr">
        <is>
          <t>MH-DC-002-TN-038</t>
        </is>
      </c>
      <c r="B291" t="inlineStr">
        <is>
          <t>Feed B</t>
        </is>
      </c>
      <c r="C291" t="inlineStr">
        <is>
          <t>MH-DC-002-RACK-H-PDU-B</t>
        </is>
      </c>
      <c r="D291" t="n">
        <v>18</v>
      </c>
      <c r="E291" t="inlineStr">
        <is>
          <t>L2</t>
        </is>
      </c>
    </row>
    <row r="292">
      <c r="A292" t="inlineStr">
        <is>
          <t>MH-DC-002-TN-039</t>
        </is>
      </c>
      <c r="B292" t="inlineStr">
        <is>
          <t>Feed A</t>
        </is>
      </c>
      <c r="C292" t="inlineStr">
        <is>
          <t>MH-DC-002-RACK-I-PDU-A</t>
        </is>
      </c>
      <c r="D292" t="n">
        <v>1</v>
      </c>
      <c r="E292" t="inlineStr">
        <is>
          <t>L1</t>
        </is>
      </c>
    </row>
    <row r="293">
      <c r="A293" t="inlineStr">
        <is>
          <t>MH-DC-002-TN-039</t>
        </is>
      </c>
      <c r="B293" t="inlineStr">
        <is>
          <t>Feed B</t>
        </is>
      </c>
      <c r="C293" t="inlineStr">
        <is>
          <t>MH-DC-002-RACK-I-PDU-B</t>
        </is>
      </c>
      <c r="D293" t="n">
        <v>1</v>
      </c>
      <c r="E293" t="inlineStr">
        <is>
          <t>L1</t>
        </is>
      </c>
    </row>
    <row r="294">
      <c r="A294" t="inlineStr">
        <is>
          <t>MH-DC-002-BMS-01</t>
        </is>
      </c>
      <c r="B294" t="inlineStr">
        <is>
          <t>PSU1</t>
        </is>
      </c>
      <c r="C294" t="inlineStr">
        <is>
          <t>MH-DC-002-RACK-K-PDU-A</t>
        </is>
      </c>
      <c r="D294" t="n">
        <v>1</v>
      </c>
      <c r="E294" t="inlineStr">
        <is>
          <t>L1</t>
        </is>
      </c>
    </row>
    <row r="295">
      <c r="A295" t="inlineStr">
        <is>
          <t>MH-DC-002-BMS-01</t>
        </is>
      </c>
      <c r="B295" t="inlineStr">
        <is>
          <t>PSU2</t>
        </is>
      </c>
      <c r="C295" t="inlineStr">
        <is>
          <t>MH-DC-002-RACK-K-PDU-B</t>
        </is>
      </c>
      <c r="D295" t="n">
        <v>1</v>
      </c>
      <c r="E295" t="inlineStr">
        <is>
          <t>L1</t>
        </is>
      </c>
    </row>
    <row r="296">
      <c r="A296" t="inlineStr">
        <is>
          <t>MH-DC-002-BMS-02</t>
        </is>
      </c>
      <c r="B296" t="inlineStr">
        <is>
          <t>PSU1</t>
        </is>
      </c>
      <c r="C296" t="inlineStr">
        <is>
          <t>MH-DC-002-RACK-K-PDU-A</t>
        </is>
      </c>
      <c r="D296" t="n">
        <v>9</v>
      </c>
      <c r="E296" t="inlineStr">
        <is>
          <t>L2</t>
        </is>
      </c>
    </row>
    <row r="297">
      <c r="A297" t="inlineStr">
        <is>
          <t>MH-DC-002-BMS-02</t>
        </is>
      </c>
      <c r="B297" t="inlineStr">
        <is>
          <t>PSU2</t>
        </is>
      </c>
      <c r="C297" t="inlineStr">
        <is>
          <t>MH-DC-002-RACK-K-PDU-B</t>
        </is>
      </c>
      <c r="D297" t="n">
        <v>9</v>
      </c>
      <c r="E297" t="inlineStr">
        <is>
          <t>L2</t>
        </is>
      </c>
    </row>
    <row r="298">
      <c r="A298" t="inlineStr">
        <is>
          <t>MH-DC-002-ACS-01</t>
        </is>
      </c>
      <c r="B298" t="inlineStr">
        <is>
          <t>PSU1</t>
        </is>
      </c>
      <c r="C298" t="inlineStr">
        <is>
          <t>MH-DC-002-RACK-K-PDU-A</t>
        </is>
      </c>
      <c r="D298" t="n">
        <v>17</v>
      </c>
      <c r="E298" t="inlineStr">
        <is>
          <t>L3</t>
        </is>
      </c>
    </row>
    <row r="299">
      <c r="A299" t="inlineStr">
        <is>
          <t>MH-DC-002-ACS-01</t>
        </is>
      </c>
      <c r="B299" t="inlineStr">
        <is>
          <t>PSU2</t>
        </is>
      </c>
      <c r="C299" t="inlineStr">
        <is>
          <t>MH-DC-002-RACK-K-PDU-B</t>
        </is>
      </c>
      <c r="D299" t="n">
        <v>17</v>
      </c>
      <c r="E299" t="inlineStr">
        <is>
          <t>L3</t>
        </is>
      </c>
    </row>
    <row r="300">
      <c r="A300" t="inlineStr">
        <is>
          <t>MH-DC-002-NVR-01</t>
        </is>
      </c>
      <c r="B300" t="inlineStr">
        <is>
          <t>PSU1</t>
        </is>
      </c>
      <c r="C300" t="inlineStr">
        <is>
          <t>MH-DC-002-RACK-K-PDU-A</t>
        </is>
      </c>
      <c r="D300" t="n">
        <v>2</v>
      </c>
      <c r="E300" t="inlineStr">
        <is>
          <t>L1</t>
        </is>
      </c>
    </row>
    <row r="301">
      <c r="A301" t="inlineStr">
        <is>
          <t>MH-DC-002-NVR-01</t>
        </is>
      </c>
      <c r="B301" t="inlineStr">
        <is>
          <t>PSU2</t>
        </is>
      </c>
      <c r="C301" t="inlineStr">
        <is>
          <t>MH-DC-002-RACK-K-PDU-B</t>
        </is>
      </c>
      <c r="D301" t="n">
        <v>2</v>
      </c>
      <c r="E301" t="inlineStr">
        <is>
          <t>L1</t>
        </is>
      </c>
    </row>
    <row r="302">
      <c r="A302" t="inlineStr">
        <is>
          <t>MH-DC-002-JMP-01</t>
        </is>
      </c>
      <c r="B302" t="inlineStr">
        <is>
          <t>PSU1</t>
        </is>
      </c>
      <c r="C302" t="inlineStr">
        <is>
          <t>MH-DC-002-RACK-K-PDU-A</t>
        </is>
      </c>
      <c r="D302" t="n">
        <v>10</v>
      </c>
      <c r="E302" t="inlineStr">
        <is>
          <t>L2</t>
        </is>
      </c>
    </row>
    <row r="303">
      <c r="A303" t="inlineStr">
        <is>
          <t>MH-DC-002-JMP-01</t>
        </is>
      </c>
      <c r="B303" t="inlineStr">
        <is>
          <t>PSU2</t>
        </is>
      </c>
      <c r="C303" t="inlineStr">
        <is>
          <t>MH-DC-002-RACK-K-PDU-B</t>
        </is>
      </c>
      <c r="D303" t="n">
        <v>10</v>
      </c>
      <c r="E303" t="inlineStr">
        <is>
          <t>L2</t>
        </is>
      </c>
    </row>
    <row r="304">
      <c r="A304" t="inlineStr">
        <is>
          <t>MH-DC-002-BKP-01</t>
        </is>
      </c>
      <c r="B304" t="inlineStr">
        <is>
          <t>PSU1</t>
        </is>
      </c>
      <c r="C304" t="inlineStr">
        <is>
          <t>MH-DC-002-RACK-K-PDU-A</t>
        </is>
      </c>
      <c r="D304" t="n">
        <v>18</v>
      </c>
      <c r="E304" t="inlineStr">
        <is>
          <t>L3</t>
        </is>
      </c>
    </row>
    <row r="305">
      <c r="A305" t="inlineStr">
        <is>
          <t>MH-DC-002-BKP-01</t>
        </is>
      </c>
      <c r="B305" t="inlineStr">
        <is>
          <t>PSU2</t>
        </is>
      </c>
      <c r="C305" t="inlineStr">
        <is>
          <t>MH-DC-002-RACK-K-PDU-B</t>
        </is>
      </c>
      <c r="D305" t="n">
        <v>18</v>
      </c>
      <c r="E305" t="inlineStr">
        <is>
          <t>L3</t>
        </is>
      </c>
    </row>
    <row r="306">
      <c r="A306" t="inlineStr">
        <is>
          <t>MH-DC-002-DCIM-01</t>
        </is>
      </c>
      <c r="B306" t="inlineStr">
        <is>
          <t>PSU1</t>
        </is>
      </c>
      <c r="C306" t="inlineStr">
        <is>
          <t>MH-DC-002-RACK-K-PDU-A</t>
        </is>
      </c>
      <c r="D306" t="n">
        <v>3</v>
      </c>
      <c r="E306" t="inlineStr">
        <is>
          <t>L1</t>
        </is>
      </c>
    </row>
    <row r="307">
      <c r="A307" t="inlineStr">
        <is>
          <t>MH-DC-002-DCIM-01</t>
        </is>
      </c>
      <c r="B307" t="inlineStr">
        <is>
          <t>PSU2</t>
        </is>
      </c>
      <c r="C307" t="inlineStr">
        <is>
          <t>MH-DC-002-RACK-K-PDU-B</t>
        </is>
      </c>
      <c r="D307" t="n">
        <v>3</v>
      </c>
      <c r="E307" t="inlineStr">
        <is>
          <t>L1</t>
        </is>
      </c>
    </row>
    <row r="308">
      <c r="A308" t="inlineStr">
        <is>
          <t>MH-DC-002-DCIM-02</t>
        </is>
      </c>
      <c r="B308" t="inlineStr">
        <is>
          <t>PSU1</t>
        </is>
      </c>
      <c r="C308" t="inlineStr">
        <is>
          <t>MH-DC-002-RACK-K-PDU-A</t>
        </is>
      </c>
      <c r="D308" t="n">
        <v>11</v>
      </c>
      <c r="E308" t="inlineStr">
        <is>
          <t>L2</t>
        </is>
      </c>
    </row>
    <row r="309">
      <c r="A309" t="inlineStr">
        <is>
          <t>MH-DC-002-DCIM-02</t>
        </is>
      </c>
      <c r="B309" t="inlineStr">
        <is>
          <t>PSU2</t>
        </is>
      </c>
      <c r="C309" t="inlineStr">
        <is>
          <t>MH-DC-002-RACK-K-PDU-B</t>
        </is>
      </c>
      <c r="D309" t="n">
        <v>11</v>
      </c>
      <c r="E309" t="inlineStr">
        <is>
          <t>L2</t>
        </is>
      </c>
    </row>
    <row r="310">
      <c r="A310" t="inlineStr">
        <is>
          <t>MH-DC-002-MON-01</t>
        </is>
      </c>
      <c r="B310" t="inlineStr">
        <is>
          <t>PSU1</t>
        </is>
      </c>
      <c r="C310" t="inlineStr">
        <is>
          <t>MH-DC-002-RACK-K-PDU-A</t>
        </is>
      </c>
      <c r="D310" t="n">
        <v>19</v>
      </c>
      <c r="E310" t="inlineStr">
        <is>
          <t>L3</t>
        </is>
      </c>
    </row>
    <row r="311">
      <c r="A311" t="inlineStr">
        <is>
          <t>MH-DC-002-MON-01</t>
        </is>
      </c>
      <c r="B311" t="inlineStr">
        <is>
          <t>PSU2</t>
        </is>
      </c>
      <c r="C311" t="inlineStr">
        <is>
          <t>MH-DC-002-RACK-K-PDU-B</t>
        </is>
      </c>
      <c r="D311" t="n">
        <v>19</v>
      </c>
      <c r="E311" t="inlineStr">
        <is>
          <t>L3</t>
        </is>
      </c>
    </row>
    <row r="312">
      <c r="A312" t="inlineStr">
        <is>
          <t>MH-DC-002-MON-02</t>
        </is>
      </c>
      <c r="B312" t="inlineStr">
        <is>
          <t>PSU1</t>
        </is>
      </c>
      <c r="C312" t="inlineStr">
        <is>
          <t>MH-DC-002-RACK-K-PDU-A</t>
        </is>
      </c>
      <c r="D312" t="n">
        <v>4</v>
      </c>
      <c r="E312" t="inlineStr">
        <is>
          <t>L1</t>
        </is>
      </c>
    </row>
    <row r="313">
      <c r="A313" t="inlineStr">
        <is>
          <t>MH-DC-002-MON-02</t>
        </is>
      </c>
      <c r="B313" t="inlineStr">
        <is>
          <t>PSU2</t>
        </is>
      </c>
      <c r="C313" t="inlineStr">
        <is>
          <t>MH-DC-002-RACK-K-PDU-B</t>
        </is>
      </c>
      <c r="D313" t="n">
        <v>4</v>
      </c>
      <c r="E313" t="inlineStr">
        <is>
          <t>L1</t>
        </is>
      </c>
    </row>
  </sheetData>
  <autoFilter ref="A1:F313"/>
  <pageMargins left="0.75" right="0.75" top="1" bottom="1" header="0.5" footer="0.5"/>
  <legacyDrawing xmlns:r="http://schemas.openxmlformats.org/officeDocument/2006/relationships" r:id="anysvml"/>
</worksheet>
</file>

<file path=xl/worksheets/sheet20.xml><?xml version="1.0" encoding="utf-8"?>
<worksheet xmlns="http://schemas.openxmlformats.org/spreadsheetml/2006/main">
  <sheetPr>
    <tabColor rgb="002E6BD9"/>
    <outlinePr summaryBelow="1" summaryRight="1"/>
    <pageSetUpPr/>
  </sheetPr>
  <dimension ref="A1:G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2" customWidth="1" min="2" max="2"/>
    <col width="18" customWidth="1" min="3" max="3"/>
    <col width="10" customWidth="1" min="4" max="4"/>
    <col width="11" customWidth="1" min="5" max="5"/>
    <col width="10" customWidth="1" min="6" max="6"/>
    <col width="10" customWidth="1" min="7" max="7"/>
  </cols>
  <sheetData>
    <row r="1" ht="30" customHeight="1">
      <c r="A1" s="16" t="inlineStr">
        <is>
          <t>panel_id *</t>
        </is>
      </c>
      <c r="B1" s="16" t="inlineStr">
        <is>
          <t>site_id *</t>
        </is>
      </c>
      <c r="C1" s="16" t="inlineStr">
        <is>
          <t>rack_id *</t>
        </is>
      </c>
      <c r="D1" s="16" t="inlineStr">
        <is>
          <t>name *</t>
        </is>
      </c>
      <c r="E1" s="16" t="inlineStr">
        <is>
          <t>kind *</t>
        </is>
      </c>
      <c r="F1" s="16" t="inlineStr">
        <is>
          <t>role *</t>
        </is>
      </c>
      <c r="G1" s="16" t="inlineStr">
        <is>
          <t>ports *</t>
        </is>
      </c>
    </row>
    <row r="2">
      <c r="A2" t="inlineStr">
        <is>
          <t>MH-DC-001-RACK-B-PP-F1</t>
        </is>
      </c>
      <c r="B2" t="inlineStr">
        <is>
          <t>MH-DC-001</t>
        </is>
      </c>
      <c r="C2" t="inlineStr">
        <is>
          <t>MH-DC-001-RACK-B</t>
        </is>
      </c>
      <c r="D2" t="inlineStr">
        <is>
          <t>PP-F1</t>
        </is>
      </c>
      <c r="E2" t="inlineStr">
        <is>
          <t>LC duplex</t>
        </is>
      </c>
      <c r="F2" t="inlineStr">
        <is>
          <t>rack</t>
        </is>
      </c>
      <c r="G2" t="n">
        <v>24</v>
      </c>
    </row>
    <row r="3">
      <c r="A3" t="inlineStr">
        <is>
          <t>MH-DC-001-RACK-B-PP-F2</t>
        </is>
      </c>
      <c r="B3" t="inlineStr">
        <is>
          <t>MH-DC-001</t>
        </is>
      </c>
      <c r="C3" t="inlineStr">
        <is>
          <t>MH-DC-001-RACK-B</t>
        </is>
      </c>
      <c r="D3" t="inlineStr">
        <is>
          <t>PP-F2</t>
        </is>
      </c>
      <c r="E3" t="inlineStr">
        <is>
          <t>LC duplex</t>
        </is>
      </c>
      <c r="F3" t="inlineStr">
        <is>
          <t>rack</t>
        </is>
      </c>
      <c r="G3" t="n">
        <v>24</v>
      </c>
    </row>
    <row r="4">
      <c r="A4" t="inlineStr">
        <is>
          <t>MH-DC-001-RACK-A-PP-F1</t>
        </is>
      </c>
      <c r="B4" t="inlineStr">
        <is>
          <t>MH-DC-001</t>
        </is>
      </c>
      <c r="C4" t="inlineStr">
        <is>
          <t>MH-DC-001-RACK-A</t>
        </is>
      </c>
      <c r="D4" t="inlineStr">
        <is>
          <t>PP-F1</t>
        </is>
      </c>
      <c r="E4" t="inlineStr">
        <is>
          <t>LC duplex</t>
        </is>
      </c>
      <c r="F4" t="inlineStr">
        <is>
          <t>rack</t>
        </is>
      </c>
      <c r="G4" t="n">
        <v>24</v>
      </c>
    </row>
    <row r="5">
      <c r="A5" t="inlineStr">
        <is>
          <t>MH-DC-001-RACK-A-PP-F2</t>
        </is>
      </c>
      <c r="B5" t="inlineStr">
        <is>
          <t>MH-DC-001</t>
        </is>
      </c>
      <c r="C5" t="inlineStr">
        <is>
          <t>MH-DC-001-RACK-A</t>
        </is>
      </c>
      <c r="D5" t="inlineStr">
        <is>
          <t>PP-F2</t>
        </is>
      </c>
      <c r="E5" t="inlineStr">
        <is>
          <t>LC duplex</t>
        </is>
      </c>
      <c r="F5" t="inlineStr">
        <is>
          <t>rack</t>
        </is>
      </c>
      <c r="G5" t="n">
        <v>24</v>
      </c>
    </row>
    <row r="6">
      <c r="A6" t="inlineStr">
        <is>
          <t>MH-DC-001-RACK-U-PP-F1</t>
        </is>
      </c>
      <c r="B6" t="inlineStr">
        <is>
          <t>MH-DC-001</t>
        </is>
      </c>
      <c r="C6" t="inlineStr">
        <is>
          <t>MH-DC-001-RACK-U</t>
        </is>
      </c>
      <c r="D6" t="inlineStr">
        <is>
          <t>PP-F1</t>
        </is>
      </c>
      <c r="E6" t="inlineStr">
        <is>
          <t>LC duplex</t>
        </is>
      </c>
      <c r="F6" t="inlineStr">
        <is>
          <t>rack</t>
        </is>
      </c>
      <c r="G6" t="n">
        <v>24</v>
      </c>
    </row>
    <row r="7">
      <c r="A7" t="inlineStr">
        <is>
          <t>MH-DC-001-RACK-T-ODF-1</t>
        </is>
      </c>
      <c r="B7" t="inlineStr">
        <is>
          <t>MH-DC-001</t>
        </is>
      </c>
      <c r="C7" t="inlineStr">
        <is>
          <t>MH-DC-001-RACK-T</t>
        </is>
      </c>
      <c r="D7" t="inlineStr">
        <is>
          <t>ODF-1</t>
        </is>
      </c>
      <c r="E7" t="inlineStr">
        <is>
          <t>LC duplex</t>
        </is>
      </c>
      <c r="F7" t="inlineStr">
        <is>
          <t>odf</t>
        </is>
      </c>
      <c r="G7" t="n">
        <v>24</v>
      </c>
    </row>
    <row r="8">
      <c r="A8" t="inlineStr">
        <is>
          <t>MH-DC-001-RACK-T-ODF-2</t>
        </is>
      </c>
      <c r="B8" t="inlineStr">
        <is>
          <t>MH-DC-001</t>
        </is>
      </c>
      <c r="C8" t="inlineStr">
        <is>
          <t>MH-DC-001-RACK-T</t>
        </is>
      </c>
      <c r="D8" t="inlineStr">
        <is>
          <t>ODF-2</t>
        </is>
      </c>
      <c r="E8" t="inlineStr">
        <is>
          <t>LC duplex</t>
        </is>
      </c>
      <c r="F8" t="inlineStr">
        <is>
          <t>odf</t>
        </is>
      </c>
      <c r="G8" t="n">
        <v>24</v>
      </c>
    </row>
    <row r="9">
      <c r="A9" t="inlineStr">
        <is>
          <t>MH-DC-001-RACK-T-ODF-3</t>
        </is>
      </c>
      <c r="B9" t="inlineStr">
        <is>
          <t>MH-DC-001</t>
        </is>
      </c>
      <c r="C9" t="inlineStr">
        <is>
          <t>MH-DC-001-RACK-T</t>
        </is>
      </c>
      <c r="D9" t="inlineStr">
        <is>
          <t>ODF-3</t>
        </is>
      </c>
      <c r="E9" t="inlineStr">
        <is>
          <t>LC duplex</t>
        </is>
      </c>
      <c r="F9" t="inlineStr">
        <is>
          <t>odf</t>
        </is>
      </c>
      <c r="G9" t="n">
        <v>24</v>
      </c>
    </row>
    <row r="10">
      <c r="A10" t="inlineStr">
        <is>
          <t>MH-DC-001-RACK-T-ODF-4</t>
        </is>
      </c>
      <c r="B10" t="inlineStr">
        <is>
          <t>MH-DC-001</t>
        </is>
      </c>
      <c r="C10" t="inlineStr">
        <is>
          <t>MH-DC-001-RACK-T</t>
        </is>
      </c>
      <c r="D10" t="inlineStr">
        <is>
          <t>ODF-4</t>
        </is>
      </c>
      <c r="E10" t="inlineStr">
        <is>
          <t>LC duplex</t>
        </is>
      </c>
      <c r="F10" t="inlineStr">
        <is>
          <t>odf</t>
        </is>
      </c>
      <c r="G10" t="n">
        <v>24</v>
      </c>
    </row>
    <row r="11">
      <c r="A11" t="inlineStr">
        <is>
          <t>MH-DC-001-RACK-T-ODF-5</t>
        </is>
      </c>
      <c r="B11" t="inlineStr">
        <is>
          <t>MH-DC-001</t>
        </is>
      </c>
      <c r="C11" t="inlineStr">
        <is>
          <t>MH-DC-001-RACK-T</t>
        </is>
      </c>
      <c r="D11" t="inlineStr">
        <is>
          <t>ODF-5</t>
        </is>
      </c>
      <c r="E11" t="inlineStr">
        <is>
          <t>LC duplex</t>
        </is>
      </c>
      <c r="F11" t="inlineStr">
        <is>
          <t>odf</t>
        </is>
      </c>
      <c r="G11" t="n">
        <v>24</v>
      </c>
    </row>
    <row r="12">
      <c r="A12" t="inlineStr">
        <is>
          <t>MH-DC-002-RACK-A-PP-F1</t>
        </is>
      </c>
      <c r="B12" t="inlineStr">
        <is>
          <t>MH-DC-002</t>
        </is>
      </c>
      <c r="C12" t="inlineStr">
        <is>
          <t>MH-DC-002-RACK-A</t>
        </is>
      </c>
      <c r="D12" t="inlineStr">
        <is>
          <t>PP-F1</t>
        </is>
      </c>
      <c r="E12" t="inlineStr">
        <is>
          <t>LC duplex</t>
        </is>
      </c>
      <c r="F12" t="inlineStr">
        <is>
          <t>rack</t>
        </is>
      </c>
      <c r="G12" t="n">
        <v>24</v>
      </c>
    </row>
    <row r="13">
      <c r="A13" t="inlineStr">
        <is>
          <t>MH-DC-002-RACK-A-PP-F2</t>
        </is>
      </c>
      <c r="B13" t="inlineStr">
        <is>
          <t>MH-DC-002</t>
        </is>
      </c>
      <c r="C13" t="inlineStr">
        <is>
          <t>MH-DC-002-RACK-A</t>
        </is>
      </c>
      <c r="D13" t="inlineStr">
        <is>
          <t>PP-F2</t>
        </is>
      </c>
      <c r="E13" t="inlineStr">
        <is>
          <t>LC duplex</t>
        </is>
      </c>
      <c r="F13" t="inlineStr">
        <is>
          <t>rack</t>
        </is>
      </c>
      <c r="G13" t="n">
        <v>24</v>
      </c>
    </row>
    <row r="14">
      <c r="A14" t="inlineStr">
        <is>
          <t>MH-DC-002-RACK-K-PP-F1</t>
        </is>
      </c>
      <c r="B14" t="inlineStr">
        <is>
          <t>MH-DC-002</t>
        </is>
      </c>
      <c r="C14" t="inlineStr">
        <is>
          <t>MH-DC-002-RACK-K</t>
        </is>
      </c>
      <c r="D14" t="inlineStr">
        <is>
          <t>PP-F1</t>
        </is>
      </c>
      <c r="E14" t="inlineStr">
        <is>
          <t>LC duplex</t>
        </is>
      </c>
      <c r="F14" t="inlineStr">
        <is>
          <t>rack</t>
        </is>
      </c>
      <c r="G14" t="n">
        <v>24</v>
      </c>
    </row>
    <row r="15">
      <c r="A15" t="inlineStr">
        <is>
          <t>MH-DC-002-RACK-J-ODF-1</t>
        </is>
      </c>
      <c r="B15" t="inlineStr">
        <is>
          <t>MH-DC-002</t>
        </is>
      </c>
      <c r="C15" t="inlineStr">
        <is>
          <t>MH-DC-002-RACK-J</t>
        </is>
      </c>
      <c r="D15" t="inlineStr">
        <is>
          <t>ODF-1</t>
        </is>
      </c>
      <c r="E15" t="inlineStr">
        <is>
          <t>LC duplex</t>
        </is>
      </c>
      <c r="F15" t="inlineStr">
        <is>
          <t>odf</t>
        </is>
      </c>
      <c r="G15" t="n">
        <v>24</v>
      </c>
    </row>
    <row r="16">
      <c r="A16" t="inlineStr">
        <is>
          <t>MH-DC-002-RACK-J-ODF-2</t>
        </is>
      </c>
      <c r="B16" t="inlineStr">
        <is>
          <t>MH-DC-002</t>
        </is>
      </c>
      <c r="C16" t="inlineStr">
        <is>
          <t>MH-DC-002-RACK-J</t>
        </is>
      </c>
      <c r="D16" t="inlineStr">
        <is>
          <t>ODF-2</t>
        </is>
      </c>
      <c r="E16" t="inlineStr">
        <is>
          <t>LC duplex</t>
        </is>
      </c>
      <c r="F16" t="inlineStr">
        <is>
          <t>odf</t>
        </is>
      </c>
      <c r="G16" t="n">
        <v>24</v>
      </c>
    </row>
    <row r="17">
      <c r="A17" t="inlineStr">
        <is>
          <t>MH-DC-002-RACK-J-ODF-3</t>
        </is>
      </c>
      <c r="B17" t="inlineStr">
        <is>
          <t>MH-DC-002</t>
        </is>
      </c>
      <c r="C17" t="inlineStr">
        <is>
          <t>MH-DC-002-RACK-J</t>
        </is>
      </c>
      <c r="D17" t="inlineStr">
        <is>
          <t>ODF-3</t>
        </is>
      </c>
      <c r="E17" t="inlineStr">
        <is>
          <t>LC duplex</t>
        </is>
      </c>
      <c r="F17" t="inlineStr">
        <is>
          <t>odf</t>
        </is>
      </c>
      <c r="G17" t="n">
        <v>24</v>
      </c>
    </row>
  </sheetData>
  <autoFilter ref="A1:G17"/>
  <dataValidations count="2">
    <dataValidation sqref="E2:E2000" showDropDown="0" showInputMessage="0" showErrorMessage="1" allowBlank="1" errorTitle="Not an allowed value" error="Pick a value from the list (Lookups → panel_kind)." type="list">
      <formula1>=L_panel_kind</formula1>
    </dataValidation>
    <dataValidation sqref="F2:F2000" showDropDown="0" showInputMessage="0" showErrorMessage="1" allowBlank="1" errorTitle="Not an allowed value" error="Pick a value from the list (Lookups → panel_role)." type="list">
      <formula1>=L_panel_role</formula1>
    </dataValidation>
  </dataValidations>
  <pageMargins left="0.75" right="0.75" top="1" bottom="1" header="0.5" footer="0.5"/>
  <legacyDrawing xmlns:r="http://schemas.openxmlformats.org/officeDocument/2006/relationships" r:id="anysvml"/>
</worksheet>
</file>

<file path=xl/worksheets/sheet21.xml><?xml version="1.0" encoding="utf-8"?>
<worksheet xmlns="http://schemas.openxmlformats.org/spreadsheetml/2006/main">
  <sheetPr>
    <tabColor rgb="002E6BD9"/>
    <outlinePr summaryBelow="1" summaryRight="1"/>
    <pageSetUpPr/>
  </sheetPr>
  <dimension ref="A1:H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2" customWidth="1" min="2" max="2"/>
    <col width="24" customWidth="1" min="3" max="3"/>
    <col width="24" customWidth="1" min="4" max="4"/>
    <col width="22" customWidth="1" min="5" max="5"/>
    <col width="10" customWidth="1" min="6" max="6"/>
    <col width="14" customWidth="1" min="7" max="7"/>
    <col width="13" customWidth="1" min="8" max="8"/>
  </cols>
  <sheetData>
    <row r="1" ht="30" customHeight="1">
      <c r="A1" s="16" t="inlineStr">
        <is>
          <t>trunk_id *</t>
        </is>
      </c>
      <c r="B1" s="16" t="inlineStr">
        <is>
          <t>site_id *</t>
        </is>
      </c>
      <c r="C1" s="16" t="inlineStr">
        <is>
          <t>a_panel_id *</t>
        </is>
      </c>
      <c r="D1" s="16" t="inlineStr">
        <is>
          <t>z_panel_id *</t>
        </is>
      </c>
      <c r="E1" s="16" t="inlineStr">
        <is>
          <t>kind *</t>
        </is>
      </c>
      <c r="F1" s="16" t="inlineStr">
        <is>
          <t>pairs *</t>
        </is>
      </c>
      <c r="G1" s="16" t="inlineStr">
        <is>
          <t>route *</t>
        </is>
      </c>
      <c r="H1" s="17" t="inlineStr">
        <is>
          <t>length_m</t>
        </is>
      </c>
    </row>
    <row r="2">
      <c r="A2" t="inlineStr">
        <is>
          <t>MH-DC-001-RACK-B-TRK-1</t>
        </is>
      </c>
      <c r="B2" t="inlineStr">
        <is>
          <t>MH-DC-001</t>
        </is>
      </c>
      <c r="C2" t="inlineStr">
        <is>
          <t>MH-DC-001-RACK-B-PP-F1</t>
        </is>
      </c>
      <c r="D2" t="inlineStr">
        <is>
          <t>MH-DC-001-RACK-T-ODF-1</t>
        </is>
      </c>
      <c r="E2" t="inlineStr">
        <is>
          <t>MPO-24 OM4 trunk × 2</t>
        </is>
      </c>
      <c r="F2" t="n">
        <v>24</v>
      </c>
      <c r="G2" t="inlineStr">
        <is>
          <t>Tray route 1</t>
        </is>
      </c>
      <c r="H2" t="n">
        <v>50</v>
      </c>
    </row>
    <row r="3">
      <c r="A3" t="inlineStr">
        <is>
          <t>MH-DC-001-RACK-A-TRK-2</t>
        </is>
      </c>
      <c r="B3" t="inlineStr">
        <is>
          <t>MH-DC-001</t>
        </is>
      </c>
      <c r="C3" t="inlineStr">
        <is>
          <t>MH-DC-001-RACK-A-PP-F1</t>
        </is>
      </c>
      <c r="D3" t="inlineStr">
        <is>
          <t>MH-DC-001-RACK-T-ODF-1</t>
        </is>
      </c>
      <c r="E3" t="inlineStr">
        <is>
          <t>MPO-24 OM4 trunk × 2</t>
        </is>
      </c>
      <c r="F3" t="n">
        <v>24</v>
      </c>
      <c r="G3" t="inlineStr">
        <is>
          <t>Tray route 2</t>
        </is>
      </c>
      <c r="H3" t="n">
        <v>56</v>
      </c>
    </row>
    <row r="4">
      <c r="A4" t="inlineStr">
        <is>
          <t>MH-DC-001-RACK-B-TRK-2</t>
        </is>
      </c>
      <c r="B4" t="inlineStr">
        <is>
          <t>MH-DC-001</t>
        </is>
      </c>
      <c r="C4" t="inlineStr">
        <is>
          <t>MH-DC-001-RACK-B-PP-F1</t>
        </is>
      </c>
      <c r="D4" t="inlineStr">
        <is>
          <t>MH-DC-001-RACK-T-ODF-1</t>
        </is>
      </c>
      <c r="E4" t="inlineStr">
        <is>
          <t>MPO-24 OM4 trunk × 2</t>
        </is>
      </c>
      <c r="F4" t="n">
        <v>24</v>
      </c>
      <c r="G4" t="inlineStr">
        <is>
          <t>Tray route 2</t>
        </is>
      </c>
      <c r="H4" t="n">
        <v>58</v>
      </c>
    </row>
    <row r="5">
      <c r="A5" t="inlineStr">
        <is>
          <t>MH-DC-001-RACK-A-TRK-1</t>
        </is>
      </c>
      <c r="B5" t="inlineStr">
        <is>
          <t>MH-DC-001</t>
        </is>
      </c>
      <c r="C5" t="inlineStr">
        <is>
          <t>MH-DC-001-RACK-A-PP-F1</t>
        </is>
      </c>
      <c r="D5" t="inlineStr">
        <is>
          <t>MH-DC-001-RACK-T-ODF-1</t>
        </is>
      </c>
      <c r="E5" t="inlineStr">
        <is>
          <t>MPO-24 OM4 trunk × 2</t>
        </is>
      </c>
      <c r="F5" t="n">
        <v>24</v>
      </c>
      <c r="G5" t="inlineStr">
        <is>
          <t>Tray route 1</t>
        </is>
      </c>
      <c r="H5" t="n">
        <v>56</v>
      </c>
    </row>
    <row r="6">
      <c r="A6" t="inlineStr">
        <is>
          <t>MH-DC-001-RACK-U-TRK-1</t>
        </is>
      </c>
      <c r="B6" t="inlineStr">
        <is>
          <t>MH-DC-001</t>
        </is>
      </c>
      <c r="C6" t="inlineStr">
        <is>
          <t>MH-DC-001-RACK-U-PP-F1</t>
        </is>
      </c>
      <c r="D6" t="inlineStr">
        <is>
          <t>MH-DC-001-RACK-T-ODF-1</t>
        </is>
      </c>
      <c r="E6" t="inlineStr">
        <is>
          <t>MPO-24 OM4 trunk × 1</t>
        </is>
      </c>
      <c r="F6" t="n">
        <v>12</v>
      </c>
      <c r="G6" t="inlineStr">
        <is>
          <t>Tray route 1</t>
        </is>
      </c>
      <c r="H6" t="n">
        <v>48</v>
      </c>
    </row>
    <row r="7">
      <c r="A7" t="inlineStr">
        <is>
          <t>MH-DC-001-RACK-U-TRK-2</t>
        </is>
      </c>
      <c r="B7" t="inlineStr">
        <is>
          <t>MH-DC-001</t>
        </is>
      </c>
      <c r="C7" t="inlineStr">
        <is>
          <t>MH-DC-001-RACK-U-PP-F1</t>
        </is>
      </c>
      <c r="D7" t="inlineStr">
        <is>
          <t>MH-DC-001-RACK-T-ODF-1</t>
        </is>
      </c>
      <c r="E7" t="inlineStr">
        <is>
          <t>MPO-24 OM4 trunk × 1</t>
        </is>
      </c>
      <c r="F7" t="n">
        <v>12</v>
      </c>
      <c r="G7" t="inlineStr">
        <is>
          <t>Tray route 2</t>
        </is>
      </c>
      <c r="H7" t="n">
        <v>52</v>
      </c>
    </row>
    <row r="8">
      <c r="A8" t="inlineStr">
        <is>
          <t>MH-DC-002-RACK-A-TRK-1</t>
        </is>
      </c>
      <c r="B8" t="inlineStr">
        <is>
          <t>MH-DC-002</t>
        </is>
      </c>
      <c r="C8" t="inlineStr">
        <is>
          <t>MH-DC-002-RACK-A-PP-F1</t>
        </is>
      </c>
      <c r="D8" t="inlineStr">
        <is>
          <t>MH-DC-002-RACK-J-ODF-1</t>
        </is>
      </c>
      <c r="E8" t="inlineStr">
        <is>
          <t>MPO-24 OM4 trunk × 2</t>
        </is>
      </c>
      <c r="F8" t="n">
        <v>24</v>
      </c>
      <c r="G8" t="inlineStr">
        <is>
          <t>Tray route 1</t>
        </is>
      </c>
      <c r="H8" t="n">
        <v>41</v>
      </c>
    </row>
    <row r="9">
      <c r="A9" t="inlineStr">
        <is>
          <t>MH-DC-002-RACK-A-TRK-2</t>
        </is>
      </c>
      <c r="B9" t="inlineStr">
        <is>
          <t>MH-DC-002</t>
        </is>
      </c>
      <c r="C9" t="inlineStr">
        <is>
          <t>MH-DC-002-RACK-A-PP-F1</t>
        </is>
      </c>
      <c r="D9" t="inlineStr">
        <is>
          <t>MH-DC-002-RACK-J-ODF-1</t>
        </is>
      </c>
      <c r="E9" t="inlineStr">
        <is>
          <t>MPO-24 OM4 trunk × 2</t>
        </is>
      </c>
      <c r="F9" t="n">
        <v>24</v>
      </c>
      <c r="G9" t="inlineStr">
        <is>
          <t>Tray route 2</t>
        </is>
      </c>
      <c r="H9" t="n">
        <v>42</v>
      </c>
    </row>
    <row r="10">
      <c r="A10" t="inlineStr">
        <is>
          <t>MH-DC-002-RACK-K-TRK-1</t>
        </is>
      </c>
      <c r="B10" t="inlineStr">
        <is>
          <t>MH-DC-002</t>
        </is>
      </c>
      <c r="C10" t="inlineStr">
        <is>
          <t>MH-DC-002-RACK-K-PP-F1</t>
        </is>
      </c>
      <c r="D10" t="inlineStr">
        <is>
          <t>MH-DC-002-RACK-J-ODF-1</t>
        </is>
      </c>
      <c r="E10" t="inlineStr">
        <is>
          <t>MPO-24 OM4 trunk × 1</t>
        </is>
      </c>
      <c r="F10" t="n">
        <v>12</v>
      </c>
      <c r="G10" t="inlineStr">
        <is>
          <t>Tray route 1</t>
        </is>
      </c>
      <c r="H10" t="n">
        <v>77</v>
      </c>
    </row>
    <row r="11">
      <c r="A11" t="inlineStr">
        <is>
          <t>MH-DC-002-RACK-K-TRK-2</t>
        </is>
      </c>
      <c r="B11" t="inlineStr">
        <is>
          <t>MH-DC-002</t>
        </is>
      </c>
      <c r="C11" t="inlineStr">
        <is>
          <t>MH-DC-002-RACK-K-PP-F1</t>
        </is>
      </c>
      <c r="D11" t="inlineStr">
        <is>
          <t>MH-DC-002-RACK-J-ODF-1</t>
        </is>
      </c>
      <c r="E11" t="inlineStr">
        <is>
          <t>MPO-24 OM4 trunk × 1</t>
        </is>
      </c>
      <c r="F11" t="n">
        <v>12</v>
      </c>
      <c r="G11" t="inlineStr">
        <is>
          <t>Tray route 2</t>
        </is>
      </c>
      <c r="H11" t="n">
        <v>53</v>
      </c>
    </row>
  </sheetData>
  <autoFilter ref="A1:H11"/>
  <dataValidations count="1">
    <dataValidation sqref="G2:G2000" showDropDown="0" showInputMessage="0" showErrorMessage="1" allowBlank="1" errorTitle="Not an allowed value" error="Pick a value from the list (Lookups → tray_route)." type="list">
      <formula1>=L_tray_route</formula1>
    </dataValidation>
  </dataValidations>
  <pageMargins left="0.75" right="0.75" top="1" bottom="1" header="0.5" footer="0.5"/>
  <legacyDrawing xmlns:r="http://schemas.openxmlformats.org/officeDocument/2006/relationships" r:id="anysvml"/>
</worksheet>
</file>

<file path=xl/worksheets/sheet22.xml><?xml version="1.0" encoding="utf-8"?>
<worksheet xmlns="http://schemas.openxmlformats.org/spreadsheetml/2006/main">
  <sheetPr>
    <tabColor rgb="002E6BD9"/>
    <outlinePr summaryBelow="1" summaryRight="1"/>
    <pageSetUpPr/>
  </sheetPr>
  <dimension ref="A1:J23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21" customWidth="1" min="3" max="3"/>
    <col width="20" customWidth="1" min="4" max="4"/>
    <col width="24" customWidth="1" min="5" max="5"/>
    <col width="15" customWidth="1" min="6" max="6"/>
    <col width="24" customWidth="1" min="7" max="7"/>
    <col width="24" customWidth="1" min="8" max="8"/>
    <col width="13" customWidth="1" min="9" max="9"/>
    <col width="13" customWidth="1" min="10" max="10"/>
  </cols>
  <sheetData>
    <row r="1" ht="30" customHeight="1">
      <c r="A1" s="16" t="inlineStr">
        <is>
          <t>link_id *</t>
        </is>
      </c>
      <c r="B1" s="16" t="inlineStr">
        <is>
          <t>end *</t>
        </is>
      </c>
      <c r="C1" s="16" t="inlineStr">
        <is>
          <t>device_id *</t>
        </is>
      </c>
      <c r="D1" s="17" t="inlineStr">
        <is>
          <t>patch_cord_id</t>
        </is>
      </c>
      <c r="E1" s="19" t="inlineStr">
        <is>
          <t>panel_id</t>
        </is>
      </c>
      <c r="F1" s="19" t="inlineStr">
        <is>
          <t>panel_port</t>
        </is>
      </c>
      <c r="G1" s="19" t="inlineStr">
        <is>
          <t>trunk_id</t>
        </is>
      </c>
      <c r="H1" s="19" t="inlineStr">
        <is>
          <t>odf_panel_id</t>
        </is>
      </c>
      <c r="I1" s="19" t="inlineStr">
        <is>
          <t>odf_port</t>
        </is>
      </c>
      <c r="J1" s="19" t="inlineStr">
        <is>
          <t>osp_core</t>
        </is>
      </c>
    </row>
    <row r="2">
      <c r="A2" t="inlineStr">
        <is>
          <t>LNK-00001</t>
        </is>
      </c>
      <c r="B2" t="inlineStr">
        <is>
          <t>A</t>
        </is>
      </c>
      <c r="C2" t="inlineStr">
        <is>
          <t>MH-DC-001-PE-T4-01</t>
        </is>
      </c>
      <c r="D2" t="inlineStr">
        <is>
          <t>MH-DC-001-PC-00001</t>
        </is>
      </c>
    </row>
    <row r="3">
      <c r="A3" t="inlineStr">
        <is>
          <t>LNK-00001</t>
        </is>
      </c>
      <c r="B3" t="inlineStr">
        <is>
          <t>Z</t>
        </is>
      </c>
      <c r="C3" t="inlineStr">
        <is>
          <t>MH-DC-001-PE-T4-02</t>
        </is>
      </c>
      <c r="D3" t="inlineStr">
        <is>
          <t>MH-DC-001-PC-00002</t>
        </is>
      </c>
    </row>
    <row r="4">
      <c r="A4" t="inlineStr">
        <is>
          <t>LNK-00006</t>
        </is>
      </c>
      <c r="B4" t="inlineStr">
        <is>
          <t>A</t>
        </is>
      </c>
      <c r="C4" t="inlineStr">
        <is>
          <t>MH-DC-001-PE-T4-01</t>
        </is>
      </c>
      <c r="D4" t="inlineStr">
        <is>
          <t>MH-DC-001-PC-00003</t>
        </is>
      </c>
    </row>
    <row r="5">
      <c r="A5" t="inlineStr">
        <is>
          <t>LNK-00006</t>
        </is>
      </c>
      <c r="B5" t="inlineStr">
        <is>
          <t>Z</t>
        </is>
      </c>
      <c r="C5" t="inlineStr">
        <is>
          <t>MH-DC-001-PE-T4-03</t>
        </is>
      </c>
      <c r="D5" t="inlineStr">
        <is>
          <t>MH-DC-001-PC-00004</t>
        </is>
      </c>
    </row>
    <row r="6">
      <c r="A6" t="inlineStr">
        <is>
          <t>LNK-00011</t>
        </is>
      </c>
      <c r="B6" t="inlineStr">
        <is>
          <t>A</t>
        </is>
      </c>
      <c r="C6" t="inlineStr">
        <is>
          <t>MH-DC-001-PE-T4-01</t>
        </is>
      </c>
      <c r="D6" t="inlineStr">
        <is>
          <t>MH-DC-001-PC-00005</t>
        </is>
      </c>
    </row>
    <row r="7">
      <c r="A7" t="inlineStr">
        <is>
          <t>LNK-00011</t>
        </is>
      </c>
      <c r="B7" t="inlineStr">
        <is>
          <t>Z</t>
        </is>
      </c>
      <c r="C7" t="inlineStr">
        <is>
          <t>MH-DC-001-PE-T4-04</t>
        </is>
      </c>
      <c r="D7" t="inlineStr">
        <is>
          <t>MH-DC-001-PC-00006</t>
        </is>
      </c>
    </row>
    <row r="8">
      <c r="A8" t="inlineStr">
        <is>
          <t>LNK-00016</t>
        </is>
      </c>
      <c r="B8" t="inlineStr">
        <is>
          <t>A</t>
        </is>
      </c>
      <c r="C8" t="inlineStr">
        <is>
          <t>MH-DC-001-PE-T4-02</t>
        </is>
      </c>
      <c r="D8" t="inlineStr">
        <is>
          <t>MH-DC-001-PC-00007</t>
        </is>
      </c>
    </row>
    <row r="9">
      <c r="A9" t="inlineStr">
        <is>
          <t>LNK-00016</t>
        </is>
      </c>
      <c r="B9" t="inlineStr">
        <is>
          <t>Z</t>
        </is>
      </c>
      <c r="C9" t="inlineStr">
        <is>
          <t>MH-DC-001-PE-T4-03</t>
        </is>
      </c>
      <c r="D9" t="inlineStr">
        <is>
          <t>MH-DC-001-PC-00008</t>
        </is>
      </c>
    </row>
    <row r="10">
      <c r="A10" t="inlineStr">
        <is>
          <t>LNK-00021</t>
        </is>
      </c>
      <c r="B10" t="inlineStr">
        <is>
          <t>A</t>
        </is>
      </c>
      <c r="C10" t="inlineStr">
        <is>
          <t>MH-DC-001-PE-T4-02</t>
        </is>
      </c>
      <c r="D10" t="inlineStr">
        <is>
          <t>MH-DC-001-PC-00009</t>
        </is>
      </c>
    </row>
    <row r="11">
      <c r="A11" t="inlineStr">
        <is>
          <t>LNK-00021</t>
        </is>
      </c>
      <c r="B11" t="inlineStr">
        <is>
          <t>Z</t>
        </is>
      </c>
      <c r="C11" t="inlineStr">
        <is>
          <t>MH-DC-001-PE-T4-04</t>
        </is>
      </c>
      <c r="D11" t="inlineStr">
        <is>
          <t>MH-DC-001-PC-00010</t>
        </is>
      </c>
    </row>
    <row r="12">
      <c r="A12" t="inlineStr">
        <is>
          <t>LNK-00026</t>
        </is>
      </c>
      <c r="B12" t="inlineStr">
        <is>
          <t>A</t>
        </is>
      </c>
      <c r="C12" t="inlineStr">
        <is>
          <t>MH-DC-001-PE-T4-03</t>
        </is>
      </c>
      <c r="D12" t="inlineStr">
        <is>
          <t>MH-DC-001-PC-00011</t>
        </is>
      </c>
    </row>
    <row r="13">
      <c r="A13" t="inlineStr">
        <is>
          <t>LNK-00026</t>
        </is>
      </c>
      <c r="B13" t="inlineStr">
        <is>
          <t>Z</t>
        </is>
      </c>
      <c r="C13" t="inlineStr">
        <is>
          <t>MH-DC-001-PE-T4-04</t>
        </is>
      </c>
      <c r="D13" t="inlineStr">
        <is>
          <t>MH-DC-001-PC-00012</t>
        </is>
      </c>
    </row>
    <row r="14">
      <c r="A14" t="inlineStr">
        <is>
          <t>LNK-00031</t>
        </is>
      </c>
      <c r="B14" t="inlineStr">
        <is>
          <t>A</t>
        </is>
      </c>
      <c r="C14" t="inlineStr">
        <is>
          <t>MH-DC-001-AGG-R01</t>
        </is>
      </c>
      <c r="D14" t="inlineStr">
        <is>
          <t>MH-DC-001-PC-00013</t>
        </is>
      </c>
    </row>
    <row r="15">
      <c r="A15" t="inlineStr">
        <is>
          <t>LNK-00031</t>
        </is>
      </c>
      <c r="B15" t="inlineStr">
        <is>
          <t>Z</t>
        </is>
      </c>
      <c r="C15" t="inlineStr">
        <is>
          <t>MH-DC-001-PE-T4-01</t>
        </is>
      </c>
      <c r="D15" t="inlineStr">
        <is>
          <t>MH-DC-001-PC-00014</t>
        </is>
      </c>
    </row>
    <row r="16">
      <c r="A16" t="inlineStr">
        <is>
          <t>LNK-00034</t>
        </is>
      </c>
      <c r="B16" t="inlineStr">
        <is>
          <t>A</t>
        </is>
      </c>
      <c r="C16" t="inlineStr">
        <is>
          <t>MH-DC-001-AGG-R01</t>
        </is>
      </c>
      <c r="D16" t="inlineStr">
        <is>
          <t>MH-DC-001-PC-00015</t>
        </is>
      </c>
    </row>
    <row r="17">
      <c r="A17" t="inlineStr">
        <is>
          <t>LNK-00034</t>
        </is>
      </c>
      <c r="B17" t="inlineStr">
        <is>
          <t>Z</t>
        </is>
      </c>
      <c r="C17" t="inlineStr">
        <is>
          <t>MH-DC-001-PE-T4-02</t>
        </is>
      </c>
      <c r="D17" t="inlineStr">
        <is>
          <t>MH-DC-001-PC-00016</t>
        </is>
      </c>
    </row>
    <row r="18">
      <c r="A18" t="inlineStr">
        <is>
          <t>LNK-00037</t>
        </is>
      </c>
      <c r="B18" t="inlineStr">
        <is>
          <t>A</t>
        </is>
      </c>
      <c r="C18" t="inlineStr">
        <is>
          <t>MH-DC-001-AGG-R02</t>
        </is>
      </c>
      <c r="D18" t="inlineStr">
        <is>
          <t>MH-DC-001-PC-00017</t>
        </is>
      </c>
    </row>
    <row r="19">
      <c r="A19" t="inlineStr">
        <is>
          <t>LNK-00037</t>
        </is>
      </c>
      <c r="B19" t="inlineStr">
        <is>
          <t>Z</t>
        </is>
      </c>
      <c r="C19" t="inlineStr">
        <is>
          <t>MH-DC-001-PE-T4-02</t>
        </is>
      </c>
      <c r="D19" t="inlineStr">
        <is>
          <t>MH-DC-001-PC-00018</t>
        </is>
      </c>
    </row>
    <row r="20">
      <c r="A20" t="inlineStr">
        <is>
          <t>LNK-00040</t>
        </is>
      </c>
      <c r="B20" t="inlineStr">
        <is>
          <t>A</t>
        </is>
      </c>
      <c r="C20" t="inlineStr">
        <is>
          <t>MH-DC-001-AGG-R02</t>
        </is>
      </c>
      <c r="D20" t="inlineStr">
        <is>
          <t>MH-DC-001-PC-00019</t>
        </is>
      </c>
    </row>
    <row r="21">
      <c r="A21" t="inlineStr">
        <is>
          <t>LNK-00040</t>
        </is>
      </c>
      <c r="B21" t="inlineStr">
        <is>
          <t>Z</t>
        </is>
      </c>
      <c r="C21" t="inlineStr">
        <is>
          <t>MH-DC-001-PE-T4-03</t>
        </is>
      </c>
      <c r="D21" t="inlineStr">
        <is>
          <t>MH-DC-001-PC-00020</t>
        </is>
      </c>
    </row>
    <row r="22">
      <c r="A22" t="inlineStr">
        <is>
          <t>LNK-00043</t>
        </is>
      </c>
      <c r="B22" t="inlineStr">
        <is>
          <t>A</t>
        </is>
      </c>
      <c r="C22" t="inlineStr">
        <is>
          <t>MH-DC-001-AGG-R03</t>
        </is>
      </c>
      <c r="D22" t="inlineStr">
        <is>
          <t>MH-DC-001-PC-00021</t>
        </is>
      </c>
    </row>
    <row r="23">
      <c r="A23" t="inlineStr">
        <is>
          <t>LNK-00043</t>
        </is>
      </c>
      <c r="B23" t="inlineStr">
        <is>
          <t>Z</t>
        </is>
      </c>
      <c r="C23" t="inlineStr">
        <is>
          <t>MH-DC-001-PE-T4-03</t>
        </is>
      </c>
      <c r="D23" t="inlineStr">
        <is>
          <t>MH-DC-001-PC-00022</t>
        </is>
      </c>
    </row>
    <row r="24">
      <c r="A24" t="inlineStr">
        <is>
          <t>LNK-00046</t>
        </is>
      </c>
      <c r="B24" t="inlineStr">
        <is>
          <t>A</t>
        </is>
      </c>
      <c r="C24" t="inlineStr">
        <is>
          <t>MH-DC-001-AGG-R03</t>
        </is>
      </c>
      <c r="D24" t="inlineStr">
        <is>
          <t>MH-DC-001-PC-00023</t>
        </is>
      </c>
    </row>
    <row r="25">
      <c r="A25" t="inlineStr">
        <is>
          <t>LNK-00046</t>
        </is>
      </c>
      <c r="B25" t="inlineStr">
        <is>
          <t>Z</t>
        </is>
      </c>
      <c r="C25" t="inlineStr">
        <is>
          <t>MH-DC-001-PE-T4-04</t>
        </is>
      </c>
      <c r="D25" t="inlineStr">
        <is>
          <t>MH-DC-001-PC-00024</t>
        </is>
      </c>
    </row>
    <row r="26">
      <c r="A26" t="inlineStr">
        <is>
          <t>LNK-00049</t>
        </is>
      </c>
      <c r="B26" t="inlineStr">
        <is>
          <t>A</t>
        </is>
      </c>
      <c r="C26" t="inlineStr">
        <is>
          <t>MH-DC-001-OLA-01</t>
        </is>
      </c>
      <c r="D26" t="inlineStr">
        <is>
          <t>MH-DC-001-PC-00025</t>
        </is>
      </c>
    </row>
    <row r="27">
      <c r="A27" t="inlineStr">
        <is>
          <t>LNK-00049</t>
        </is>
      </c>
      <c r="B27" t="inlineStr">
        <is>
          <t>Z</t>
        </is>
      </c>
      <c r="C27" t="inlineStr">
        <is>
          <t>MH-DC-001-AGG-R01</t>
        </is>
      </c>
      <c r="D27" t="inlineStr">
        <is>
          <t>MH-DC-001-PC-00026</t>
        </is>
      </c>
    </row>
    <row r="28">
      <c r="A28" t="inlineStr">
        <is>
          <t>LNK-00050</t>
        </is>
      </c>
      <c r="B28" t="inlineStr">
        <is>
          <t>A</t>
        </is>
      </c>
      <c r="C28" t="inlineStr">
        <is>
          <t>MH-DC-001-OLA-02</t>
        </is>
      </c>
      <c r="D28" t="inlineStr">
        <is>
          <t>MH-DC-001-PC-00027</t>
        </is>
      </c>
    </row>
    <row r="29">
      <c r="A29" t="inlineStr">
        <is>
          <t>LNK-00050</t>
        </is>
      </c>
      <c r="B29" t="inlineStr">
        <is>
          <t>Z</t>
        </is>
      </c>
      <c r="C29" t="inlineStr">
        <is>
          <t>MH-DC-001-AGG-R02</t>
        </is>
      </c>
      <c r="D29" t="inlineStr">
        <is>
          <t>MH-DC-001-PC-00028</t>
        </is>
      </c>
    </row>
    <row r="30">
      <c r="A30" t="inlineStr">
        <is>
          <t>LNK-00051</t>
        </is>
      </c>
      <c r="B30" t="inlineStr">
        <is>
          <t>A</t>
        </is>
      </c>
      <c r="C30" t="inlineStr">
        <is>
          <t>MH-DC-001-FW-01</t>
        </is>
      </c>
      <c r="D30" t="inlineStr">
        <is>
          <t>MH-DC-001-PC-00029</t>
        </is>
      </c>
    </row>
    <row r="31">
      <c r="A31" t="inlineStr">
        <is>
          <t>LNK-00051</t>
        </is>
      </c>
      <c r="B31" t="inlineStr">
        <is>
          <t>Z</t>
        </is>
      </c>
      <c r="C31" t="inlineStr">
        <is>
          <t>MH-DC-001-AGG-R01</t>
        </is>
      </c>
      <c r="D31" t="inlineStr">
        <is>
          <t>MH-DC-001-PC-00030</t>
        </is>
      </c>
    </row>
    <row r="32">
      <c r="A32" t="inlineStr">
        <is>
          <t>LNK-00052</t>
        </is>
      </c>
      <c r="B32" t="inlineStr">
        <is>
          <t>A</t>
        </is>
      </c>
      <c r="C32" t="inlineStr">
        <is>
          <t>MH-DC-001-FW-01</t>
        </is>
      </c>
      <c r="D32" t="inlineStr">
        <is>
          <t>MH-DC-001-PC-00031</t>
        </is>
      </c>
    </row>
    <row r="33">
      <c r="A33" t="inlineStr">
        <is>
          <t>LNK-00052</t>
        </is>
      </c>
      <c r="B33" t="inlineStr">
        <is>
          <t>Z</t>
        </is>
      </c>
      <c r="C33" t="inlineStr">
        <is>
          <t>MH-DC-001-AGG-R02</t>
        </is>
      </c>
      <c r="D33" t="inlineStr">
        <is>
          <t>MH-DC-001-PC-00032</t>
        </is>
      </c>
    </row>
    <row r="34">
      <c r="A34" t="inlineStr">
        <is>
          <t>LNK-00053</t>
        </is>
      </c>
      <c r="B34" t="inlineStr">
        <is>
          <t>A</t>
        </is>
      </c>
      <c r="C34" t="inlineStr">
        <is>
          <t>MH-DC-001-FW-02</t>
        </is>
      </c>
      <c r="D34" t="inlineStr">
        <is>
          <t>MH-DC-001-PC-00033</t>
        </is>
      </c>
    </row>
    <row r="35">
      <c r="A35" t="inlineStr">
        <is>
          <t>LNK-00053</t>
        </is>
      </c>
      <c r="B35" t="inlineStr">
        <is>
          <t>Z</t>
        </is>
      </c>
      <c r="C35" t="inlineStr">
        <is>
          <t>MH-DC-001-AGG-R02</t>
        </is>
      </c>
      <c r="D35" t="inlineStr">
        <is>
          <t>MH-DC-001-PC-00034</t>
        </is>
      </c>
    </row>
    <row r="36">
      <c r="A36" t="inlineStr">
        <is>
          <t>LNK-00054</t>
        </is>
      </c>
      <c r="B36" t="inlineStr">
        <is>
          <t>A</t>
        </is>
      </c>
      <c r="C36" t="inlineStr">
        <is>
          <t>MH-DC-001-FW-02</t>
        </is>
      </c>
      <c r="D36" t="inlineStr">
        <is>
          <t>MH-DC-001-PC-00035</t>
        </is>
      </c>
    </row>
    <row r="37">
      <c r="A37" t="inlineStr">
        <is>
          <t>LNK-00054</t>
        </is>
      </c>
      <c r="B37" t="inlineStr">
        <is>
          <t>Z</t>
        </is>
      </c>
      <c r="C37" t="inlineStr">
        <is>
          <t>MH-DC-001-AGG-R03</t>
        </is>
      </c>
      <c r="D37" t="inlineStr">
        <is>
          <t>MH-DC-001-PC-00036</t>
        </is>
      </c>
    </row>
    <row r="38">
      <c r="A38" t="inlineStr">
        <is>
          <t>LNK-00055</t>
        </is>
      </c>
      <c r="B38" t="inlineStr">
        <is>
          <t>A</t>
        </is>
      </c>
      <c r="C38" t="inlineStr">
        <is>
          <t>MH-DC-001-MMR-SW-01</t>
        </is>
      </c>
      <c r="D38" t="inlineStr">
        <is>
          <t>MH-DC-001-PC-00037</t>
        </is>
      </c>
    </row>
    <row r="39">
      <c r="A39" t="inlineStr">
        <is>
          <t>LNK-00055</t>
        </is>
      </c>
      <c r="B39" t="inlineStr">
        <is>
          <t>Z</t>
        </is>
      </c>
      <c r="C39" t="inlineStr">
        <is>
          <t>MH-DC-001-AGG-R01</t>
        </is>
      </c>
      <c r="D39" t="inlineStr">
        <is>
          <t>MH-DC-001-PC-00038</t>
        </is>
      </c>
    </row>
    <row r="40">
      <c r="A40" t="inlineStr">
        <is>
          <t>LNK-00056</t>
        </is>
      </c>
      <c r="B40" t="inlineStr">
        <is>
          <t>A</t>
        </is>
      </c>
      <c r="C40" t="inlineStr">
        <is>
          <t>MH-DC-001-MMR-SW-01</t>
        </is>
      </c>
      <c r="D40" t="inlineStr">
        <is>
          <t>MH-DC-001-PC-00039</t>
        </is>
      </c>
    </row>
    <row r="41">
      <c r="A41" t="inlineStr">
        <is>
          <t>LNK-00056</t>
        </is>
      </c>
      <c r="B41" t="inlineStr">
        <is>
          <t>Z</t>
        </is>
      </c>
      <c r="C41" t="inlineStr">
        <is>
          <t>MH-DC-001-AGG-R01</t>
        </is>
      </c>
      <c r="D41" t="inlineStr">
        <is>
          <t>MH-DC-001-PC-00040</t>
        </is>
      </c>
    </row>
    <row r="42">
      <c r="A42" t="inlineStr">
        <is>
          <t>LNK-00057</t>
        </is>
      </c>
      <c r="B42" t="inlineStr">
        <is>
          <t>A</t>
        </is>
      </c>
      <c r="C42" t="inlineStr">
        <is>
          <t>MH-DC-001-MMR-SW-02</t>
        </is>
      </c>
      <c r="D42" t="inlineStr">
        <is>
          <t>MH-DC-001-PC-00041</t>
        </is>
      </c>
      <c r="E42" t="inlineStr">
        <is>
          <t>MH-DC-001-RACK-B-PP-F1</t>
        </is>
      </c>
      <c r="F42" t="n">
        <v>1</v>
      </c>
      <c r="G42" t="inlineStr">
        <is>
          <t>MH-DC-001-RACK-B-TRK-1</t>
        </is>
      </c>
      <c r="H42" t="inlineStr">
        <is>
          <t>MH-DC-001-RACK-T-ODF-1</t>
        </is>
      </c>
      <c r="I42" t="n">
        <v>1</v>
      </c>
    </row>
    <row r="43">
      <c r="A43" t="inlineStr">
        <is>
          <t>LNK-00057</t>
        </is>
      </c>
      <c r="B43" t="inlineStr">
        <is>
          <t>Z</t>
        </is>
      </c>
      <c r="C43" t="inlineStr">
        <is>
          <t>MH-DC-001-AGG-R02</t>
        </is>
      </c>
      <c r="D43" t="inlineStr">
        <is>
          <t>MH-DC-001-PC-00042</t>
        </is>
      </c>
      <c r="E43" t="inlineStr">
        <is>
          <t>MH-DC-001-RACK-A-PP-F1</t>
        </is>
      </c>
      <c r="F43" t="n">
        <v>1</v>
      </c>
      <c r="G43" t="inlineStr">
        <is>
          <t>MH-DC-001-RACK-A-TRK-2</t>
        </is>
      </c>
      <c r="H43" t="inlineStr">
        <is>
          <t>MH-DC-001-RACK-T-ODF-1</t>
        </is>
      </c>
      <c r="I43" t="n">
        <v>2</v>
      </c>
    </row>
    <row r="44">
      <c r="A44" t="inlineStr">
        <is>
          <t>LNK-00058</t>
        </is>
      </c>
      <c r="B44" t="inlineStr">
        <is>
          <t>A</t>
        </is>
      </c>
      <c r="C44" t="inlineStr">
        <is>
          <t>MH-DC-001-MMR-SW-02</t>
        </is>
      </c>
      <c r="D44" t="inlineStr">
        <is>
          <t>MH-DC-001-PC-00043</t>
        </is>
      </c>
      <c r="E44" t="inlineStr">
        <is>
          <t>MH-DC-001-RACK-B-PP-F1</t>
        </is>
      </c>
      <c r="F44" t="n">
        <v>2</v>
      </c>
      <c r="G44" t="inlineStr">
        <is>
          <t>MH-DC-001-RACK-B-TRK-2</t>
        </is>
      </c>
      <c r="H44" t="inlineStr">
        <is>
          <t>MH-DC-001-RACK-T-ODF-1</t>
        </is>
      </c>
      <c r="I44" t="n">
        <v>3</v>
      </c>
    </row>
    <row r="45">
      <c r="A45" t="inlineStr">
        <is>
          <t>LNK-00058</t>
        </is>
      </c>
      <c r="B45" t="inlineStr">
        <is>
          <t>Z</t>
        </is>
      </c>
      <c r="C45" t="inlineStr">
        <is>
          <t>MH-DC-001-AGG-R02</t>
        </is>
      </c>
      <c r="D45" t="inlineStr">
        <is>
          <t>MH-DC-001-PC-00044</t>
        </is>
      </c>
      <c r="E45" t="inlineStr">
        <is>
          <t>MH-DC-001-RACK-A-PP-F1</t>
        </is>
      </c>
      <c r="F45" t="n">
        <v>2</v>
      </c>
      <c r="G45" t="inlineStr">
        <is>
          <t>MH-DC-001-RACK-A-TRK-1</t>
        </is>
      </c>
      <c r="H45" t="inlineStr">
        <is>
          <t>MH-DC-001-RACK-T-ODF-1</t>
        </is>
      </c>
      <c r="I45" t="n">
        <v>4</v>
      </c>
    </row>
    <row r="46">
      <c r="A46" t="inlineStr">
        <is>
          <t>LNK-00059</t>
        </is>
      </c>
      <c r="B46" t="inlineStr">
        <is>
          <t>A</t>
        </is>
      </c>
      <c r="C46" t="inlineStr">
        <is>
          <t>MH-DC-001-MMR-SW-03</t>
        </is>
      </c>
      <c r="D46" t="inlineStr">
        <is>
          <t>MH-DC-001-PC-00045</t>
        </is>
      </c>
      <c r="E46" t="inlineStr">
        <is>
          <t>MH-DC-001-RACK-B-PP-F1</t>
        </is>
      </c>
      <c r="F46" t="n">
        <v>3</v>
      </c>
      <c r="G46" t="inlineStr">
        <is>
          <t>MH-DC-001-RACK-B-TRK-1</t>
        </is>
      </c>
      <c r="H46" t="inlineStr">
        <is>
          <t>MH-DC-001-RACK-T-ODF-1</t>
        </is>
      </c>
      <c r="I46" t="n">
        <v>5</v>
      </c>
    </row>
    <row r="47">
      <c r="A47" t="inlineStr">
        <is>
          <t>LNK-00059</t>
        </is>
      </c>
      <c r="B47" t="inlineStr">
        <is>
          <t>Z</t>
        </is>
      </c>
      <c r="C47" t="inlineStr">
        <is>
          <t>MH-DC-001-AGG-R03</t>
        </is>
      </c>
      <c r="D47" t="inlineStr">
        <is>
          <t>MH-DC-001-PC-00046</t>
        </is>
      </c>
      <c r="E47" t="inlineStr">
        <is>
          <t>MH-DC-001-RACK-A-PP-F1</t>
        </is>
      </c>
      <c r="F47" t="n">
        <v>3</v>
      </c>
      <c r="G47" t="inlineStr">
        <is>
          <t>MH-DC-001-RACK-A-TRK-2</t>
        </is>
      </c>
      <c r="H47" t="inlineStr">
        <is>
          <t>MH-DC-001-RACK-T-ODF-1</t>
        </is>
      </c>
      <c r="I47" t="n">
        <v>6</v>
      </c>
    </row>
    <row r="48">
      <c r="A48" t="inlineStr">
        <is>
          <t>LNK-00060</t>
        </is>
      </c>
      <c r="B48" t="inlineStr">
        <is>
          <t>A</t>
        </is>
      </c>
      <c r="C48" t="inlineStr">
        <is>
          <t>MH-DC-001-MMR-SW-03</t>
        </is>
      </c>
      <c r="D48" t="inlineStr">
        <is>
          <t>MH-DC-001-PC-00047</t>
        </is>
      </c>
      <c r="E48" t="inlineStr">
        <is>
          <t>MH-DC-001-RACK-B-PP-F1</t>
        </is>
      </c>
      <c r="F48" t="n">
        <v>4</v>
      </c>
      <c r="G48" t="inlineStr">
        <is>
          <t>MH-DC-001-RACK-B-TRK-2</t>
        </is>
      </c>
      <c r="H48" t="inlineStr">
        <is>
          <t>MH-DC-001-RACK-T-ODF-1</t>
        </is>
      </c>
      <c r="I48" t="n">
        <v>7</v>
      </c>
    </row>
    <row r="49">
      <c r="A49" t="inlineStr">
        <is>
          <t>LNK-00060</t>
        </is>
      </c>
      <c r="B49" t="inlineStr">
        <is>
          <t>Z</t>
        </is>
      </c>
      <c r="C49" t="inlineStr">
        <is>
          <t>MH-DC-001-AGG-R03</t>
        </is>
      </c>
      <c r="D49" t="inlineStr">
        <is>
          <t>MH-DC-001-PC-00048</t>
        </is>
      </c>
      <c r="E49" t="inlineStr">
        <is>
          <t>MH-DC-001-RACK-A-PP-F1</t>
        </is>
      </c>
      <c r="F49" t="n">
        <v>4</v>
      </c>
      <c r="G49" t="inlineStr">
        <is>
          <t>MH-DC-001-RACK-A-TRK-1</t>
        </is>
      </c>
      <c r="H49" t="inlineStr">
        <is>
          <t>MH-DC-001-RACK-T-ODF-1</t>
        </is>
      </c>
      <c r="I49" t="n">
        <v>8</v>
      </c>
    </row>
    <row r="50">
      <c r="A50" t="inlineStr">
        <is>
          <t>LNK-00061</t>
        </is>
      </c>
      <c r="B50" t="inlineStr">
        <is>
          <t>A</t>
        </is>
      </c>
      <c r="C50" t="inlineStr">
        <is>
          <t>MH-DC-001-MMR-SW-04</t>
        </is>
      </c>
      <c r="D50" t="inlineStr">
        <is>
          <t>MH-DC-001-PC-00049</t>
        </is>
      </c>
      <c r="E50" t="inlineStr">
        <is>
          <t>MH-DC-001-RACK-B-PP-F1</t>
        </is>
      </c>
      <c r="F50" t="n">
        <v>5</v>
      </c>
      <c r="G50" t="inlineStr">
        <is>
          <t>MH-DC-001-RACK-B-TRK-1</t>
        </is>
      </c>
      <c r="H50" t="inlineStr">
        <is>
          <t>MH-DC-001-RACK-T-ODF-1</t>
        </is>
      </c>
      <c r="I50" t="n">
        <v>9</v>
      </c>
    </row>
    <row r="51">
      <c r="A51" t="inlineStr">
        <is>
          <t>LNK-00061</t>
        </is>
      </c>
      <c r="B51" t="inlineStr">
        <is>
          <t>Z</t>
        </is>
      </c>
      <c r="C51" t="inlineStr">
        <is>
          <t>MH-DC-001-AGG-R01</t>
        </is>
      </c>
      <c r="D51" t="inlineStr">
        <is>
          <t>MH-DC-001-PC-00050</t>
        </is>
      </c>
      <c r="E51" t="inlineStr">
        <is>
          <t>MH-DC-001-RACK-A-PP-F1</t>
        </is>
      </c>
      <c r="F51" t="n">
        <v>5</v>
      </c>
      <c r="G51" t="inlineStr">
        <is>
          <t>MH-DC-001-RACK-A-TRK-1</t>
        </is>
      </c>
      <c r="H51" t="inlineStr">
        <is>
          <t>MH-DC-001-RACK-T-ODF-1</t>
        </is>
      </c>
      <c r="I51" t="n">
        <v>10</v>
      </c>
    </row>
    <row r="52">
      <c r="A52" t="inlineStr">
        <is>
          <t>LNK-00062</t>
        </is>
      </c>
      <c r="B52" t="inlineStr">
        <is>
          <t>A</t>
        </is>
      </c>
      <c r="C52" t="inlineStr">
        <is>
          <t>MH-DC-001-MMR-SW-04</t>
        </is>
      </c>
      <c r="D52" t="inlineStr">
        <is>
          <t>MH-DC-001-PC-00051</t>
        </is>
      </c>
      <c r="E52" t="inlineStr">
        <is>
          <t>MH-DC-001-RACK-B-PP-F1</t>
        </is>
      </c>
      <c r="F52" t="n">
        <v>6</v>
      </c>
      <c r="G52" t="inlineStr">
        <is>
          <t>MH-DC-001-RACK-B-TRK-2</t>
        </is>
      </c>
      <c r="H52" t="inlineStr">
        <is>
          <t>MH-DC-001-RACK-T-ODF-1</t>
        </is>
      </c>
      <c r="I52" t="n">
        <v>11</v>
      </c>
    </row>
    <row r="53">
      <c r="A53" t="inlineStr">
        <is>
          <t>LNK-00062</t>
        </is>
      </c>
      <c r="B53" t="inlineStr">
        <is>
          <t>Z</t>
        </is>
      </c>
      <c r="C53" t="inlineStr">
        <is>
          <t>MH-DC-001-AGG-R01</t>
        </is>
      </c>
      <c r="D53" t="inlineStr">
        <is>
          <t>MH-DC-001-PC-00052</t>
        </is>
      </c>
      <c r="E53" t="inlineStr">
        <is>
          <t>MH-DC-001-RACK-A-PP-F1</t>
        </is>
      </c>
      <c r="F53" t="n">
        <v>6</v>
      </c>
      <c r="G53" t="inlineStr">
        <is>
          <t>MH-DC-001-RACK-A-TRK-2</t>
        </is>
      </c>
      <c r="H53" t="inlineStr">
        <is>
          <t>MH-DC-001-RACK-T-ODF-1</t>
        </is>
      </c>
      <c r="I53" t="n">
        <v>12</v>
      </c>
    </row>
    <row r="54">
      <c r="A54" t="inlineStr">
        <is>
          <t>LNK-00063</t>
        </is>
      </c>
      <c r="B54" t="inlineStr">
        <is>
          <t>A</t>
        </is>
      </c>
      <c r="C54" t="inlineStr">
        <is>
          <t>MH-DC-001-MMR-SW-05</t>
        </is>
      </c>
      <c r="D54" t="inlineStr">
        <is>
          <t>MH-DC-001-PC-00053</t>
        </is>
      </c>
      <c r="E54" t="inlineStr">
        <is>
          <t>MH-DC-001-RACK-B-PP-F1</t>
        </is>
      </c>
      <c r="F54" t="n">
        <v>7</v>
      </c>
      <c r="G54" t="inlineStr">
        <is>
          <t>MH-DC-001-RACK-B-TRK-1</t>
        </is>
      </c>
      <c r="H54" t="inlineStr">
        <is>
          <t>MH-DC-001-RACK-T-ODF-1</t>
        </is>
      </c>
      <c r="I54" t="n">
        <v>13</v>
      </c>
    </row>
    <row r="55">
      <c r="A55" t="inlineStr">
        <is>
          <t>LNK-00063</t>
        </is>
      </c>
      <c r="B55" t="inlineStr">
        <is>
          <t>Z</t>
        </is>
      </c>
      <c r="C55" t="inlineStr">
        <is>
          <t>MH-DC-001-AGG-R02</t>
        </is>
      </c>
      <c r="D55" t="inlineStr">
        <is>
          <t>MH-DC-001-PC-00054</t>
        </is>
      </c>
      <c r="E55" t="inlineStr">
        <is>
          <t>MH-DC-001-RACK-A-PP-F1</t>
        </is>
      </c>
      <c r="F55" t="n">
        <v>7</v>
      </c>
      <c r="G55" t="inlineStr">
        <is>
          <t>MH-DC-001-RACK-A-TRK-2</t>
        </is>
      </c>
      <c r="H55" t="inlineStr">
        <is>
          <t>MH-DC-001-RACK-T-ODF-1</t>
        </is>
      </c>
      <c r="I55" t="n">
        <v>14</v>
      </c>
    </row>
    <row r="56">
      <c r="A56" t="inlineStr">
        <is>
          <t>LNK-00064</t>
        </is>
      </c>
      <c r="B56" t="inlineStr">
        <is>
          <t>A</t>
        </is>
      </c>
      <c r="C56" t="inlineStr">
        <is>
          <t>MH-DC-001-MMR-SW-05</t>
        </is>
      </c>
      <c r="D56" t="inlineStr">
        <is>
          <t>MH-DC-001-PC-00055</t>
        </is>
      </c>
      <c r="E56" t="inlineStr">
        <is>
          <t>MH-DC-001-RACK-B-PP-F1</t>
        </is>
      </c>
      <c r="F56" t="n">
        <v>8</v>
      </c>
      <c r="G56" t="inlineStr">
        <is>
          <t>MH-DC-001-RACK-B-TRK-2</t>
        </is>
      </c>
      <c r="H56" t="inlineStr">
        <is>
          <t>MH-DC-001-RACK-T-ODF-1</t>
        </is>
      </c>
      <c r="I56" t="n">
        <v>15</v>
      </c>
    </row>
    <row r="57">
      <c r="A57" t="inlineStr">
        <is>
          <t>LNK-00064</t>
        </is>
      </c>
      <c r="B57" t="inlineStr">
        <is>
          <t>Z</t>
        </is>
      </c>
      <c r="C57" t="inlineStr">
        <is>
          <t>MH-DC-001-AGG-R02</t>
        </is>
      </c>
      <c r="D57" t="inlineStr">
        <is>
          <t>MH-DC-001-PC-00056</t>
        </is>
      </c>
      <c r="E57" t="inlineStr">
        <is>
          <t>MH-DC-001-RACK-A-PP-F1</t>
        </is>
      </c>
      <c r="F57" t="n">
        <v>8</v>
      </c>
      <c r="G57" t="inlineStr">
        <is>
          <t>MH-DC-001-RACK-A-TRK-1</t>
        </is>
      </c>
      <c r="H57" t="inlineStr">
        <is>
          <t>MH-DC-001-RACK-T-ODF-1</t>
        </is>
      </c>
      <c r="I57" t="n">
        <v>16</v>
      </c>
    </row>
    <row r="58">
      <c r="A58" t="inlineStr">
        <is>
          <t>LNK-00065</t>
        </is>
      </c>
      <c r="B58" t="inlineStr">
        <is>
          <t>A</t>
        </is>
      </c>
      <c r="C58" t="inlineStr">
        <is>
          <t>MH-DC-001-MMR-SW-06</t>
        </is>
      </c>
      <c r="D58" t="inlineStr">
        <is>
          <t>MH-DC-001-PC-00057</t>
        </is>
      </c>
      <c r="E58" t="inlineStr">
        <is>
          <t>MH-DC-001-RACK-B-PP-F1</t>
        </is>
      </c>
      <c r="F58" t="n">
        <v>9</v>
      </c>
      <c r="G58" t="inlineStr">
        <is>
          <t>MH-DC-001-RACK-B-TRK-1</t>
        </is>
      </c>
      <c r="H58" t="inlineStr">
        <is>
          <t>MH-DC-001-RACK-T-ODF-1</t>
        </is>
      </c>
      <c r="I58" t="n">
        <v>17</v>
      </c>
    </row>
    <row r="59">
      <c r="A59" t="inlineStr">
        <is>
          <t>LNK-00065</t>
        </is>
      </c>
      <c r="B59" t="inlineStr">
        <is>
          <t>Z</t>
        </is>
      </c>
      <c r="C59" t="inlineStr">
        <is>
          <t>MH-DC-001-AGG-R03</t>
        </is>
      </c>
      <c r="D59" t="inlineStr">
        <is>
          <t>MH-DC-001-PC-00058</t>
        </is>
      </c>
      <c r="E59" t="inlineStr">
        <is>
          <t>MH-DC-001-RACK-A-PP-F1</t>
        </is>
      </c>
      <c r="F59" t="n">
        <v>9</v>
      </c>
      <c r="G59" t="inlineStr">
        <is>
          <t>MH-DC-001-RACK-A-TRK-2</t>
        </is>
      </c>
      <c r="H59" t="inlineStr">
        <is>
          <t>MH-DC-001-RACK-T-ODF-1</t>
        </is>
      </c>
      <c r="I59" t="n">
        <v>18</v>
      </c>
    </row>
    <row r="60">
      <c r="A60" t="inlineStr">
        <is>
          <t>LNK-00066</t>
        </is>
      </c>
      <c r="B60" t="inlineStr">
        <is>
          <t>A</t>
        </is>
      </c>
      <c r="C60" t="inlineStr">
        <is>
          <t>MH-DC-001-MMR-SW-06</t>
        </is>
      </c>
      <c r="D60" t="inlineStr">
        <is>
          <t>MH-DC-001-PC-00059</t>
        </is>
      </c>
      <c r="E60" t="inlineStr">
        <is>
          <t>MH-DC-001-RACK-B-PP-F1</t>
        </is>
      </c>
      <c r="F60" t="n">
        <v>10</v>
      </c>
      <c r="G60" t="inlineStr">
        <is>
          <t>MH-DC-001-RACK-B-TRK-2</t>
        </is>
      </c>
      <c r="H60" t="inlineStr">
        <is>
          <t>MH-DC-001-RACK-T-ODF-1</t>
        </is>
      </c>
      <c r="I60" t="n">
        <v>19</v>
      </c>
    </row>
    <row r="61">
      <c r="A61" t="inlineStr">
        <is>
          <t>LNK-00066</t>
        </is>
      </c>
      <c r="B61" t="inlineStr">
        <is>
          <t>Z</t>
        </is>
      </c>
      <c r="C61" t="inlineStr">
        <is>
          <t>MH-DC-001-AGG-R03</t>
        </is>
      </c>
      <c r="D61" t="inlineStr">
        <is>
          <t>MH-DC-001-PC-00060</t>
        </is>
      </c>
      <c r="E61" t="inlineStr">
        <is>
          <t>MH-DC-001-RACK-A-PP-F1</t>
        </is>
      </c>
      <c r="F61" t="n">
        <v>10</v>
      </c>
      <c r="G61" t="inlineStr">
        <is>
          <t>MH-DC-001-RACK-A-TRK-1</t>
        </is>
      </c>
      <c r="H61" t="inlineStr">
        <is>
          <t>MH-DC-001-RACK-T-ODF-1</t>
        </is>
      </c>
      <c r="I61" t="n">
        <v>20</v>
      </c>
    </row>
    <row r="62">
      <c r="A62" t="inlineStr">
        <is>
          <t>LNK-00067</t>
        </is>
      </c>
      <c r="B62" t="inlineStr">
        <is>
          <t>A</t>
        </is>
      </c>
      <c r="C62" t="inlineStr">
        <is>
          <t>MH-DC-001-MMR-SW-07</t>
        </is>
      </c>
      <c r="D62" t="inlineStr">
        <is>
          <t>MH-DC-001-PC-00061</t>
        </is>
      </c>
      <c r="E62" t="inlineStr">
        <is>
          <t>MH-DC-001-RACK-B-PP-F1</t>
        </is>
      </c>
      <c r="F62" t="n">
        <v>11</v>
      </c>
      <c r="G62" t="inlineStr">
        <is>
          <t>MH-DC-001-RACK-B-TRK-1</t>
        </is>
      </c>
      <c r="H62" t="inlineStr">
        <is>
          <t>MH-DC-001-RACK-T-ODF-1</t>
        </is>
      </c>
      <c r="I62" t="n">
        <v>21</v>
      </c>
    </row>
    <row r="63">
      <c r="A63" t="inlineStr">
        <is>
          <t>LNK-00067</t>
        </is>
      </c>
      <c r="B63" t="inlineStr">
        <is>
          <t>Z</t>
        </is>
      </c>
      <c r="C63" t="inlineStr">
        <is>
          <t>MH-DC-001-AGG-R01</t>
        </is>
      </c>
      <c r="D63" t="inlineStr">
        <is>
          <t>MH-DC-001-PC-00062</t>
        </is>
      </c>
      <c r="E63" t="inlineStr">
        <is>
          <t>MH-DC-001-RACK-A-PP-F1</t>
        </is>
      </c>
      <c r="F63" t="n">
        <v>11</v>
      </c>
      <c r="G63" t="inlineStr">
        <is>
          <t>MH-DC-001-RACK-A-TRK-1</t>
        </is>
      </c>
      <c r="H63" t="inlineStr">
        <is>
          <t>MH-DC-001-RACK-T-ODF-1</t>
        </is>
      </c>
      <c r="I63" t="n">
        <v>22</v>
      </c>
    </row>
    <row r="64">
      <c r="A64" t="inlineStr">
        <is>
          <t>LNK-00068</t>
        </is>
      </c>
      <c r="B64" t="inlineStr">
        <is>
          <t>A</t>
        </is>
      </c>
      <c r="C64" t="inlineStr">
        <is>
          <t>MH-DC-001-MMR-SW-07</t>
        </is>
      </c>
      <c r="D64" t="inlineStr">
        <is>
          <t>MH-DC-001-PC-00063</t>
        </is>
      </c>
      <c r="E64" t="inlineStr">
        <is>
          <t>MH-DC-001-RACK-B-PP-F1</t>
        </is>
      </c>
      <c r="F64" t="n">
        <v>12</v>
      </c>
      <c r="G64" t="inlineStr">
        <is>
          <t>MH-DC-001-RACK-B-TRK-2</t>
        </is>
      </c>
      <c r="H64" t="inlineStr">
        <is>
          <t>MH-DC-001-RACK-T-ODF-1</t>
        </is>
      </c>
      <c r="I64" t="n">
        <v>23</v>
      </c>
    </row>
    <row r="65">
      <c r="A65" t="inlineStr">
        <is>
          <t>LNK-00068</t>
        </is>
      </c>
      <c r="B65" t="inlineStr">
        <is>
          <t>Z</t>
        </is>
      </c>
      <c r="C65" t="inlineStr">
        <is>
          <t>MH-DC-001-AGG-R01</t>
        </is>
      </c>
      <c r="D65" t="inlineStr">
        <is>
          <t>MH-DC-001-PC-00064</t>
        </is>
      </c>
      <c r="E65" t="inlineStr">
        <is>
          <t>MH-DC-001-RACK-A-PP-F1</t>
        </is>
      </c>
      <c r="F65" t="n">
        <v>12</v>
      </c>
      <c r="G65" t="inlineStr">
        <is>
          <t>MH-DC-001-RACK-A-TRK-2</t>
        </is>
      </c>
      <c r="H65" t="inlineStr">
        <is>
          <t>MH-DC-001-RACK-T-ODF-1</t>
        </is>
      </c>
      <c r="I65" t="n">
        <v>24</v>
      </c>
    </row>
    <row r="66">
      <c r="A66" t="inlineStr">
        <is>
          <t>LNK-00069</t>
        </is>
      </c>
      <c r="B66" t="inlineStr">
        <is>
          <t>A</t>
        </is>
      </c>
      <c r="C66" t="inlineStr">
        <is>
          <t>MH-DC-001-MMR-SW-08</t>
        </is>
      </c>
      <c r="D66" t="inlineStr">
        <is>
          <t>MH-DC-001-PC-00065</t>
        </is>
      </c>
      <c r="E66" t="inlineStr">
        <is>
          <t>MH-DC-001-RACK-B-PP-F1</t>
        </is>
      </c>
      <c r="F66" t="n">
        <v>13</v>
      </c>
      <c r="G66" t="inlineStr">
        <is>
          <t>MH-DC-001-RACK-B-TRK-1</t>
        </is>
      </c>
      <c r="H66" t="inlineStr">
        <is>
          <t>MH-DC-001-RACK-T-ODF-2</t>
        </is>
      </c>
      <c r="I66" t="n">
        <v>1</v>
      </c>
    </row>
    <row r="67">
      <c r="A67" t="inlineStr">
        <is>
          <t>LNK-00069</t>
        </is>
      </c>
      <c r="B67" t="inlineStr">
        <is>
          <t>Z</t>
        </is>
      </c>
      <c r="C67" t="inlineStr">
        <is>
          <t>MH-DC-001-AGG-R02</t>
        </is>
      </c>
      <c r="D67" t="inlineStr">
        <is>
          <t>MH-DC-001-PC-00066</t>
        </is>
      </c>
      <c r="E67" t="inlineStr">
        <is>
          <t>MH-DC-001-RACK-A-PP-F1</t>
        </is>
      </c>
      <c r="F67" t="n">
        <v>13</v>
      </c>
      <c r="G67" t="inlineStr">
        <is>
          <t>MH-DC-001-RACK-A-TRK-2</t>
        </is>
      </c>
      <c r="H67" t="inlineStr">
        <is>
          <t>MH-DC-001-RACK-T-ODF-2</t>
        </is>
      </c>
      <c r="I67" t="n">
        <v>2</v>
      </c>
    </row>
    <row r="68">
      <c r="A68" t="inlineStr">
        <is>
          <t>LNK-00070</t>
        </is>
      </c>
      <c r="B68" t="inlineStr">
        <is>
          <t>A</t>
        </is>
      </c>
      <c r="C68" t="inlineStr">
        <is>
          <t>MH-DC-001-MMR-SW-08</t>
        </is>
      </c>
      <c r="D68" t="inlineStr">
        <is>
          <t>MH-DC-001-PC-00067</t>
        </is>
      </c>
      <c r="E68" t="inlineStr">
        <is>
          <t>MH-DC-001-RACK-B-PP-F1</t>
        </is>
      </c>
      <c r="F68" t="n">
        <v>14</v>
      </c>
      <c r="G68" t="inlineStr">
        <is>
          <t>MH-DC-001-RACK-B-TRK-2</t>
        </is>
      </c>
      <c r="H68" t="inlineStr">
        <is>
          <t>MH-DC-001-RACK-T-ODF-2</t>
        </is>
      </c>
      <c r="I68" t="n">
        <v>3</v>
      </c>
    </row>
    <row r="69">
      <c r="A69" t="inlineStr">
        <is>
          <t>LNK-00070</t>
        </is>
      </c>
      <c r="B69" t="inlineStr">
        <is>
          <t>Z</t>
        </is>
      </c>
      <c r="C69" t="inlineStr">
        <is>
          <t>MH-DC-001-AGG-R02</t>
        </is>
      </c>
      <c r="D69" t="inlineStr">
        <is>
          <t>MH-DC-001-PC-00068</t>
        </is>
      </c>
      <c r="E69" t="inlineStr">
        <is>
          <t>MH-DC-001-RACK-A-PP-F1</t>
        </is>
      </c>
      <c r="F69" t="n">
        <v>14</v>
      </c>
      <c r="G69" t="inlineStr">
        <is>
          <t>MH-DC-001-RACK-A-TRK-1</t>
        </is>
      </c>
      <c r="H69" t="inlineStr">
        <is>
          <t>MH-DC-001-RACK-T-ODF-2</t>
        </is>
      </c>
      <c r="I69" t="n">
        <v>4</v>
      </c>
    </row>
    <row r="70">
      <c r="A70" t="inlineStr">
        <is>
          <t>LNK-00071</t>
        </is>
      </c>
      <c r="B70" t="inlineStr">
        <is>
          <t>A</t>
        </is>
      </c>
      <c r="C70" t="inlineStr">
        <is>
          <t>MH-DC-001-MMR-SW-09</t>
        </is>
      </c>
      <c r="D70" t="inlineStr">
        <is>
          <t>MH-DC-001-PC-00069</t>
        </is>
      </c>
      <c r="E70" t="inlineStr">
        <is>
          <t>MH-DC-001-RACK-B-PP-F1</t>
        </is>
      </c>
      <c r="F70" t="n">
        <v>15</v>
      </c>
      <c r="G70" t="inlineStr">
        <is>
          <t>MH-DC-001-RACK-B-TRK-1</t>
        </is>
      </c>
      <c r="H70" t="inlineStr">
        <is>
          <t>MH-DC-001-RACK-T-ODF-2</t>
        </is>
      </c>
      <c r="I70" t="n">
        <v>5</v>
      </c>
    </row>
    <row r="71">
      <c r="A71" t="inlineStr">
        <is>
          <t>LNK-00071</t>
        </is>
      </c>
      <c r="B71" t="inlineStr">
        <is>
          <t>Z</t>
        </is>
      </c>
      <c r="C71" t="inlineStr">
        <is>
          <t>MH-DC-001-AGG-R03</t>
        </is>
      </c>
      <c r="D71" t="inlineStr">
        <is>
          <t>MH-DC-001-PC-00070</t>
        </is>
      </c>
      <c r="E71" t="inlineStr">
        <is>
          <t>MH-DC-001-RACK-A-PP-F1</t>
        </is>
      </c>
      <c r="F71" t="n">
        <v>15</v>
      </c>
      <c r="G71" t="inlineStr">
        <is>
          <t>MH-DC-001-RACK-A-TRK-2</t>
        </is>
      </c>
      <c r="H71" t="inlineStr">
        <is>
          <t>MH-DC-001-RACK-T-ODF-2</t>
        </is>
      </c>
      <c r="I71" t="n">
        <v>6</v>
      </c>
    </row>
    <row r="72">
      <c r="A72" t="inlineStr">
        <is>
          <t>LNK-00072</t>
        </is>
      </c>
      <c r="B72" t="inlineStr">
        <is>
          <t>A</t>
        </is>
      </c>
      <c r="C72" t="inlineStr">
        <is>
          <t>MH-DC-001-MMR-SW-09</t>
        </is>
      </c>
      <c r="D72" t="inlineStr">
        <is>
          <t>MH-DC-001-PC-00071</t>
        </is>
      </c>
      <c r="E72" t="inlineStr">
        <is>
          <t>MH-DC-001-RACK-B-PP-F1</t>
        </is>
      </c>
      <c r="F72" t="n">
        <v>16</v>
      </c>
      <c r="G72" t="inlineStr">
        <is>
          <t>MH-DC-001-RACK-B-TRK-2</t>
        </is>
      </c>
      <c r="H72" t="inlineStr">
        <is>
          <t>MH-DC-001-RACK-T-ODF-2</t>
        </is>
      </c>
      <c r="I72" t="n">
        <v>7</v>
      </c>
    </row>
    <row r="73">
      <c r="A73" t="inlineStr">
        <is>
          <t>LNK-00072</t>
        </is>
      </c>
      <c r="B73" t="inlineStr">
        <is>
          <t>Z</t>
        </is>
      </c>
      <c r="C73" t="inlineStr">
        <is>
          <t>MH-DC-001-AGG-R03</t>
        </is>
      </c>
      <c r="D73" t="inlineStr">
        <is>
          <t>MH-DC-001-PC-00072</t>
        </is>
      </c>
      <c r="E73" t="inlineStr">
        <is>
          <t>MH-DC-001-RACK-A-PP-F1</t>
        </is>
      </c>
      <c r="F73" t="n">
        <v>16</v>
      </c>
      <c r="G73" t="inlineStr">
        <is>
          <t>MH-DC-001-RACK-A-TRK-1</t>
        </is>
      </c>
      <c r="H73" t="inlineStr">
        <is>
          <t>MH-DC-001-RACK-T-ODF-2</t>
        </is>
      </c>
      <c r="I73" t="n">
        <v>8</v>
      </c>
    </row>
    <row r="74">
      <c r="A74" t="inlineStr">
        <is>
          <t>LNK-00073</t>
        </is>
      </c>
      <c r="B74" t="inlineStr">
        <is>
          <t>A</t>
        </is>
      </c>
      <c r="C74" t="inlineStr">
        <is>
          <t>MH-DC-001-TOR-001</t>
        </is>
      </c>
      <c r="D74" t="inlineStr">
        <is>
          <t>MH-DC-001-PC-00073</t>
        </is>
      </c>
      <c r="E74" t="inlineStr">
        <is>
          <t>MH-DC-001-RACK-B-PP-F1</t>
        </is>
      </c>
      <c r="F74" t="n">
        <v>17</v>
      </c>
      <c r="G74" t="inlineStr">
        <is>
          <t>MH-DC-001-RACK-B-TRK-1</t>
        </is>
      </c>
      <c r="H74" t="inlineStr">
        <is>
          <t>MH-DC-001-RACK-T-ODF-2</t>
        </is>
      </c>
      <c r="I74" t="n">
        <v>9</v>
      </c>
    </row>
    <row r="75">
      <c r="A75" t="inlineStr">
        <is>
          <t>LNK-00073</t>
        </is>
      </c>
      <c r="B75" t="inlineStr">
        <is>
          <t>Z</t>
        </is>
      </c>
      <c r="C75" t="inlineStr">
        <is>
          <t>MH-DC-001-MMR-SW-01</t>
        </is>
      </c>
      <c r="D75" t="inlineStr">
        <is>
          <t>MH-DC-001-PC-00074</t>
        </is>
      </c>
      <c r="E75" t="inlineStr">
        <is>
          <t>MH-DC-001-RACK-A-PP-F1</t>
        </is>
      </c>
      <c r="F75" t="n">
        <v>17</v>
      </c>
      <c r="G75" t="inlineStr">
        <is>
          <t>MH-DC-001-RACK-A-TRK-1</t>
        </is>
      </c>
      <c r="H75" t="inlineStr">
        <is>
          <t>MH-DC-001-RACK-T-ODF-2</t>
        </is>
      </c>
      <c r="I75" t="n">
        <v>10</v>
      </c>
    </row>
    <row r="76">
      <c r="A76" t="inlineStr">
        <is>
          <t>LNK-00074</t>
        </is>
      </c>
      <c r="B76" t="inlineStr">
        <is>
          <t>A</t>
        </is>
      </c>
      <c r="C76" t="inlineStr">
        <is>
          <t>MH-DC-001-TOR-001</t>
        </is>
      </c>
      <c r="D76" t="inlineStr">
        <is>
          <t>MH-DC-001-PC-00075</t>
        </is>
      </c>
    </row>
    <row r="77">
      <c r="A77" t="inlineStr">
        <is>
          <t>LNK-00074</t>
        </is>
      </c>
      <c r="B77" t="inlineStr">
        <is>
          <t>Z</t>
        </is>
      </c>
      <c r="C77" t="inlineStr">
        <is>
          <t>MH-DC-001-MMR-SW-02</t>
        </is>
      </c>
      <c r="D77" t="inlineStr">
        <is>
          <t>MH-DC-001-PC-00076</t>
        </is>
      </c>
    </row>
    <row r="78">
      <c r="A78" t="inlineStr">
        <is>
          <t>LNK-00075</t>
        </is>
      </c>
      <c r="B78" t="inlineStr">
        <is>
          <t>A</t>
        </is>
      </c>
      <c r="C78" t="inlineStr">
        <is>
          <t>MH-DC-001-TOR-002</t>
        </is>
      </c>
      <c r="D78" t="inlineStr">
        <is>
          <t>MH-DC-001-PC-00077</t>
        </is>
      </c>
    </row>
    <row r="79">
      <c r="A79" t="inlineStr">
        <is>
          <t>LNK-00075</t>
        </is>
      </c>
      <c r="B79" t="inlineStr">
        <is>
          <t>Z</t>
        </is>
      </c>
      <c r="C79" t="inlineStr">
        <is>
          <t>MH-DC-001-MMR-SW-02</t>
        </is>
      </c>
      <c r="D79" t="inlineStr">
        <is>
          <t>MH-DC-001-PC-00078</t>
        </is>
      </c>
    </row>
    <row r="80">
      <c r="A80" t="inlineStr">
        <is>
          <t>LNK-00076</t>
        </is>
      </c>
      <c r="B80" t="inlineStr">
        <is>
          <t>A</t>
        </is>
      </c>
      <c r="C80" t="inlineStr">
        <is>
          <t>MH-DC-001-TOR-002</t>
        </is>
      </c>
      <c r="D80" t="inlineStr">
        <is>
          <t>MH-DC-001-PC-00079</t>
        </is>
      </c>
    </row>
    <row r="81">
      <c r="A81" t="inlineStr">
        <is>
          <t>LNK-00076</t>
        </is>
      </c>
      <c r="B81" t="inlineStr">
        <is>
          <t>Z</t>
        </is>
      </c>
      <c r="C81" t="inlineStr">
        <is>
          <t>MH-DC-001-MMR-SW-03</t>
        </is>
      </c>
      <c r="D81" t="inlineStr">
        <is>
          <t>MH-DC-001-PC-00080</t>
        </is>
      </c>
    </row>
    <row r="82">
      <c r="A82" t="inlineStr">
        <is>
          <t>LNK-00077</t>
        </is>
      </c>
      <c r="B82" t="inlineStr">
        <is>
          <t>A</t>
        </is>
      </c>
      <c r="C82" t="inlineStr">
        <is>
          <t>MH-DC-001-TOR-003</t>
        </is>
      </c>
      <c r="D82" t="inlineStr">
        <is>
          <t>MH-DC-001-PC-00081</t>
        </is>
      </c>
    </row>
    <row r="83">
      <c r="A83" t="inlineStr">
        <is>
          <t>LNK-00077</t>
        </is>
      </c>
      <c r="B83" t="inlineStr">
        <is>
          <t>Z</t>
        </is>
      </c>
      <c r="C83" t="inlineStr">
        <is>
          <t>MH-DC-001-MMR-SW-03</t>
        </is>
      </c>
      <c r="D83" t="inlineStr">
        <is>
          <t>MH-DC-001-PC-00082</t>
        </is>
      </c>
    </row>
    <row r="84">
      <c r="A84" t="inlineStr">
        <is>
          <t>LNK-00078</t>
        </is>
      </c>
      <c r="B84" t="inlineStr">
        <is>
          <t>A</t>
        </is>
      </c>
      <c r="C84" t="inlineStr">
        <is>
          <t>MH-DC-001-TOR-003</t>
        </is>
      </c>
      <c r="D84" t="inlineStr">
        <is>
          <t>MH-DC-001-PC-00083</t>
        </is>
      </c>
    </row>
    <row r="85">
      <c r="A85" t="inlineStr">
        <is>
          <t>LNK-00078</t>
        </is>
      </c>
      <c r="B85" t="inlineStr">
        <is>
          <t>Z</t>
        </is>
      </c>
      <c r="C85" t="inlineStr">
        <is>
          <t>MH-DC-001-MMR-SW-04</t>
        </is>
      </c>
      <c r="D85" t="inlineStr">
        <is>
          <t>MH-DC-001-PC-00084</t>
        </is>
      </c>
    </row>
    <row r="86">
      <c r="A86" t="inlineStr">
        <is>
          <t>LNK-00079</t>
        </is>
      </c>
      <c r="B86" t="inlineStr">
        <is>
          <t>A</t>
        </is>
      </c>
      <c r="C86" t="inlineStr">
        <is>
          <t>MH-DC-001-TOR-004</t>
        </is>
      </c>
      <c r="D86" t="inlineStr">
        <is>
          <t>MH-DC-001-PC-00085</t>
        </is>
      </c>
    </row>
    <row r="87">
      <c r="A87" t="inlineStr">
        <is>
          <t>LNK-00079</t>
        </is>
      </c>
      <c r="B87" t="inlineStr">
        <is>
          <t>Z</t>
        </is>
      </c>
      <c r="C87" t="inlineStr">
        <is>
          <t>MH-DC-001-MMR-SW-04</t>
        </is>
      </c>
      <c r="D87" t="inlineStr">
        <is>
          <t>MH-DC-001-PC-00086</t>
        </is>
      </c>
    </row>
    <row r="88">
      <c r="A88" t="inlineStr">
        <is>
          <t>LNK-00080</t>
        </is>
      </c>
      <c r="B88" t="inlineStr">
        <is>
          <t>A</t>
        </is>
      </c>
      <c r="C88" t="inlineStr">
        <is>
          <t>MH-DC-001-TOR-004</t>
        </is>
      </c>
      <c r="D88" t="inlineStr">
        <is>
          <t>MH-DC-001-PC-00087</t>
        </is>
      </c>
    </row>
    <row r="89">
      <c r="A89" t="inlineStr">
        <is>
          <t>LNK-00080</t>
        </is>
      </c>
      <c r="B89" t="inlineStr">
        <is>
          <t>Z</t>
        </is>
      </c>
      <c r="C89" t="inlineStr">
        <is>
          <t>MH-DC-001-MMR-SW-05</t>
        </is>
      </c>
      <c r="D89" t="inlineStr">
        <is>
          <t>MH-DC-001-PC-00088</t>
        </is>
      </c>
    </row>
    <row r="90">
      <c r="A90" t="inlineStr">
        <is>
          <t>LNK-00081</t>
        </is>
      </c>
      <c r="B90" t="inlineStr">
        <is>
          <t>A</t>
        </is>
      </c>
      <c r="C90" t="inlineStr">
        <is>
          <t>MH-DC-001-TOR-005</t>
        </is>
      </c>
      <c r="D90" t="inlineStr">
        <is>
          <t>MH-DC-001-PC-00089</t>
        </is>
      </c>
    </row>
    <row r="91">
      <c r="A91" t="inlineStr">
        <is>
          <t>LNK-00081</t>
        </is>
      </c>
      <c r="B91" t="inlineStr">
        <is>
          <t>Z</t>
        </is>
      </c>
      <c r="C91" t="inlineStr">
        <is>
          <t>MH-DC-001-MMR-SW-05</t>
        </is>
      </c>
      <c r="D91" t="inlineStr">
        <is>
          <t>MH-DC-001-PC-00090</t>
        </is>
      </c>
    </row>
    <row r="92">
      <c r="A92" t="inlineStr">
        <is>
          <t>LNK-00082</t>
        </is>
      </c>
      <c r="B92" t="inlineStr">
        <is>
          <t>A</t>
        </is>
      </c>
      <c r="C92" t="inlineStr">
        <is>
          <t>MH-DC-001-TOR-005</t>
        </is>
      </c>
      <c r="D92" t="inlineStr">
        <is>
          <t>MH-DC-001-PC-00091</t>
        </is>
      </c>
    </row>
    <row r="93">
      <c r="A93" t="inlineStr">
        <is>
          <t>LNK-00082</t>
        </is>
      </c>
      <c r="B93" t="inlineStr">
        <is>
          <t>Z</t>
        </is>
      </c>
      <c r="C93" t="inlineStr">
        <is>
          <t>MH-DC-001-MMR-SW-06</t>
        </is>
      </c>
      <c r="D93" t="inlineStr">
        <is>
          <t>MH-DC-001-PC-00092</t>
        </is>
      </c>
    </row>
    <row r="94">
      <c r="A94" t="inlineStr">
        <is>
          <t>LNK-00083</t>
        </is>
      </c>
      <c r="B94" t="inlineStr">
        <is>
          <t>A</t>
        </is>
      </c>
      <c r="C94" t="inlineStr">
        <is>
          <t>MH-DC-001-TOR-006</t>
        </is>
      </c>
      <c r="D94" t="inlineStr">
        <is>
          <t>MH-DC-001-PC-00093</t>
        </is>
      </c>
    </row>
    <row r="95">
      <c r="A95" t="inlineStr">
        <is>
          <t>LNK-00083</t>
        </is>
      </c>
      <c r="B95" t="inlineStr">
        <is>
          <t>Z</t>
        </is>
      </c>
      <c r="C95" t="inlineStr">
        <is>
          <t>MH-DC-001-MMR-SW-06</t>
        </is>
      </c>
      <c r="D95" t="inlineStr">
        <is>
          <t>MH-DC-001-PC-00094</t>
        </is>
      </c>
    </row>
    <row r="96">
      <c r="A96" t="inlineStr">
        <is>
          <t>LNK-00084</t>
        </is>
      </c>
      <c r="B96" t="inlineStr">
        <is>
          <t>A</t>
        </is>
      </c>
      <c r="C96" t="inlineStr">
        <is>
          <t>MH-DC-001-TOR-006</t>
        </is>
      </c>
      <c r="D96" t="inlineStr">
        <is>
          <t>MH-DC-001-PC-00095</t>
        </is>
      </c>
    </row>
    <row r="97">
      <c r="A97" t="inlineStr">
        <is>
          <t>LNK-00084</t>
        </is>
      </c>
      <c r="B97" t="inlineStr">
        <is>
          <t>Z</t>
        </is>
      </c>
      <c r="C97" t="inlineStr">
        <is>
          <t>MH-DC-001-MMR-SW-07</t>
        </is>
      </c>
      <c r="D97" t="inlineStr">
        <is>
          <t>MH-DC-001-PC-00096</t>
        </is>
      </c>
    </row>
    <row r="98">
      <c r="A98" t="inlineStr">
        <is>
          <t>LNK-02113</t>
        </is>
      </c>
      <c r="B98" t="inlineStr">
        <is>
          <t>A</t>
        </is>
      </c>
      <c r="C98" t="inlineStr">
        <is>
          <t>MH-DC-001-BMS-01</t>
        </is>
      </c>
      <c r="D98" t="inlineStr">
        <is>
          <t>MH-DC-001-PC-00117</t>
        </is>
      </c>
      <c r="E98" t="inlineStr">
        <is>
          <t>MH-DC-001-RACK-U-PP-F1</t>
        </is>
      </c>
      <c r="F98" t="n">
        <v>1</v>
      </c>
      <c r="G98" t="inlineStr">
        <is>
          <t>MH-DC-001-RACK-U-TRK-1</t>
        </is>
      </c>
      <c r="H98" t="inlineStr">
        <is>
          <t>MH-DC-001-RACK-T-ODF-3</t>
        </is>
      </c>
      <c r="I98" t="n">
        <v>7</v>
      </c>
    </row>
    <row r="99">
      <c r="A99" t="inlineStr">
        <is>
          <t>LNK-02113</t>
        </is>
      </c>
      <c r="B99" t="inlineStr">
        <is>
          <t>Z</t>
        </is>
      </c>
      <c r="C99" t="inlineStr">
        <is>
          <t>MH-DC-001-TOR-001</t>
        </is>
      </c>
      <c r="D99" t="inlineStr">
        <is>
          <t>MH-DC-001-PC-00118</t>
        </is>
      </c>
      <c r="E99" t="inlineStr">
        <is>
          <t>MH-DC-001-RACK-B-PP-F1</t>
        </is>
      </c>
      <c r="F99" t="n">
        <v>18</v>
      </c>
      <c r="G99" t="inlineStr">
        <is>
          <t>MH-DC-001-RACK-B-TRK-1</t>
        </is>
      </c>
      <c r="H99" t="inlineStr">
        <is>
          <t>MH-DC-001-RACK-T-ODF-3</t>
        </is>
      </c>
      <c r="I99" t="n">
        <v>8</v>
      </c>
    </row>
    <row r="100">
      <c r="A100" t="inlineStr">
        <is>
          <t>LNK-02114</t>
        </is>
      </c>
      <c r="B100" t="inlineStr">
        <is>
          <t>A</t>
        </is>
      </c>
      <c r="C100" t="inlineStr">
        <is>
          <t>MH-DC-001-BMS-01</t>
        </is>
      </c>
      <c r="D100" t="inlineStr">
        <is>
          <t>MH-DC-001-PC-00119</t>
        </is>
      </c>
      <c r="E100" t="inlineStr">
        <is>
          <t>MH-DC-001-RACK-U-PP-F1</t>
        </is>
      </c>
      <c r="F100" t="n">
        <v>2</v>
      </c>
      <c r="G100" t="inlineStr">
        <is>
          <t>MH-DC-001-RACK-U-TRK-2</t>
        </is>
      </c>
      <c r="H100" t="inlineStr">
        <is>
          <t>MH-DC-001-RACK-T-ODF-3</t>
        </is>
      </c>
      <c r="I100" t="n">
        <v>9</v>
      </c>
    </row>
    <row r="101">
      <c r="A101" t="inlineStr">
        <is>
          <t>LNK-02114</t>
        </is>
      </c>
      <c r="B101" t="inlineStr">
        <is>
          <t>Z</t>
        </is>
      </c>
      <c r="C101" t="inlineStr">
        <is>
          <t>MH-DC-001-TOR-002</t>
        </is>
      </c>
      <c r="D101" t="inlineStr">
        <is>
          <t>MH-DC-001-PC-00120</t>
        </is>
      </c>
      <c r="E101" t="inlineStr">
        <is>
          <t>MH-DC-001-RACK-B-PP-F1</t>
        </is>
      </c>
      <c r="F101" t="n">
        <v>19</v>
      </c>
      <c r="G101" t="inlineStr">
        <is>
          <t>MH-DC-001-RACK-B-TRK-1</t>
        </is>
      </c>
      <c r="H101" t="inlineStr">
        <is>
          <t>MH-DC-001-RACK-T-ODF-3</t>
        </is>
      </c>
      <c r="I101" t="n">
        <v>10</v>
      </c>
    </row>
    <row r="102">
      <c r="A102" t="inlineStr">
        <is>
          <t>LNK-02115</t>
        </is>
      </c>
      <c r="B102" t="inlineStr">
        <is>
          <t>A</t>
        </is>
      </c>
      <c r="C102" t="inlineStr">
        <is>
          <t>MH-DC-001-BMS-02</t>
        </is>
      </c>
      <c r="D102" t="inlineStr">
        <is>
          <t>MH-DC-001-PC-00121</t>
        </is>
      </c>
      <c r="E102" t="inlineStr">
        <is>
          <t>MH-DC-001-RACK-U-PP-F1</t>
        </is>
      </c>
      <c r="F102" t="n">
        <v>3</v>
      </c>
      <c r="G102" t="inlineStr">
        <is>
          <t>MH-DC-001-RACK-U-TRK-1</t>
        </is>
      </c>
      <c r="H102" t="inlineStr">
        <is>
          <t>MH-DC-001-RACK-T-ODF-3</t>
        </is>
      </c>
      <c r="I102" t="n">
        <v>11</v>
      </c>
    </row>
    <row r="103">
      <c r="A103" t="inlineStr">
        <is>
          <t>LNK-02115</t>
        </is>
      </c>
      <c r="B103" t="inlineStr">
        <is>
          <t>Z</t>
        </is>
      </c>
      <c r="C103" t="inlineStr">
        <is>
          <t>MH-DC-001-TOR-001</t>
        </is>
      </c>
      <c r="D103" t="inlineStr">
        <is>
          <t>MH-DC-001-PC-00122</t>
        </is>
      </c>
      <c r="E103" t="inlineStr">
        <is>
          <t>MH-DC-001-RACK-B-PP-F1</t>
        </is>
      </c>
      <c r="F103" t="n">
        <v>20</v>
      </c>
      <c r="G103" t="inlineStr">
        <is>
          <t>MH-DC-001-RACK-B-TRK-2</t>
        </is>
      </c>
      <c r="H103" t="inlineStr">
        <is>
          <t>MH-DC-001-RACK-T-ODF-3</t>
        </is>
      </c>
      <c r="I103" t="n">
        <v>12</v>
      </c>
    </row>
    <row r="104">
      <c r="A104" t="inlineStr">
        <is>
          <t>LNK-02116</t>
        </is>
      </c>
      <c r="B104" t="inlineStr">
        <is>
          <t>A</t>
        </is>
      </c>
      <c r="C104" t="inlineStr">
        <is>
          <t>MH-DC-001-BMS-02</t>
        </is>
      </c>
      <c r="D104" t="inlineStr">
        <is>
          <t>MH-DC-001-PC-00123</t>
        </is>
      </c>
      <c r="E104" t="inlineStr">
        <is>
          <t>MH-DC-001-RACK-U-PP-F1</t>
        </is>
      </c>
      <c r="F104" t="n">
        <v>4</v>
      </c>
      <c r="G104" t="inlineStr">
        <is>
          <t>MH-DC-001-RACK-U-TRK-2</t>
        </is>
      </c>
      <c r="H104" t="inlineStr">
        <is>
          <t>MH-DC-001-RACK-T-ODF-3</t>
        </is>
      </c>
      <c r="I104" t="n">
        <v>13</v>
      </c>
    </row>
    <row r="105">
      <c r="A105" t="inlineStr">
        <is>
          <t>LNK-02116</t>
        </is>
      </c>
      <c r="B105" t="inlineStr">
        <is>
          <t>Z</t>
        </is>
      </c>
      <c r="C105" t="inlineStr">
        <is>
          <t>MH-DC-001-TOR-002</t>
        </is>
      </c>
      <c r="D105" t="inlineStr">
        <is>
          <t>MH-DC-001-PC-00124</t>
        </is>
      </c>
      <c r="E105" t="inlineStr">
        <is>
          <t>MH-DC-001-RACK-B-PP-F1</t>
        </is>
      </c>
      <c r="F105" t="n">
        <v>21</v>
      </c>
      <c r="G105" t="inlineStr">
        <is>
          <t>MH-DC-001-RACK-B-TRK-2</t>
        </is>
      </c>
      <c r="H105" t="inlineStr">
        <is>
          <t>MH-DC-001-RACK-T-ODF-3</t>
        </is>
      </c>
      <c r="I105" t="n">
        <v>14</v>
      </c>
    </row>
    <row r="106">
      <c r="A106" t="inlineStr">
        <is>
          <t>LNK-02117</t>
        </is>
      </c>
      <c r="B106" t="inlineStr">
        <is>
          <t>A</t>
        </is>
      </c>
      <c r="C106" t="inlineStr">
        <is>
          <t>MH-DC-001-ACS-01</t>
        </is>
      </c>
      <c r="D106" t="inlineStr">
        <is>
          <t>MH-DC-001-PC-00125</t>
        </is>
      </c>
      <c r="E106" t="inlineStr">
        <is>
          <t>MH-DC-001-RACK-U-PP-F1</t>
        </is>
      </c>
      <c r="F106" t="n">
        <v>5</v>
      </c>
      <c r="G106" t="inlineStr">
        <is>
          <t>MH-DC-001-RACK-U-TRK-1</t>
        </is>
      </c>
      <c r="H106" t="inlineStr">
        <is>
          <t>MH-DC-001-RACK-T-ODF-3</t>
        </is>
      </c>
      <c r="I106" t="n">
        <v>15</v>
      </c>
    </row>
    <row r="107">
      <c r="A107" t="inlineStr">
        <is>
          <t>LNK-02117</t>
        </is>
      </c>
      <c r="B107" t="inlineStr">
        <is>
          <t>Z</t>
        </is>
      </c>
      <c r="C107" t="inlineStr">
        <is>
          <t>MH-DC-001-TOR-001</t>
        </is>
      </c>
      <c r="D107" t="inlineStr">
        <is>
          <t>MH-DC-001-PC-00126</t>
        </is>
      </c>
      <c r="E107" t="inlineStr">
        <is>
          <t>MH-DC-001-RACK-B-PP-F1</t>
        </is>
      </c>
      <c r="F107" t="n">
        <v>22</v>
      </c>
      <c r="G107" t="inlineStr">
        <is>
          <t>MH-DC-001-RACK-B-TRK-1</t>
        </is>
      </c>
      <c r="H107" t="inlineStr">
        <is>
          <t>MH-DC-001-RACK-T-ODF-3</t>
        </is>
      </c>
      <c r="I107" t="n">
        <v>16</v>
      </c>
    </row>
    <row r="108">
      <c r="A108" t="inlineStr">
        <is>
          <t>LNK-02118</t>
        </is>
      </c>
      <c r="B108" t="inlineStr">
        <is>
          <t>A</t>
        </is>
      </c>
      <c r="C108" t="inlineStr">
        <is>
          <t>MH-DC-001-ACS-01</t>
        </is>
      </c>
      <c r="D108" t="inlineStr">
        <is>
          <t>MH-DC-001-PC-00127</t>
        </is>
      </c>
      <c r="E108" t="inlineStr">
        <is>
          <t>MH-DC-001-RACK-U-PP-F1</t>
        </is>
      </c>
      <c r="F108" t="n">
        <v>6</v>
      </c>
      <c r="G108" t="inlineStr">
        <is>
          <t>MH-DC-001-RACK-U-TRK-2</t>
        </is>
      </c>
      <c r="H108" t="inlineStr">
        <is>
          <t>MH-DC-001-RACK-T-ODF-3</t>
        </is>
      </c>
      <c r="I108" t="n">
        <v>17</v>
      </c>
    </row>
    <row r="109">
      <c r="A109" t="inlineStr">
        <is>
          <t>LNK-02118</t>
        </is>
      </c>
      <c r="B109" t="inlineStr">
        <is>
          <t>Z</t>
        </is>
      </c>
      <c r="C109" t="inlineStr">
        <is>
          <t>MH-DC-001-TOR-002</t>
        </is>
      </c>
      <c r="D109" t="inlineStr">
        <is>
          <t>MH-DC-001-PC-00128</t>
        </is>
      </c>
      <c r="E109" t="inlineStr">
        <is>
          <t>MH-DC-001-RACK-B-PP-F1</t>
        </is>
      </c>
      <c r="F109" t="n">
        <v>23</v>
      </c>
      <c r="G109" t="inlineStr">
        <is>
          <t>MH-DC-001-RACK-B-TRK-1</t>
        </is>
      </c>
      <c r="H109" t="inlineStr">
        <is>
          <t>MH-DC-001-RACK-T-ODF-3</t>
        </is>
      </c>
      <c r="I109" t="n">
        <v>18</v>
      </c>
    </row>
    <row r="110">
      <c r="A110" t="inlineStr">
        <is>
          <t>LNK-02119</t>
        </is>
      </c>
      <c r="B110" t="inlineStr">
        <is>
          <t>A</t>
        </is>
      </c>
      <c r="C110" t="inlineStr">
        <is>
          <t>MH-DC-001-NVR-01</t>
        </is>
      </c>
      <c r="D110" t="inlineStr">
        <is>
          <t>MH-DC-001-PC-00129</t>
        </is>
      </c>
      <c r="E110" t="inlineStr">
        <is>
          <t>MH-DC-001-RACK-U-PP-F1</t>
        </is>
      </c>
      <c r="F110" t="n">
        <v>7</v>
      </c>
      <c r="G110" t="inlineStr">
        <is>
          <t>MH-DC-001-RACK-U-TRK-1</t>
        </is>
      </c>
      <c r="H110" t="inlineStr">
        <is>
          <t>MH-DC-001-RACK-T-ODF-3</t>
        </is>
      </c>
      <c r="I110" t="n">
        <v>19</v>
      </c>
    </row>
    <row r="111">
      <c r="A111" t="inlineStr">
        <is>
          <t>LNK-02119</t>
        </is>
      </c>
      <c r="B111" t="inlineStr">
        <is>
          <t>Z</t>
        </is>
      </c>
      <c r="C111" t="inlineStr">
        <is>
          <t>MH-DC-001-TOR-001</t>
        </is>
      </c>
      <c r="D111" t="inlineStr">
        <is>
          <t>MH-DC-001-PC-00130</t>
        </is>
      </c>
      <c r="E111" t="inlineStr">
        <is>
          <t>MH-DC-001-RACK-B-PP-F1</t>
        </is>
      </c>
      <c r="F111" t="n">
        <v>24</v>
      </c>
      <c r="G111" t="inlineStr">
        <is>
          <t>MH-DC-001-RACK-B-TRK-2</t>
        </is>
      </c>
      <c r="H111" t="inlineStr">
        <is>
          <t>MH-DC-001-RACK-T-ODF-3</t>
        </is>
      </c>
      <c r="I111" t="n">
        <v>20</v>
      </c>
    </row>
    <row r="112">
      <c r="A112" t="inlineStr">
        <is>
          <t>LNK-02120</t>
        </is>
      </c>
      <c r="B112" t="inlineStr">
        <is>
          <t>A</t>
        </is>
      </c>
      <c r="C112" t="inlineStr">
        <is>
          <t>MH-DC-001-NVR-01</t>
        </is>
      </c>
      <c r="D112" t="inlineStr">
        <is>
          <t>MH-DC-001-PC-00131</t>
        </is>
      </c>
      <c r="E112" t="inlineStr">
        <is>
          <t>MH-DC-001-RACK-U-PP-F1</t>
        </is>
      </c>
      <c r="F112" t="n">
        <v>8</v>
      </c>
      <c r="G112" t="inlineStr">
        <is>
          <t>MH-DC-001-RACK-U-TRK-2</t>
        </is>
      </c>
      <c r="H112" t="inlineStr">
        <is>
          <t>MH-DC-001-RACK-T-ODF-3</t>
        </is>
      </c>
      <c r="I112" t="n">
        <v>21</v>
      </c>
    </row>
    <row r="113">
      <c r="A113" t="inlineStr">
        <is>
          <t>LNK-02120</t>
        </is>
      </c>
      <c r="B113" t="inlineStr">
        <is>
          <t>Z</t>
        </is>
      </c>
      <c r="C113" t="inlineStr">
        <is>
          <t>MH-DC-001-TOR-002</t>
        </is>
      </c>
      <c r="D113" t="inlineStr">
        <is>
          <t>MH-DC-001-PC-00132</t>
        </is>
      </c>
      <c r="E113" t="inlineStr">
        <is>
          <t>MH-DC-001-RACK-B-PP-F2</t>
        </is>
      </c>
      <c r="F113" t="n">
        <v>1</v>
      </c>
      <c r="G113" t="inlineStr">
        <is>
          <t>MH-DC-001-RACK-B-TRK-2</t>
        </is>
      </c>
      <c r="H113" t="inlineStr">
        <is>
          <t>MH-DC-001-RACK-T-ODF-3</t>
        </is>
      </c>
      <c r="I113" t="n">
        <v>22</v>
      </c>
    </row>
    <row r="114">
      <c r="A114" t="inlineStr">
        <is>
          <t>LNK-02121</t>
        </is>
      </c>
      <c r="B114" t="inlineStr">
        <is>
          <t>A</t>
        </is>
      </c>
      <c r="C114" t="inlineStr">
        <is>
          <t>MH-DC-001-NVR-02</t>
        </is>
      </c>
      <c r="D114" t="inlineStr">
        <is>
          <t>MH-DC-001-PC-00133</t>
        </is>
      </c>
      <c r="E114" t="inlineStr">
        <is>
          <t>MH-DC-001-RACK-U-PP-F1</t>
        </is>
      </c>
      <c r="F114" t="n">
        <v>9</v>
      </c>
      <c r="G114" t="inlineStr">
        <is>
          <t>MH-DC-001-RACK-U-TRK-1</t>
        </is>
      </c>
      <c r="H114" t="inlineStr">
        <is>
          <t>MH-DC-001-RACK-T-ODF-3</t>
        </is>
      </c>
      <c r="I114" t="n">
        <v>23</v>
      </c>
    </row>
    <row r="115">
      <c r="A115" t="inlineStr">
        <is>
          <t>LNK-02121</t>
        </is>
      </c>
      <c r="B115" t="inlineStr">
        <is>
          <t>Z</t>
        </is>
      </c>
      <c r="C115" t="inlineStr">
        <is>
          <t>MH-DC-001-TOR-001</t>
        </is>
      </c>
      <c r="D115" t="inlineStr">
        <is>
          <t>MH-DC-001-PC-00134</t>
        </is>
      </c>
      <c r="E115" t="inlineStr">
        <is>
          <t>MH-DC-001-RACK-B-PP-F2</t>
        </is>
      </c>
      <c r="F115" t="n">
        <v>2</v>
      </c>
      <c r="G115" t="inlineStr">
        <is>
          <t>MH-DC-001-RACK-B-TRK-1</t>
        </is>
      </c>
      <c r="H115" t="inlineStr">
        <is>
          <t>MH-DC-001-RACK-T-ODF-3</t>
        </is>
      </c>
      <c r="I115" t="n">
        <v>24</v>
      </c>
    </row>
    <row r="116">
      <c r="A116" t="inlineStr">
        <is>
          <t>LNK-02122</t>
        </is>
      </c>
      <c r="B116" t="inlineStr">
        <is>
          <t>A</t>
        </is>
      </c>
      <c r="C116" t="inlineStr">
        <is>
          <t>MH-DC-001-NVR-02</t>
        </is>
      </c>
      <c r="D116" t="inlineStr">
        <is>
          <t>MH-DC-001-PC-00135</t>
        </is>
      </c>
      <c r="E116" t="inlineStr">
        <is>
          <t>MH-DC-001-RACK-U-PP-F1</t>
        </is>
      </c>
      <c r="F116" t="n">
        <v>10</v>
      </c>
      <c r="G116" t="inlineStr">
        <is>
          <t>MH-DC-001-RACK-U-TRK-2</t>
        </is>
      </c>
      <c r="H116" t="inlineStr">
        <is>
          <t>MH-DC-001-RACK-T-ODF-4</t>
        </is>
      </c>
      <c r="I116" t="n">
        <v>1</v>
      </c>
    </row>
    <row r="117">
      <c r="A117" t="inlineStr">
        <is>
          <t>LNK-02122</t>
        </is>
      </c>
      <c r="B117" t="inlineStr">
        <is>
          <t>Z</t>
        </is>
      </c>
      <c r="C117" t="inlineStr">
        <is>
          <t>MH-DC-001-TOR-002</t>
        </is>
      </c>
      <c r="D117" t="inlineStr">
        <is>
          <t>MH-DC-001-PC-00136</t>
        </is>
      </c>
      <c r="E117" t="inlineStr">
        <is>
          <t>MH-DC-001-RACK-B-PP-F2</t>
        </is>
      </c>
      <c r="F117" t="n">
        <v>3</v>
      </c>
      <c r="G117" t="inlineStr">
        <is>
          <t>MH-DC-001-RACK-B-TRK-1</t>
        </is>
      </c>
      <c r="H117" t="inlineStr">
        <is>
          <t>MH-DC-001-RACK-T-ODF-4</t>
        </is>
      </c>
      <c r="I117" t="n">
        <v>2</v>
      </c>
    </row>
    <row r="118">
      <c r="A118" t="inlineStr">
        <is>
          <t>LNK-02123</t>
        </is>
      </c>
      <c r="B118" t="inlineStr">
        <is>
          <t>A</t>
        </is>
      </c>
      <c r="C118" t="inlineStr">
        <is>
          <t>MH-DC-001-JMP-01</t>
        </is>
      </c>
      <c r="D118" t="inlineStr">
        <is>
          <t>MH-DC-001-PC-00137</t>
        </is>
      </c>
      <c r="E118" t="inlineStr">
        <is>
          <t>MH-DC-001-RACK-U-PP-F1</t>
        </is>
      </c>
      <c r="F118" t="n">
        <v>11</v>
      </c>
      <c r="G118" t="inlineStr">
        <is>
          <t>MH-DC-001-RACK-U-TRK-1</t>
        </is>
      </c>
      <c r="H118" t="inlineStr">
        <is>
          <t>MH-DC-001-RACK-T-ODF-4</t>
        </is>
      </c>
      <c r="I118" t="n">
        <v>3</v>
      </c>
    </row>
    <row r="119">
      <c r="A119" t="inlineStr">
        <is>
          <t>LNK-02123</t>
        </is>
      </c>
      <c r="B119" t="inlineStr">
        <is>
          <t>Z</t>
        </is>
      </c>
      <c r="C119" t="inlineStr">
        <is>
          <t>MH-DC-001-TOR-003</t>
        </is>
      </c>
      <c r="D119" t="inlineStr">
        <is>
          <t>MH-DC-001-PC-00138</t>
        </is>
      </c>
      <c r="E119" t="inlineStr">
        <is>
          <t>MH-DC-001-RACK-B-PP-F2</t>
        </is>
      </c>
      <c r="F119" t="n">
        <v>4</v>
      </c>
      <c r="G119" t="inlineStr">
        <is>
          <t>MH-DC-001-RACK-B-TRK-1</t>
        </is>
      </c>
      <c r="H119" t="inlineStr">
        <is>
          <t>MH-DC-001-RACK-T-ODF-4</t>
        </is>
      </c>
      <c r="I119" t="n">
        <v>4</v>
      </c>
    </row>
    <row r="120">
      <c r="A120" t="inlineStr">
        <is>
          <t>LNK-02124</t>
        </is>
      </c>
      <c r="B120" t="inlineStr">
        <is>
          <t>A</t>
        </is>
      </c>
      <c r="C120" t="inlineStr">
        <is>
          <t>MH-DC-001-JMP-01</t>
        </is>
      </c>
      <c r="D120" t="inlineStr">
        <is>
          <t>MH-DC-001-PC-00139</t>
        </is>
      </c>
      <c r="E120" t="inlineStr">
        <is>
          <t>MH-DC-001-RACK-U-PP-F1</t>
        </is>
      </c>
      <c r="F120" t="n">
        <v>12</v>
      </c>
      <c r="G120" t="inlineStr">
        <is>
          <t>MH-DC-001-RACK-U-TRK-2</t>
        </is>
      </c>
      <c r="H120" t="inlineStr">
        <is>
          <t>MH-DC-001-RACK-T-ODF-4</t>
        </is>
      </c>
      <c r="I120" t="n">
        <v>5</v>
      </c>
    </row>
    <row r="121">
      <c r="A121" t="inlineStr">
        <is>
          <t>LNK-02124</t>
        </is>
      </c>
      <c r="B121" t="inlineStr">
        <is>
          <t>Z</t>
        </is>
      </c>
      <c r="C121" t="inlineStr">
        <is>
          <t>MH-DC-001-TOR-004</t>
        </is>
      </c>
      <c r="D121" t="inlineStr">
        <is>
          <t>MH-DC-001-PC-00140</t>
        </is>
      </c>
      <c r="E121" t="inlineStr">
        <is>
          <t>MH-DC-001-RACK-B-PP-F2</t>
        </is>
      </c>
      <c r="F121" t="n">
        <v>5</v>
      </c>
      <c r="G121" t="inlineStr">
        <is>
          <t>MH-DC-001-RACK-B-TRK-1</t>
        </is>
      </c>
      <c r="H121" t="inlineStr">
        <is>
          <t>MH-DC-001-RACK-T-ODF-4</t>
        </is>
      </c>
      <c r="I121" t="n">
        <v>6</v>
      </c>
    </row>
    <row r="122">
      <c r="A122" t="inlineStr">
        <is>
          <t>LNK-02125</t>
        </is>
      </c>
      <c r="B122" t="inlineStr">
        <is>
          <t>A</t>
        </is>
      </c>
      <c r="C122" t="inlineStr">
        <is>
          <t>MH-DC-001-JMP-02</t>
        </is>
      </c>
      <c r="D122" t="inlineStr">
        <is>
          <t>MH-DC-001-PC-00141</t>
        </is>
      </c>
      <c r="E122" t="inlineStr">
        <is>
          <t>MH-DC-001-RACK-U-PP-F1</t>
        </is>
      </c>
      <c r="F122" t="n">
        <v>13</v>
      </c>
      <c r="G122" t="inlineStr">
        <is>
          <t>MH-DC-001-RACK-U-TRK-1</t>
        </is>
      </c>
      <c r="H122" t="inlineStr">
        <is>
          <t>MH-DC-001-RACK-T-ODF-4</t>
        </is>
      </c>
      <c r="I122" t="n">
        <v>7</v>
      </c>
    </row>
    <row r="123">
      <c r="A123" t="inlineStr">
        <is>
          <t>LNK-02125</t>
        </is>
      </c>
      <c r="B123" t="inlineStr">
        <is>
          <t>Z</t>
        </is>
      </c>
      <c r="C123" t="inlineStr">
        <is>
          <t>MH-DC-001-TOR-003</t>
        </is>
      </c>
      <c r="D123" t="inlineStr">
        <is>
          <t>MH-DC-001-PC-00142</t>
        </is>
      </c>
      <c r="E123" t="inlineStr">
        <is>
          <t>MH-DC-001-RACK-B-PP-F2</t>
        </is>
      </c>
      <c r="F123" t="n">
        <v>6</v>
      </c>
      <c r="G123" t="inlineStr">
        <is>
          <t>MH-DC-001-RACK-B-TRK-2</t>
        </is>
      </c>
      <c r="H123" t="inlineStr">
        <is>
          <t>MH-DC-001-RACK-T-ODF-4</t>
        </is>
      </c>
      <c r="I123" t="n">
        <v>8</v>
      </c>
    </row>
    <row r="124">
      <c r="A124" t="inlineStr">
        <is>
          <t>LNK-02126</t>
        </is>
      </c>
      <c r="B124" t="inlineStr">
        <is>
          <t>A</t>
        </is>
      </c>
      <c r="C124" t="inlineStr">
        <is>
          <t>MH-DC-001-JMP-02</t>
        </is>
      </c>
      <c r="D124" t="inlineStr">
        <is>
          <t>MH-DC-001-PC-00143</t>
        </is>
      </c>
      <c r="E124" t="inlineStr">
        <is>
          <t>MH-DC-001-RACK-U-PP-F1</t>
        </is>
      </c>
      <c r="F124" t="n">
        <v>14</v>
      </c>
      <c r="G124" t="inlineStr">
        <is>
          <t>MH-DC-001-RACK-U-TRK-2</t>
        </is>
      </c>
      <c r="H124" t="inlineStr">
        <is>
          <t>MH-DC-001-RACK-T-ODF-4</t>
        </is>
      </c>
      <c r="I124" t="n">
        <v>9</v>
      </c>
    </row>
    <row r="125">
      <c r="A125" t="inlineStr">
        <is>
          <t>LNK-02126</t>
        </is>
      </c>
      <c r="B125" t="inlineStr">
        <is>
          <t>Z</t>
        </is>
      </c>
      <c r="C125" t="inlineStr">
        <is>
          <t>MH-DC-001-TOR-004</t>
        </is>
      </c>
      <c r="D125" t="inlineStr">
        <is>
          <t>MH-DC-001-PC-00144</t>
        </is>
      </c>
      <c r="E125" t="inlineStr">
        <is>
          <t>MH-DC-001-RACK-B-PP-F2</t>
        </is>
      </c>
      <c r="F125" t="n">
        <v>7</v>
      </c>
      <c r="G125" t="inlineStr">
        <is>
          <t>MH-DC-001-RACK-B-TRK-2</t>
        </is>
      </c>
      <c r="H125" t="inlineStr">
        <is>
          <t>MH-DC-001-RACK-T-ODF-4</t>
        </is>
      </c>
      <c r="I125" t="n">
        <v>10</v>
      </c>
    </row>
    <row r="126">
      <c r="A126" t="inlineStr">
        <is>
          <t>LNK-02127</t>
        </is>
      </c>
      <c r="B126" t="inlineStr">
        <is>
          <t>A</t>
        </is>
      </c>
      <c r="C126" t="inlineStr">
        <is>
          <t>MH-DC-001-BKP-01</t>
        </is>
      </c>
      <c r="D126" t="inlineStr">
        <is>
          <t>MH-DC-001-PC-00145</t>
        </is>
      </c>
      <c r="E126" t="inlineStr">
        <is>
          <t>MH-DC-001-RACK-U-PP-F1</t>
        </is>
      </c>
      <c r="F126" t="n">
        <v>15</v>
      </c>
      <c r="G126" t="inlineStr">
        <is>
          <t>MH-DC-001-RACK-U-TRK-1</t>
        </is>
      </c>
      <c r="H126" t="inlineStr">
        <is>
          <t>MH-DC-001-RACK-T-ODF-4</t>
        </is>
      </c>
      <c r="I126" t="n">
        <v>11</v>
      </c>
    </row>
    <row r="127">
      <c r="A127" t="inlineStr">
        <is>
          <t>LNK-02127</t>
        </is>
      </c>
      <c r="B127" t="inlineStr">
        <is>
          <t>Z</t>
        </is>
      </c>
      <c r="C127" t="inlineStr">
        <is>
          <t>MH-DC-001-TOR-003</t>
        </is>
      </c>
      <c r="D127" t="inlineStr">
        <is>
          <t>MH-DC-001-PC-00146</t>
        </is>
      </c>
      <c r="E127" t="inlineStr">
        <is>
          <t>MH-DC-001-RACK-B-PP-F2</t>
        </is>
      </c>
      <c r="F127" t="n">
        <v>8</v>
      </c>
      <c r="G127" t="inlineStr">
        <is>
          <t>MH-DC-001-RACK-B-TRK-1</t>
        </is>
      </c>
      <c r="H127" t="inlineStr">
        <is>
          <t>MH-DC-001-RACK-T-ODF-4</t>
        </is>
      </c>
      <c r="I127" t="n">
        <v>12</v>
      </c>
    </row>
    <row r="128">
      <c r="A128" t="inlineStr">
        <is>
          <t>LNK-02128</t>
        </is>
      </c>
      <c r="B128" t="inlineStr">
        <is>
          <t>A</t>
        </is>
      </c>
      <c r="C128" t="inlineStr">
        <is>
          <t>MH-DC-001-BKP-01</t>
        </is>
      </c>
      <c r="D128" t="inlineStr">
        <is>
          <t>MH-DC-001-PC-00147</t>
        </is>
      </c>
      <c r="E128" t="inlineStr">
        <is>
          <t>MH-DC-001-RACK-U-PP-F1</t>
        </is>
      </c>
      <c r="F128" t="n">
        <v>16</v>
      </c>
      <c r="G128" t="inlineStr">
        <is>
          <t>MH-DC-001-RACK-U-TRK-2</t>
        </is>
      </c>
      <c r="H128" t="inlineStr">
        <is>
          <t>MH-DC-001-RACK-T-ODF-4</t>
        </is>
      </c>
      <c r="I128" t="n">
        <v>13</v>
      </c>
    </row>
    <row r="129">
      <c r="A129" t="inlineStr">
        <is>
          <t>LNK-02128</t>
        </is>
      </c>
      <c r="B129" t="inlineStr">
        <is>
          <t>Z</t>
        </is>
      </c>
      <c r="C129" t="inlineStr">
        <is>
          <t>MH-DC-001-TOR-004</t>
        </is>
      </c>
      <c r="D129" t="inlineStr">
        <is>
          <t>MH-DC-001-PC-00148</t>
        </is>
      </c>
      <c r="E129" t="inlineStr">
        <is>
          <t>MH-DC-001-RACK-B-PP-F2</t>
        </is>
      </c>
      <c r="F129" t="n">
        <v>9</v>
      </c>
      <c r="G129" t="inlineStr">
        <is>
          <t>MH-DC-001-RACK-B-TRK-1</t>
        </is>
      </c>
      <c r="H129" t="inlineStr">
        <is>
          <t>MH-DC-001-RACK-T-ODF-4</t>
        </is>
      </c>
      <c r="I129" t="n">
        <v>14</v>
      </c>
    </row>
    <row r="130">
      <c r="A130" t="inlineStr">
        <is>
          <t>LNK-02129</t>
        </is>
      </c>
      <c r="B130" t="inlineStr">
        <is>
          <t>A</t>
        </is>
      </c>
      <c r="C130" t="inlineStr">
        <is>
          <t>MH-DC-001-DCIM-01</t>
        </is>
      </c>
      <c r="D130" t="inlineStr">
        <is>
          <t>MH-DC-001-PC-00149</t>
        </is>
      </c>
      <c r="E130" t="inlineStr">
        <is>
          <t>MH-DC-001-RACK-U-PP-F1</t>
        </is>
      </c>
      <c r="F130" t="n">
        <v>17</v>
      </c>
      <c r="G130" t="inlineStr">
        <is>
          <t>MH-DC-001-RACK-U-TRK-1</t>
        </is>
      </c>
      <c r="H130" t="inlineStr">
        <is>
          <t>MH-DC-001-RACK-T-ODF-4</t>
        </is>
      </c>
      <c r="I130" t="n">
        <v>15</v>
      </c>
    </row>
    <row r="131">
      <c r="A131" t="inlineStr">
        <is>
          <t>LNK-02129</t>
        </is>
      </c>
      <c r="B131" t="inlineStr">
        <is>
          <t>Z</t>
        </is>
      </c>
      <c r="C131" t="inlineStr">
        <is>
          <t>MH-DC-001-TOR-003</t>
        </is>
      </c>
      <c r="D131" t="inlineStr">
        <is>
          <t>MH-DC-001-PC-00150</t>
        </is>
      </c>
      <c r="E131" t="inlineStr">
        <is>
          <t>MH-DC-001-RACK-B-PP-F2</t>
        </is>
      </c>
      <c r="F131" t="n">
        <v>10</v>
      </c>
      <c r="G131" t="inlineStr">
        <is>
          <t>MH-DC-001-RACK-B-TRK-2</t>
        </is>
      </c>
      <c r="H131" t="inlineStr">
        <is>
          <t>MH-DC-001-RACK-T-ODF-4</t>
        </is>
      </c>
      <c r="I131" t="n">
        <v>16</v>
      </c>
    </row>
    <row r="132">
      <c r="A132" t="inlineStr">
        <is>
          <t>LNK-02130</t>
        </is>
      </c>
      <c r="B132" t="inlineStr">
        <is>
          <t>A</t>
        </is>
      </c>
      <c r="C132" t="inlineStr">
        <is>
          <t>MH-DC-001-DCIM-01</t>
        </is>
      </c>
      <c r="D132" t="inlineStr">
        <is>
          <t>MH-DC-001-PC-00151</t>
        </is>
      </c>
      <c r="E132" t="inlineStr">
        <is>
          <t>MH-DC-001-RACK-U-PP-F1</t>
        </is>
      </c>
      <c r="F132" t="n">
        <v>18</v>
      </c>
      <c r="G132" t="inlineStr">
        <is>
          <t>MH-DC-001-RACK-U-TRK-2</t>
        </is>
      </c>
      <c r="H132" t="inlineStr">
        <is>
          <t>MH-DC-001-RACK-T-ODF-4</t>
        </is>
      </c>
      <c r="I132" t="n">
        <v>17</v>
      </c>
    </row>
    <row r="133">
      <c r="A133" t="inlineStr">
        <is>
          <t>LNK-02130</t>
        </is>
      </c>
      <c r="B133" t="inlineStr">
        <is>
          <t>Z</t>
        </is>
      </c>
      <c r="C133" t="inlineStr">
        <is>
          <t>MH-DC-001-TOR-004</t>
        </is>
      </c>
      <c r="D133" t="inlineStr">
        <is>
          <t>MH-DC-001-PC-00152</t>
        </is>
      </c>
      <c r="E133" t="inlineStr">
        <is>
          <t>MH-DC-001-RACK-B-PP-F2</t>
        </is>
      </c>
      <c r="F133" t="n">
        <v>11</v>
      </c>
      <c r="G133" t="inlineStr">
        <is>
          <t>MH-DC-001-RACK-B-TRK-2</t>
        </is>
      </c>
      <c r="H133" t="inlineStr">
        <is>
          <t>MH-DC-001-RACK-T-ODF-4</t>
        </is>
      </c>
      <c r="I133" t="n">
        <v>18</v>
      </c>
    </row>
    <row r="134">
      <c r="A134" t="inlineStr">
        <is>
          <t>LNK-02131</t>
        </is>
      </c>
      <c r="B134" t="inlineStr">
        <is>
          <t>A</t>
        </is>
      </c>
      <c r="C134" t="inlineStr">
        <is>
          <t>MH-DC-001-DCIM-02</t>
        </is>
      </c>
      <c r="D134" t="inlineStr">
        <is>
          <t>MH-DC-001-PC-00153</t>
        </is>
      </c>
      <c r="E134" t="inlineStr">
        <is>
          <t>MH-DC-001-RACK-U-PP-F1</t>
        </is>
      </c>
      <c r="F134" t="n">
        <v>19</v>
      </c>
      <c r="G134" t="inlineStr">
        <is>
          <t>MH-DC-001-RACK-U-TRK-1</t>
        </is>
      </c>
      <c r="H134" t="inlineStr">
        <is>
          <t>MH-DC-001-RACK-T-ODF-4</t>
        </is>
      </c>
      <c r="I134" t="n">
        <v>19</v>
      </c>
    </row>
    <row r="135">
      <c r="A135" t="inlineStr">
        <is>
          <t>LNK-02131</t>
        </is>
      </c>
      <c r="B135" t="inlineStr">
        <is>
          <t>Z</t>
        </is>
      </c>
      <c r="C135" t="inlineStr">
        <is>
          <t>MH-DC-001-TOR-003</t>
        </is>
      </c>
      <c r="D135" t="inlineStr">
        <is>
          <t>MH-DC-001-PC-00154</t>
        </is>
      </c>
      <c r="E135" t="inlineStr">
        <is>
          <t>MH-DC-001-RACK-B-PP-F2</t>
        </is>
      </c>
      <c r="F135" t="n">
        <v>12</v>
      </c>
      <c r="G135" t="inlineStr">
        <is>
          <t>MH-DC-001-RACK-B-TRK-1</t>
        </is>
      </c>
      <c r="H135" t="inlineStr">
        <is>
          <t>MH-DC-001-RACK-T-ODF-4</t>
        </is>
      </c>
      <c r="I135" t="n">
        <v>20</v>
      </c>
    </row>
    <row r="136">
      <c r="A136" t="inlineStr">
        <is>
          <t>LNK-02132</t>
        </is>
      </c>
      <c r="B136" t="inlineStr">
        <is>
          <t>A</t>
        </is>
      </c>
      <c r="C136" t="inlineStr">
        <is>
          <t>MH-DC-001-DCIM-02</t>
        </is>
      </c>
      <c r="D136" t="inlineStr">
        <is>
          <t>MH-DC-001-PC-00155</t>
        </is>
      </c>
      <c r="E136" t="inlineStr">
        <is>
          <t>MH-DC-001-RACK-U-PP-F1</t>
        </is>
      </c>
      <c r="F136" t="n">
        <v>20</v>
      </c>
      <c r="G136" t="inlineStr">
        <is>
          <t>MH-DC-001-RACK-U-TRK-2</t>
        </is>
      </c>
      <c r="H136" t="inlineStr">
        <is>
          <t>MH-DC-001-RACK-T-ODF-4</t>
        </is>
      </c>
      <c r="I136" t="n">
        <v>21</v>
      </c>
    </row>
    <row r="137">
      <c r="A137" t="inlineStr">
        <is>
          <t>LNK-02132</t>
        </is>
      </c>
      <c r="B137" t="inlineStr">
        <is>
          <t>Z</t>
        </is>
      </c>
      <c r="C137" t="inlineStr">
        <is>
          <t>MH-DC-001-TOR-004</t>
        </is>
      </c>
      <c r="D137" t="inlineStr">
        <is>
          <t>MH-DC-001-PC-00156</t>
        </is>
      </c>
      <c r="E137" t="inlineStr">
        <is>
          <t>MH-DC-001-RACK-B-PP-F2</t>
        </is>
      </c>
      <c r="F137" t="n">
        <v>13</v>
      </c>
      <c r="G137" t="inlineStr">
        <is>
          <t>MH-DC-001-RACK-B-TRK-1</t>
        </is>
      </c>
      <c r="H137" t="inlineStr">
        <is>
          <t>MH-DC-001-RACK-T-ODF-4</t>
        </is>
      </c>
      <c r="I137" t="n">
        <v>22</v>
      </c>
    </row>
    <row r="138">
      <c r="A138" t="inlineStr">
        <is>
          <t>LNK-02133</t>
        </is>
      </c>
      <c r="B138" t="inlineStr">
        <is>
          <t>A</t>
        </is>
      </c>
      <c r="C138" t="inlineStr">
        <is>
          <t>MH-DC-001-MON-01</t>
        </is>
      </c>
      <c r="D138" t="inlineStr">
        <is>
          <t>MH-DC-001-PC-00157</t>
        </is>
      </c>
      <c r="E138" t="inlineStr">
        <is>
          <t>MH-DC-001-RACK-U-PP-F1</t>
        </is>
      </c>
      <c r="F138" t="n">
        <v>21</v>
      </c>
      <c r="G138" t="inlineStr">
        <is>
          <t>MH-DC-001-RACK-U-TRK-1</t>
        </is>
      </c>
      <c r="H138" t="inlineStr">
        <is>
          <t>MH-DC-001-RACK-T-ODF-4</t>
        </is>
      </c>
      <c r="I138" t="n">
        <v>23</v>
      </c>
    </row>
    <row r="139">
      <c r="A139" t="inlineStr">
        <is>
          <t>LNK-02133</t>
        </is>
      </c>
      <c r="B139" t="inlineStr">
        <is>
          <t>Z</t>
        </is>
      </c>
      <c r="C139" t="inlineStr">
        <is>
          <t>MH-DC-001-TOR-003</t>
        </is>
      </c>
      <c r="D139" t="inlineStr">
        <is>
          <t>MH-DC-001-PC-00158</t>
        </is>
      </c>
      <c r="E139" t="inlineStr">
        <is>
          <t>MH-DC-001-RACK-B-PP-F2</t>
        </is>
      </c>
      <c r="F139" t="n">
        <v>14</v>
      </c>
      <c r="G139" t="inlineStr">
        <is>
          <t>MH-DC-001-RACK-B-TRK-2</t>
        </is>
      </c>
      <c r="H139" t="inlineStr">
        <is>
          <t>MH-DC-001-RACK-T-ODF-4</t>
        </is>
      </c>
      <c r="I139" t="n">
        <v>24</v>
      </c>
    </row>
    <row r="140">
      <c r="A140" t="inlineStr">
        <is>
          <t>LNK-02134</t>
        </is>
      </c>
      <c r="B140" t="inlineStr">
        <is>
          <t>A</t>
        </is>
      </c>
      <c r="C140" t="inlineStr">
        <is>
          <t>MH-DC-001-MON-01</t>
        </is>
      </c>
      <c r="D140" t="inlineStr">
        <is>
          <t>MH-DC-001-PC-00159</t>
        </is>
      </c>
      <c r="E140" t="inlineStr">
        <is>
          <t>MH-DC-001-RACK-U-PP-F1</t>
        </is>
      </c>
      <c r="F140" t="n">
        <v>22</v>
      </c>
      <c r="G140" t="inlineStr">
        <is>
          <t>MH-DC-001-RACK-U-TRK-2</t>
        </is>
      </c>
      <c r="H140" t="inlineStr">
        <is>
          <t>MH-DC-001-RACK-T-ODF-5</t>
        </is>
      </c>
      <c r="I140" t="n">
        <v>1</v>
      </c>
    </row>
    <row r="141">
      <c r="A141" t="inlineStr">
        <is>
          <t>LNK-02134</t>
        </is>
      </c>
      <c r="B141" t="inlineStr">
        <is>
          <t>Z</t>
        </is>
      </c>
      <c r="C141" t="inlineStr">
        <is>
          <t>MH-DC-001-TOR-004</t>
        </is>
      </c>
      <c r="D141" t="inlineStr">
        <is>
          <t>MH-DC-001-PC-00160</t>
        </is>
      </c>
      <c r="E141" t="inlineStr">
        <is>
          <t>MH-DC-001-RACK-B-PP-F2</t>
        </is>
      </c>
      <c r="F141" t="n">
        <v>15</v>
      </c>
      <c r="G141" t="inlineStr">
        <is>
          <t>MH-DC-001-RACK-B-TRK-2</t>
        </is>
      </c>
      <c r="H141" t="inlineStr">
        <is>
          <t>MH-DC-001-RACK-T-ODF-5</t>
        </is>
      </c>
      <c r="I141" t="n">
        <v>2</v>
      </c>
    </row>
    <row r="142">
      <c r="A142" t="inlineStr">
        <is>
          <t>LNK-02135</t>
        </is>
      </c>
      <c r="B142" t="inlineStr">
        <is>
          <t>A</t>
        </is>
      </c>
      <c r="C142" t="inlineStr">
        <is>
          <t>MH-DC-001-MON-02</t>
        </is>
      </c>
      <c r="D142" t="inlineStr">
        <is>
          <t>MH-DC-001-PC-00161</t>
        </is>
      </c>
      <c r="E142" t="inlineStr">
        <is>
          <t>MH-DC-001-RACK-U-PP-F1</t>
        </is>
      </c>
      <c r="F142" t="n">
        <v>23</v>
      </c>
      <c r="G142" t="inlineStr">
        <is>
          <t>MH-DC-001-RACK-U-TRK-1</t>
        </is>
      </c>
      <c r="H142" t="inlineStr">
        <is>
          <t>MH-DC-001-RACK-T-ODF-5</t>
        </is>
      </c>
      <c r="I142" t="n">
        <v>3</v>
      </c>
    </row>
    <row r="143">
      <c r="A143" t="inlineStr">
        <is>
          <t>LNK-02135</t>
        </is>
      </c>
      <c r="B143" t="inlineStr">
        <is>
          <t>Z</t>
        </is>
      </c>
      <c r="C143" t="inlineStr">
        <is>
          <t>MH-DC-001-TOR-003</t>
        </is>
      </c>
      <c r="D143" t="inlineStr">
        <is>
          <t>MH-DC-001-PC-00162</t>
        </is>
      </c>
      <c r="E143" t="inlineStr">
        <is>
          <t>MH-DC-001-RACK-B-PP-F2</t>
        </is>
      </c>
      <c r="F143" t="n">
        <v>16</v>
      </c>
      <c r="G143" t="inlineStr">
        <is>
          <t>MH-DC-001-RACK-B-TRK-1</t>
        </is>
      </c>
      <c r="H143" t="inlineStr">
        <is>
          <t>MH-DC-001-RACK-T-ODF-5</t>
        </is>
      </c>
      <c r="I143" t="n">
        <v>4</v>
      </c>
    </row>
    <row r="144">
      <c r="A144" t="inlineStr">
        <is>
          <t>LNK-02136</t>
        </is>
      </c>
      <c r="B144" t="inlineStr">
        <is>
          <t>A</t>
        </is>
      </c>
      <c r="C144" t="inlineStr">
        <is>
          <t>MH-DC-001-MON-02</t>
        </is>
      </c>
      <c r="D144" t="inlineStr">
        <is>
          <t>MH-DC-001-PC-00163</t>
        </is>
      </c>
      <c r="E144" t="inlineStr">
        <is>
          <t>MH-DC-001-RACK-U-PP-F1</t>
        </is>
      </c>
      <c r="F144" t="n">
        <v>24</v>
      </c>
      <c r="G144" t="inlineStr">
        <is>
          <t>MH-DC-001-RACK-U-TRK-2</t>
        </is>
      </c>
      <c r="H144" t="inlineStr">
        <is>
          <t>MH-DC-001-RACK-T-ODF-5</t>
        </is>
      </c>
      <c r="I144" t="n">
        <v>5</v>
      </c>
    </row>
    <row r="145">
      <c r="A145" t="inlineStr">
        <is>
          <t>LNK-02136</t>
        </is>
      </c>
      <c r="B145" t="inlineStr">
        <is>
          <t>Z</t>
        </is>
      </c>
      <c r="C145" t="inlineStr">
        <is>
          <t>MH-DC-001-TOR-004</t>
        </is>
      </c>
      <c r="D145" t="inlineStr">
        <is>
          <t>MH-DC-001-PC-00164</t>
        </is>
      </c>
      <c r="E145" t="inlineStr">
        <is>
          <t>MH-DC-001-RACK-B-PP-F2</t>
        </is>
      </c>
      <c r="F145" t="n">
        <v>17</v>
      </c>
      <c r="G145" t="inlineStr">
        <is>
          <t>MH-DC-001-RACK-B-TRK-1</t>
        </is>
      </c>
      <c r="H145" t="inlineStr">
        <is>
          <t>MH-DC-001-RACK-T-ODF-5</t>
        </is>
      </c>
      <c r="I145" t="n">
        <v>6</v>
      </c>
    </row>
    <row r="146">
      <c r="A146" t="inlineStr">
        <is>
          <t>LNK-00085</t>
        </is>
      </c>
      <c r="B146" t="inlineStr">
        <is>
          <t>A</t>
        </is>
      </c>
      <c r="C146" t="inlineStr">
        <is>
          <t>MH-DC-002-PE-T4-01</t>
        </is>
      </c>
      <c r="D146" t="inlineStr">
        <is>
          <t>MH-DC-002-PC-00001</t>
        </is>
      </c>
    </row>
    <row r="147">
      <c r="A147" t="inlineStr">
        <is>
          <t>LNK-00085</t>
        </is>
      </c>
      <c r="B147" t="inlineStr">
        <is>
          <t>Z</t>
        </is>
      </c>
      <c r="C147" t="inlineStr">
        <is>
          <t>MH-DC-002-PE-T4-02</t>
        </is>
      </c>
      <c r="D147" t="inlineStr">
        <is>
          <t>MH-DC-002-PC-00002</t>
        </is>
      </c>
    </row>
    <row r="148">
      <c r="A148" t="inlineStr">
        <is>
          <t>LNK-00090</t>
        </is>
      </c>
      <c r="B148" t="inlineStr">
        <is>
          <t>A</t>
        </is>
      </c>
      <c r="C148" t="inlineStr">
        <is>
          <t>MH-DC-002-PE-T4-01</t>
        </is>
      </c>
      <c r="D148" t="inlineStr">
        <is>
          <t>MH-DC-002-PC-00003</t>
        </is>
      </c>
    </row>
    <row r="149">
      <c r="A149" t="inlineStr">
        <is>
          <t>LNK-00090</t>
        </is>
      </c>
      <c r="B149" t="inlineStr">
        <is>
          <t>Z</t>
        </is>
      </c>
      <c r="C149" t="inlineStr">
        <is>
          <t>MH-DC-002-PE-T4-03</t>
        </is>
      </c>
      <c r="D149" t="inlineStr">
        <is>
          <t>MH-DC-002-PC-00004</t>
        </is>
      </c>
    </row>
    <row r="150">
      <c r="A150" t="inlineStr">
        <is>
          <t>LNK-00095</t>
        </is>
      </c>
      <c r="B150" t="inlineStr">
        <is>
          <t>A</t>
        </is>
      </c>
      <c r="C150" t="inlineStr">
        <is>
          <t>MH-DC-002-PE-T4-01</t>
        </is>
      </c>
      <c r="D150" t="inlineStr">
        <is>
          <t>MH-DC-002-PC-00005</t>
        </is>
      </c>
    </row>
    <row r="151">
      <c r="A151" t="inlineStr">
        <is>
          <t>LNK-00095</t>
        </is>
      </c>
      <c r="B151" t="inlineStr">
        <is>
          <t>Z</t>
        </is>
      </c>
      <c r="C151" t="inlineStr">
        <is>
          <t>MH-DC-002-PE-T4-04</t>
        </is>
      </c>
      <c r="D151" t="inlineStr">
        <is>
          <t>MH-DC-002-PC-00006</t>
        </is>
      </c>
    </row>
    <row r="152">
      <c r="A152" t="inlineStr">
        <is>
          <t>LNK-00100</t>
        </is>
      </c>
      <c r="B152" t="inlineStr">
        <is>
          <t>A</t>
        </is>
      </c>
      <c r="C152" t="inlineStr">
        <is>
          <t>MH-DC-002-PE-T4-02</t>
        </is>
      </c>
      <c r="D152" t="inlineStr">
        <is>
          <t>MH-DC-002-PC-00007</t>
        </is>
      </c>
    </row>
    <row r="153">
      <c r="A153" t="inlineStr">
        <is>
          <t>LNK-00100</t>
        </is>
      </c>
      <c r="B153" t="inlineStr">
        <is>
          <t>Z</t>
        </is>
      </c>
      <c r="C153" t="inlineStr">
        <is>
          <t>MH-DC-002-PE-T4-03</t>
        </is>
      </c>
      <c r="D153" t="inlineStr">
        <is>
          <t>MH-DC-002-PC-00008</t>
        </is>
      </c>
    </row>
    <row r="154">
      <c r="A154" t="inlineStr">
        <is>
          <t>LNK-00105</t>
        </is>
      </c>
      <c r="B154" t="inlineStr">
        <is>
          <t>A</t>
        </is>
      </c>
      <c r="C154" t="inlineStr">
        <is>
          <t>MH-DC-002-PE-T4-02</t>
        </is>
      </c>
      <c r="D154" t="inlineStr">
        <is>
          <t>MH-DC-002-PC-00009</t>
        </is>
      </c>
    </row>
    <row r="155">
      <c r="A155" t="inlineStr">
        <is>
          <t>LNK-00105</t>
        </is>
      </c>
      <c r="B155" t="inlineStr">
        <is>
          <t>Z</t>
        </is>
      </c>
      <c r="C155" t="inlineStr">
        <is>
          <t>MH-DC-002-PE-T4-04</t>
        </is>
      </c>
      <c r="D155" t="inlineStr">
        <is>
          <t>MH-DC-002-PC-00010</t>
        </is>
      </c>
    </row>
    <row r="156">
      <c r="A156" t="inlineStr">
        <is>
          <t>LNK-00110</t>
        </is>
      </c>
      <c r="B156" t="inlineStr">
        <is>
          <t>A</t>
        </is>
      </c>
      <c r="C156" t="inlineStr">
        <is>
          <t>MH-DC-002-PE-T4-03</t>
        </is>
      </c>
      <c r="D156" t="inlineStr">
        <is>
          <t>MH-DC-002-PC-00011</t>
        </is>
      </c>
    </row>
    <row r="157">
      <c r="A157" t="inlineStr">
        <is>
          <t>LNK-00110</t>
        </is>
      </c>
      <c r="B157" t="inlineStr">
        <is>
          <t>Z</t>
        </is>
      </c>
      <c r="C157" t="inlineStr">
        <is>
          <t>MH-DC-002-PE-T4-04</t>
        </is>
      </c>
      <c r="D157" t="inlineStr">
        <is>
          <t>MH-DC-002-PC-00012</t>
        </is>
      </c>
    </row>
    <row r="158">
      <c r="A158" t="inlineStr">
        <is>
          <t>LNK-00115</t>
        </is>
      </c>
      <c r="B158" t="inlineStr">
        <is>
          <t>A</t>
        </is>
      </c>
      <c r="C158" t="inlineStr">
        <is>
          <t>MH-DC-002-AGG-R01</t>
        </is>
      </c>
      <c r="D158" t="inlineStr">
        <is>
          <t>MH-DC-002-PC-00013</t>
        </is>
      </c>
    </row>
    <row r="159">
      <c r="A159" t="inlineStr">
        <is>
          <t>LNK-00115</t>
        </is>
      </c>
      <c r="B159" t="inlineStr">
        <is>
          <t>Z</t>
        </is>
      </c>
      <c r="C159" t="inlineStr">
        <is>
          <t>MH-DC-002-PE-T4-01</t>
        </is>
      </c>
      <c r="D159" t="inlineStr">
        <is>
          <t>MH-DC-002-PC-00014</t>
        </is>
      </c>
    </row>
    <row r="160">
      <c r="A160" t="inlineStr">
        <is>
          <t>LNK-00118</t>
        </is>
      </c>
      <c r="B160" t="inlineStr">
        <is>
          <t>A</t>
        </is>
      </c>
      <c r="C160" t="inlineStr">
        <is>
          <t>MH-DC-002-AGG-R01</t>
        </is>
      </c>
      <c r="D160" t="inlineStr">
        <is>
          <t>MH-DC-002-PC-00015</t>
        </is>
      </c>
    </row>
    <row r="161">
      <c r="A161" t="inlineStr">
        <is>
          <t>LNK-00118</t>
        </is>
      </c>
      <c r="B161" t="inlineStr">
        <is>
          <t>Z</t>
        </is>
      </c>
      <c r="C161" t="inlineStr">
        <is>
          <t>MH-DC-002-PE-T4-02</t>
        </is>
      </c>
      <c r="D161" t="inlineStr">
        <is>
          <t>MH-DC-002-PC-00016</t>
        </is>
      </c>
    </row>
    <row r="162">
      <c r="A162" t="inlineStr">
        <is>
          <t>LNK-00121</t>
        </is>
      </c>
      <c r="B162" t="inlineStr">
        <is>
          <t>A</t>
        </is>
      </c>
      <c r="C162" t="inlineStr">
        <is>
          <t>MH-DC-002-AGG-R02</t>
        </is>
      </c>
      <c r="D162" t="inlineStr">
        <is>
          <t>MH-DC-002-PC-00017</t>
        </is>
      </c>
    </row>
    <row r="163">
      <c r="A163" t="inlineStr">
        <is>
          <t>LNK-00121</t>
        </is>
      </c>
      <c r="B163" t="inlineStr">
        <is>
          <t>Z</t>
        </is>
      </c>
      <c r="C163" t="inlineStr">
        <is>
          <t>MH-DC-002-PE-T4-02</t>
        </is>
      </c>
      <c r="D163" t="inlineStr">
        <is>
          <t>MH-DC-002-PC-00018</t>
        </is>
      </c>
    </row>
    <row r="164">
      <c r="A164" t="inlineStr">
        <is>
          <t>LNK-00124</t>
        </is>
      </c>
      <c r="B164" t="inlineStr">
        <is>
          <t>A</t>
        </is>
      </c>
      <c r="C164" t="inlineStr">
        <is>
          <t>MH-DC-002-AGG-R02</t>
        </is>
      </c>
      <c r="D164" t="inlineStr">
        <is>
          <t>MH-DC-002-PC-00019</t>
        </is>
      </c>
    </row>
    <row r="165">
      <c r="A165" t="inlineStr">
        <is>
          <t>LNK-00124</t>
        </is>
      </c>
      <c r="B165" t="inlineStr">
        <is>
          <t>Z</t>
        </is>
      </c>
      <c r="C165" t="inlineStr">
        <is>
          <t>MH-DC-002-PE-T4-03</t>
        </is>
      </c>
      <c r="D165" t="inlineStr">
        <is>
          <t>MH-DC-002-PC-00020</t>
        </is>
      </c>
    </row>
    <row r="166">
      <c r="A166" t="inlineStr">
        <is>
          <t>LNK-00127</t>
        </is>
      </c>
      <c r="B166" t="inlineStr">
        <is>
          <t>A</t>
        </is>
      </c>
      <c r="C166" t="inlineStr">
        <is>
          <t>MH-DC-002-OLA-01</t>
        </is>
      </c>
      <c r="D166" t="inlineStr">
        <is>
          <t>MH-DC-002-PC-00021</t>
        </is>
      </c>
    </row>
    <row r="167">
      <c r="A167" t="inlineStr">
        <is>
          <t>LNK-00127</t>
        </is>
      </c>
      <c r="B167" t="inlineStr">
        <is>
          <t>Z</t>
        </is>
      </c>
      <c r="C167" t="inlineStr">
        <is>
          <t>MH-DC-002-AGG-R01</t>
        </is>
      </c>
      <c r="D167" t="inlineStr">
        <is>
          <t>MH-DC-002-PC-00022</t>
        </is>
      </c>
    </row>
    <row r="168">
      <c r="A168" t="inlineStr">
        <is>
          <t>LNK-00128</t>
        </is>
      </c>
      <c r="B168" t="inlineStr">
        <is>
          <t>A</t>
        </is>
      </c>
      <c r="C168" t="inlineStr">
        <is>
          <t>MH-DC-002-FW-01</t>
        </is>
      </c>
      <c r="D168" t="inlineStr">
        <is>
          <t>MH-DC-002-PC-00023</t>
        </is>
      </c>
    </row>
    <row r="169">
      <c r="A169" t="inlineStr">
        <is>
          <t>LNK-00128</t>
        </is>
      </c>
      <c r="B169" t="inlineStr">
        <is>
          <t>Z</t>
        </is>
      </c>
      <c r="C169" t="inlineStr">
        <is>
          <t>MH-DC-002-AGG-R01</t>
        </is>
      </c>
      <c r="D169" t="inlineStr">
        <is>
          <t>MH-DC-002-PC-00024</t>
        </is>
      </c>
    </row>
    <row r="170">
      <c r="A170" t="inlineStr">
        <is>
          <t>LNK-00129</t>
        </is>
      </c>
      <c r="B170" t="inlineStr">
        <is>
          <t>A</t>
        </is>
      </c>
      <c r="C170" t="inlineStr">
        <is>
          <t>MH-DC-002-FW-01</t>
        </is>
      </c>
      <c r="D170" t="inlineStr">
        <is>
          <t>MH-DC-002-PC-00025</t>
        </is>
      </c>
    </row>
    <row r="171">
      <c r="A171" t="inlineStr">
        <is>
          <t>LNK-00129</t>
        </is>
      </c>
      <c r="B171" t="inlineStr">
        <is>
          <t>Z</t>
        </is>
      </c>
      <c r="C171" t="inlineStr">
        <is>
          <t>MH-DC-002-AGG-R02</t>
        </is>
      </c>
      <c r="D171" t="inlineStr">
        <is>
          <t>MH-DC-002-PC-00026</t>
        </is>
      </c>
    </row>
    <row r="172">
      <c r="A172" t="inlineStr">
        <is>
          <t>LNK-00130</t>
        </is>
      </c>
      <c r="B172" t="inlineStr">
        <is>
          <t>A</t>
        </is>
      </c>
      <c r="C172" t="inlineStr">
        <is>
          <t>MH-DC-002-MMR-SW-01</t>
        </is>
      </c>
      <c r="D172" t="inlineStr">
        <is>
          <t>MH-DC-002-PC-00027</t>
        </is>
      </c>
    </row>
    <row r="173">
      <c r="A173" t="inlineStr">
        <is>
          <t>LNK-00130</t>
        </is>
      </c>
      <c r="B173" t="inlineStr">
        <is>
          <t>Z</t>
        </is>
      </c>
      <c r="C173" t="inlineStr">
        <is>
          <t>MH-DC-002-AGG-R01</t>
        </is>
      </c>
      <c r="D173" t="inlineStr">
        <is>
          <t>MH-DC-002-PC-00028</t>
        </is>
      </c>
    </row>
    <row r="174">
      <c r="A174" t="inlineStr">
        <is>
          <t>LNK-00131</t>
        </is>
      </c>
      <c r="B174" t="inlineStr">
        <is>
          <t>A</t>
        </is>
      </c>
      <c r="C174" t="inlineStr">
        <is>
          <t>MH-DC-002-MMR-SW-01</t>
        </is>
      </c>
      <c r="D174" t="inlineStr">
        <is>
          <t>MH-DC-002-PC-00029</t>
        </is>
      </c>
    </row>
    <row r="175">
      <c r="A175" t="inlineStr">
        <is>
          <t>LNK-00131</t>
        </is>
      </c>
      <c r="B175" t="inlineStr">
        <is>
          <t>Z</t>
        </is>
      </c>
      <c r="C175" t="inlineStr">
        <is>
          <t>MH-DC-002-AGG-R02</t>
        </is>
      </c>
      <c r="D175" t="inlineStr">
        <is>
          <t>MH-DC-002-PC-00030</t>
        </is>
      </c>
    </row>
    <row r="176">
      <c r="A176" t="inlineStr">
        <is>
          <t>LNK-00132</t>
        </is>
      </c>
      <c r="B176" t="inlineStr">
        <is>
          <t>A</t>
        </is>
      </c>
      <c r="C176" t="inlineStr">
        <is>
          <t>MH-DC-002-MMR-SW-02</t>
        </is>
      </c>
      <c r="D176" t="inlineStr">
        <is>
          <t>MH-DC-002-PC-00031</t>
        </is>
      </c>
    </row>
    <row r="177">
      <c r="A177" t="inlineStr">
        <is>
          <t>LNK-00132</t>
        </is>
      </c>
      <c r="B177" t="inlineStr">
        <is>
          <t>Z</t>
        </is>
      </c>
      <c r="C177" t="inlineStr">
        <is>
          <t>MH-DC-002-AGG-R02</t>
        </is>
      </c>
      <c r="D177" t="inlineStr">
        <is>
          <t>MH-DC-002-PC-00032</t>
        </is>
      </c>
    </row>
    <row r="178">
      <c r="A178" t="inlineStr">
        <is>
          <t>LNK-00133</t>
        </is>
      </c>
      <c r="B178" t="inlineStr">
        <is>
          <t>A</t>
        </is>
      </c>
      <c r="C178" t="inlineStr">
        <is>
          <t>MH-DC-002-MMR-SW-02</t>
        </is>
      </c>
      <c r="D178" t="inlineStr">
        <is>
          <t>MH-DC-002-PC-00033</t>
        </is>
      </c>
    </row>
    <row r="179">
      <c r="A179" t="inlineStr">
        <is>
          <t>LNK-00133</t>
        </is>
      </c>
      <c r="B179" t="inlineStr">
        <is>
          <t>Z</t>
        </is>
      </c>
      <c r="C179" t="inlineStr">
        <is>
          <t>MH-DC-002-AGG-R01</t>
        </is>
      </c>
      <c r="D179" t="inlineStr">
        <is>
          <t>MH-DC-002-PC-00034</t>
        </is>
      </c>
    </row>
    <row r="180">
      <c r="A180" t="inlineStr">
        <is>
          <t>LNK-00134</t>
        </is>
      </c>
      <c r="B180" t="inlineStr">
        <is>
          <t>A</t>
        </is>
      </c>
      <c r="C180" t="inlineStr">
        <is>
          <t>MH-DC-002-MMR-SW-03</t>
        </is>
      </c>
      <c r="D180" t="inlineStr">
        <is>
          <t>MH-DC-002-PC-00035</t>
        </is>
      </c>
    </row>
    <row r="181">
      <c r="A181" t="inlineStr">
        <is>
          <t>LNK-00134</t>
        </is>
      </c>
      <c r="B181" t="inlineStr">
        <is>
          <t>Z</t>
        </is>
      </c>
      <c r="C181" t="inlineStr">
        <is>
          <t>MH-DC-002-AGG-R01</t>
        </is>
      </c>
      <c r="D181" t="inlineStr">
        <is>
          <t>MH-DC-002-PC-00036</t>
        </is>
      </c>
    </row>
    <row r="182">
      <c r="A182" t="inlineStr">
        <is>
          <t>LNK-00135</t>
        </is>
      </c>
      <c r="B182" t="inlineStr">
        <is>
          <t>A</t>
        </is>
      </c>
      <c r="C182" t="inlineStr">
        <is>
          <t>MH-DC-002-MMR-SW-03</t>
        </is>
      </c>
      <c r="D182" t="inlineStr">
        <is>
          <t>MH-DC-002-PC-00037</t>
        </is>
      </c>
    </row>
    <row r="183">
      <c r="A183" t="inlineStr">
        <is>
          <t>LNK-00135</t>
        </is>
      </c>
      <c r="B183" t="inlineStr">
        <is>
          <t>Z</t>
        </is>
      </c>
      <c r="C183" t="inlineStr">
        <is>
          <t>MH-DC-002-AGG-R02</t>
        </is>
      </c>
      <c r="D183" t="inlineStr">
        <is>
          <t>MH-DC-002-PC-00038</t>
        </is>
      </c>
    </row>
    <row r="184">
      <c r="A184" t="inlineStr">
        <is>
          <t>LNK-00136</t>
        </is>
      </c>
      <c r="B184" t="inlineStr">
        <is>
          <t>A</t>
        </is>
      </c>
      <c r="C184" t="inlineStr">
        <is>
          <t>MH-DC-002-MMR-SW-04</t>
        </is>
      </c>
      <c r="D184" t="inlineStr">
        <is>
          <t>MH-DC-002-PC-00039</t>
        </is>
      </c>
    </row>
    <row r="185">
      <c r="A185" t="inlineStr">
        <is>
          <t>LNK-00136</t>
        </is>
      </c>
      <c r="B185" t="inlineStr">
        <is>
          <t>Z</t>
        </is>
      </c>
      <c r="C185" t="inlineStr">
        <is>
          <t>MH-DC-002-AGG-R02</t>
        </is>
      </c>
      <c r="D185" t="inlineStr">
        <is>
          <t>MH-DC-002-PC-00040</t>
        </is>
      </c>
    </row>
    <row r="186">
      <c r="A186" t="inlineStr">
        <is>
          <t>LNK-00137</t>
        </is>
      </c>
      <c r="B186" t="inlineStr">
        <is>
          <t>A</t>
        </is>
      </c>
      <c r="C186" t="inlineStr">
        <is>
          <t>MH-DC-002-MMR-SW-04</t>
        </is>
      </c>
      <c r="D186" t="inlineStr">
        <is>
          <t>MH-DC-002-PC-00041</t>
        </is>
      </c>
    </row>
    <row r="187">
      <c r="A187" t="inlineStr">
        <is>
          <t>LNK-00137</t>
        </is>
      </c>
      <c r="B187" t="inlineStr">
        <is>
          <t>Z</t>
        </is>
      </c>
      <c r="C187" t="inlineStr">
        <is>
          <t>MH-DC-002-AGG-R01</t>
        </is>
      </c>
      <c r="D187" t="inlineStr">
        <is>
          <t>MH-DC-002-PC-00042</t>
        </is>
      </c>
    </row>
    <row r="188">
      <c r="A188" t="inlineStr">
        <is>
          <t>LNK-00138</t>
        </is>
      </c>
      <c r="B188" t="inlineStr">
        <is>
          <t>A</t>
        </is>
      </c>
      <c r="C188" t="inlineStr">
        <is>
          <t>MH-DC-002-TOR-001</t>
        </is>
      </c>
      <c r="D188" t="inlineStr">
        <is>
          <t>MH-DC-002-PC-00043</t>
        </is>
      </c>
    </row>
    <row r="189">
      <c r="A189" t="inlineStr">
        <is>
          <t>LNK-00138</t>
        </is>
      </c>
      <c r="B189" t="inlineStr">
        <is>
          <t>Z</t>
        </is>
      </c>
      <c r="C189" t="inlineStr">
        <is>
          <t>MH-DC-002-MMR-SW-01</t>
        </is>
      </c>
      <c r="D189" t="inlineStr">
        <is>
          <t>MH-DC-002-PC-00044</t>
        </is>
      </c>
    </row>
    <row r="190">
      <c r="A190" t="inlineStr">
        <is>
          <t>LNK-00139</t>
        </is>
      </c>
      <c r="B190" t="inlineStr">
        <is>
          <t>A</t>
        </is>
      </c>
      <c r="C190" t="inlineStr">
        <is>
          <t>MH-DC-002-TOR-001</t>
        </is>
      </c>
      <c r="D190" t="inlineStr">
        <is>
          <t>MH-DC-002-PC-00045</t>
        </is>
      </c>
    </row>
    <row r="191">
      <c r="A191" t="inlineStr">
        <is>
          <t>LNK-00139</t>
        </is>
      </c>
      <c r="B191" t="inlineStr">
        <is>
          <t>Z</t>
        </is>
      </c>
      <c r="C191" t="inlineStr">
        <is>
          <t>MH-DC-002-MMR-SW-02</t>
        </is>
      </c>
      <c r="D191" t="inlineStr">
        <is>
          <t>MH-DC-002-PC-00046</t>
        </is>
      </c>
    </row>
    <row r="192">
      <c r="A192" t="inlineStr">
        <is>
          <t>LNK-00140</t>
        </is>
      </c>
      <c r="B192" t="inlineStr">
        <is>
          <t>A</t>
        </is>
      </c>
      <c r="C192" t="inlineStr">
        <is>
          <t>MH-DC-002-TOR-002</t>
        </is>
      </c>
      <c r="D192" t="inlineStr">
        <is>
          <t>MH-DC-002-PC-00047</t>
        </is>
      </c>
    </row>
    <row r="193">
      <c r="A193" t="inlineStr">
        <is>
          <t>LNK-00140</t>
        </is>
      </c>
      <c r="B193" t="inlineStr">
        <is>
          <t>Z</t>
        </is>
      </c>
      <c r="C193" t="inlineStr">
        <is>
          <t>MH-DC-002-MMR-SW-02</t>
        </is>
      </c>
      <c r="D193" t="inlineStr">
        <is>
          <t>MH-DC-002-PC-00048</t>
        </is>
      </c>
    </row>
    <row r="194">
      <c r="A194" t="inlineStr">
        <is>
          <t>LNK-00141</t>
        </is>
      </c>
      <c r="B194" t="inlineStr">
        <is>
          <t>A</t>
        </is>
      </c>
      <c r="C194" t="inlineStr">
        <is>
          <t>MH-DC-002-TOR-002</t>
        </is>
      </c>
      <c r="D194" t="inlineStr">
        <is>
          <t>MH-DC-002-PC-00049</t>
        </is>
      </c>
    </row>
    <row r="195">
      <c r="A195" t="inlineStr">
        <is>
          <t>LNK-00141</t>
        </is>
      </c>
      <c r="B195" t="inlineStr">
        <is>
          <t>Z</t>
        </is>
      </c>
      <c r="C195" t="inlineStr">
        <is>
          <t>MH-DC-002-MMR-SW-03</t>
        </is>
      </c>
      <c r="D195" t="inlineStr">
        <is>
          <t>MH-DC-002-PC-00050</t>
        </is>
      </c>
    </row>
    <row r="196">
      <c r="A196" t="inlineStr">
        <is>
          <t>LNK-00142</t>
        </is>
      </c>
      <c r="B196" t="inlineStr">
        <is>
          <t>A</t>
        </is>
      </c>
      <c r="C196" t="inlineStr">
        <is>
          <t>MH-DC-002-TOR-003</t>
        </is>
      </c>
      <c r="D196" t="inlineStr">
        <is>
          <t>MH-DC-002-PC-00051</t>
        </is>
      </c>
    </row>
    <row r="197">
      <c r="A197" t="inlineStr">
        <is>
          <t>LNK-00142</t>
        </is>
      </c>
      <c r="B197" t="inlineStr">
        <is>
          <t>Z</t>
        </is>
      </c>
      <c r="C197" t="inlineStr">
        <is>
          <t>MH-DC-002-MMR-SW-03</t>
        </is>
      </c>
      <c r="D197" t="inlineStr">
        <is>
          <t>MH-DC-002-PC-00052</t>
        </is>
      </c>
    </row>
    <row r="198">
      <c r="A198" t="inlineStr">
        <is>
          <t>LNK-00143</t>
        </is>
      </c>
      <c r="B198" t="inlineStr">
        <is>
          <t>A</t>
        </is>
      </c>
      <c r="C198" t="inlineStr">
        <is>
          <t>MH-DC-002-TOR-003</t>
        </is>
      </c>
      <c r="D198" t="inlineStr">
        <is>
          <t>MH-DC-002-PC-00053</t>
        </is>
      </c>
    </row>
    <row r="199">
      <c r="A199" t="inlineStr">
        <is>
          <t>LNK-00143</t>
        </is>
      </c>
      <c r="B199" t="inlineStr">
        <is>
          <t>Z</t>
        </is>
      </c>
      <c r="C199" t="inlineStr">
        <is>
          <t>MH-DC-002-MMR-SW-04</t>
        </is>
      </c>
      <c r="D199" t="inlineStr">
        <is>
          <t>MH-DC-002-PC-00054</t>
        </is>
      </c>
    </row>
    <row r="200">
      <c r="A200" t="inlineStr">
        <is>
          <t>LNK-02137</t>
        </is>
      </c>
      <c r="B200" t="inlineStr">
        <is>
          <t>A</t>
        </is>
      </c>
      <c r="C200" t="inlineStr">
        <is>
          <t>MH-DC-002-BMS-01</t>
        </is>
      </c>
      <c r="D200" t="inlineStr">
        <is>
          <t>MH-DC-002-PC-00075</t>
        </is>
      </c>
      <c r="E200" t="inlineStr">
        <is>
          <t>MH-DC-002-RACK-K-PP-F1</t>
        </is>
      </c>
      <c r="F200" t="n">
        <v>1</v>
      </c>
      <c r="G200" t="inlineStr">
        <is>
          <t>MH-DC-002-RACK-K-TRK-1</t>
        </is>
      </c>
      <c r="H200" t="inlineStr">
        <is>
          <t>MH-DC-002-RACK-J-ODF-1</t>
        </is>
      </c>
      <c r="I200" t="n">
        <v>21</v>
      </c>
    </row>
    <row r="201">
      <c r="A201" t="inlineStr">
        <is>
          <t>LNK-02137</t>
        </is>
      </c>
      <c r="B201" t="inlineStr">
        <is>
          <t>Z</t>
        </is>
      </c>
      <c r="C201" t="inlineStr">
        <is>
          <t>MH-DC-002-TOR-001</t>
        </is>
      </c>
      <c r="D201" t="inlineStr">
        <is>
          <t>MH-DC-002-PC-00076</t>
        </is>
      </c>
      <c r="E201" t="inlineStr">
        <is>
          <t>MH-DC-002-RACK-A-PP-F1</t>
        </is>
      </c>
      <c r="F201" t="n">
        <v>21</v>
      </c>
      <c r="G201" t="inlineStr">
        <is>
          <t>MH-DC-002-RACK-A-TRK-1</t>
        </is>
      </c>
      <c r="H201" t="inlineStr">
        <is>
          <t>MH-DC-002-RACK-J-ODF-1</t>
        </is>
      </c>
      <c r="I201" t="n">
        <v>22</v>
      </c>
    </row>
    <row r="202">
      <c r="A202" t="inlineStr">
        <is>
          <t>LNK-02138</t>
        </is>
      </c>
      <c r="B202" t="inlineStr">
        <is>
          <t>A</t>
        </is>
      </c>
      <c r="C202" t="inlineStr">
        <is>
          <t>MH-DC-002-BMS-01</t>
        </is>
      </c>
      <c r="D202" t="inlineStr">
        <is>
          <t>MH-DC-002-PC-00077</t>
        </is>
      </c>
      <c r="E202" t="inlineStr">
        <is>
          <t>MH-DC-002-RACK-K-PP-F1</t>
        </is>
      </c>
      <c r="F202" t="n">
        <v>2</v>
      </c>
      <c r="G202" t="inlineStr">
        <is>
          <t>MH-DC-002-RACK-K-TRK-2</t>
        </is>
      </c>
      <c r="H202" t="inlineStr">
        <is>
          <t>MH-DC-002-RACK-J-ODF-1</t>
        </is>
      </c>
      <c r="I202" t="n">
        <v>23</v>
      </c>
    </row>
    <row r="203">
      <c r="A203" t="inlineStr">
        <is>
          <t>LNK-02138</t>
        </is>
      </c>
      <c r="B203" t="inlineStr">
        <is>
          <t>Z</t>
        </is>
      </c>
      <c r="C203" t="inlineStr">
        <is>
          <t>MH-DC-002-TOR-002</t>
        </is>
      </c>
      <c r="D203" t="inlineStr">
        <is>
          <t>MH-DC-002-PC-00078</t>
        </is>
      </c>
      <c r="E203" t="inlineStr">
        <is>
          <t>MH-DC-002-RACK-A-PP-F1</t>
        </is>
      </c>
      <c r="F203" t="n">
        <v>22</v>
      </c>
      <c r="G203" t="inlineStr">
        <is>
          <t>MH-DC-002-RACK-A-TRK-1</t>
        </is>
      </c>
      <c r="H203" t="inlineStr">
        <is>
          <t>MH-DC-002-RACK-J-ODF-1</t>
        </is>
      </c>
      <c r="I203" t="n">
        <v>24</v>
      </c>
    </row>
    <row r="204">
      <c r="A204" t="inlineStr">
        <is>
          <t>LNK-02139</t>
        </is>
      </c>
      <c r="B204" t="inlineStr">
        <is>
          <t>A</t>
        </is>
      </c>
      <c r="C204" t="inlineStr">
        <is>
          <t>MH-DC-002-BMS-02</t>
        </is>
      </c>
      <c r="D204" t="inlineStr">
        <is>
          <t>MH-DC-002-PC-00079</t>
        </is>
      </c>
      <c r="E204" t="inlineStr">
        <is>
          <t>MH-DC-002-RACK-K-PP-F1</t>
        </is>
      </c>
      <c r="F204" t="n">
        <v>3</v>
      </c>
      <c r="G204" t="inlineStr">
        <is>
          <t>MH-DC-002-RACK-K-TRK-1</t>
        </is>
      </c>
      <c r="H204" t="inlineStr">
        <is>
          <t>MH-DC-002-RACK-J-ODF-2</t>
        </is>
      </c>
      <c r="I204" t="n">
        <v>1</v>
      </c>
    </row>
    <row r="205">
      <c r="A205" t="inlineStr">
        <is>
          <t>LNK-02139</t>
        </is>
      </c>
      <c r="B205" t="inlineStr">
        <is>
          <t>Z</t>
        </is>
      </c>
      <c r="C205" t="inlineStr">
        <is>
          <t>MH-DC-002-TOR-001</t>
        </is>
      </c>
      <c r="D205" t="inlineStr">
        <is>
          <t>MH-DC-002-PC-00080</t>
        </is>
      </c>
      <c r="E205" t="inlineStr">
        <is>
          <t>MH-DC-002-RACK-A-PP-F1</t>
        </is>
      </c>
      <c r="F205" t="n">
        <v>23</v>
      </c>
      <c r="G205" t="inlineStr">
        <is>
          <t>MH-DC-002-RACK-A-TRK-2</t>
        </is>
      </c>
      <c r="H205" t="inlineStr">
        <is>
          <t>MH-DC-002-RACK-J-ODF-2</t>
        </is>
      </c>
      <c r="I205" t="n">
        <v>2</v>
      </c>
    </row>
    <row r="206">
      <c r="A206" t="inlineStr">
        <is>
          <t>LNK-02140</t>
        </is>
      </c>
      <c r="B206" t="inlineStr">
        <is>
          <t>A</t>
        </is>
      </c>
      <c r="C206" t="inlineStr">
        <is>
          <t>MH-DC-002-BMS-02</t>
        </is>
      </c>
      <c r="D206" t="inlineStr">
        <is>
          <t>MH-DC-002-PC-00081</t>
        </is>
      </c>
      <c r="E206" t="inlineStr">
        <is>
          <t>MH-DC-002-RACK-K-PP-F1</t>
        </is>
      </c>
      <c r="F206" t="n">
        <v>4</v>
      </c>
      <c r="G206" t="inlineStr">
        <is>
          <t>MH-DC-002-RACK-K-TRK-2</t>
        </is>
      </c>
      <c r="H206" t="inlineStr">
        <is>
          <t>MH-DC-002-RACK-J-ODF-2</t>
        </is>
      </c>
      <c r="I206" t="n">
        <v>3</v>
      </c>
    </row>
    <row r="207">
      <c r="A207" t="inlineStr">
        <is>
          <t>LNK-02140</t>
        </is>
      </c>
      <c r="B207" t="inlineStr">
        <is>
          <t>Z</t>
        </is>
      </c>
      <c r="C207" t="inlineStr">
        <is>
          <t>MH-DC-002-TOR-002</t>
        </is>
      </c>
      <c r="D207" t="inlineStr">
        <is>
          <t>MH-DC-002-PC-00082</t>
        </is>
      </c>
      <c r="E207" t="inlineStr">
        <is>
          <t>MH-DC-002-RACK-A-PP-F1</t>
        </is>
      </c>
      <c r="F207" t="n">
        <v>24</v>
      </c>
      <c r="G207" t="inlineStr">
        <is>
          <t>MH-DC-002-RACK-A-TRK-2</t>
        </is>
      </c>
      <c r="H207" t="inlineStr">
        <is>
          <t>MH-DC-002-RACK-J-ODF-2</t>
        </is>
      </c>
      <c r="I207" t="n">
        <v>4</v>
      </c>
    </row>
    <row r="208">
      <c r="A208" t="inlineStr">
        <is>
          <t>LNK-02141</t>
        </is>
      </c>
      <c r="B208" t="inlineStr">
        <is>
          <t>A</t>
        </is>
      </c>
      <c r="C208" t="inlineStr">
        <is>
          <t>MH-DC-002-ACS-01</t>
        </is>
      </c>
      <c r="D208" t="inlineStr">
        <is>
          <t>MH-DC-002-PC-00083</t>
        </is>
      </c>
      <c r="E208" t="inlineStr">
        <is>
          <t>MH-DC-002-RACK-K-PP-F1</t>
        </is>
      </c>
      <c r="F208" t="n">
        <v>5</v>
      </c>
      <c r="G208" t="inlineStr">
        <is>
          <t>MH-DC-002-RACK-K-TRK-1</t>
        </is>
      </c>
      <c r="H208" t="inlineStr">
        <is>
          <t>MH-DC-002-RACK-J-ODF-2</t>
        </is>
      </c>
      <c r="I208" t="n">
        <v>5</v>
      </c>
    </row>
    <row r="209">
      <c r="A209" t="inlineStr">
        <is>
          <t>LNK-02141</t>
        </is>
      </c>
      <c r="B209" t="inlineStr">
        <is>
          <t>Z</t>
        </is>
      </c>
      <c r="C209" t="inlineStr">
        <is>
          <t>MH-DC-002-TOR-001</t>
        </is>
      </c>
      <c r="D209" t="inlineStr">
        <is>
          <t>MH-DC-002-PC-00084</t>
        </is>
      </c>
      <c r="E209" t="inlineStr">
        <is>
          <t>MH-DC-002-RACK-A-PP-F2</t>
        </is>
      </c>
      <c r="F209" t="n">
        <v>1</v>
      </c>
      <c r="G209" t="inlineStr">
        <is>
          <t>MH-DC-002-RACK-A-TRK-1</t>
        </is>
      </c>
      <c r="H209" t="inlineStr">
        <is>
          <t>MH-DC-002-RACK-J-ODF-2</t>
        </is>
      </c>
      <c r="I209" t="n">
        <v>6</v>
      </c>
    </row>
    <row r="210">
      <c r="A210" t="inlineStr">
        <is>
          <t>LNK-02142</t>
        </is>
      </c>
      <c r="B210" t="inlineStr">
        <is>
          <t>A</t>
        </is>
      </c>
      <c r="C210" t="inlineStr">
        <is>
          <t>MH-DC-002-ACS-01</t>
        </is>
      </c>
      <c r="D210" t="inlineStr">
        <is>
          <t>MH-DC-002-PC-00085</t>
        </is>
      </c>
      <c r="E210" t="inlineStr">
        <is>
          <t>MH-DC-002-RACK-K-PP-F1</t>
        </is>
      </c>
      <c r="F210" t="n">
        <v>6</v>
      </c>
      <c r="G210" t="inlineStr">
        <is>
          <t>MH-DC-002-RACK-K-TRK-2</t>
        </is>
      </c>
      <c r="H210" t="inlineStr">
        <is>
          <t>MH-DC-002-RACK-J-ODF-2</t>
        </is>
      </c>
      <c r="I210" t="n">
        <v>7</v>
      </c>
    </row>
    <row r="211">
      <c r="A211" t="inlineStr">
        <is>
          <t>LNK-02142</t>
        </is>
      </c>
      <c r="B211" t="inlineStr">
        <is>
          <t>Z</t>
        </is>
      </c>
      <c r="C211" t="inlineStr">
        <is>
          <t>MH-DC-002-TOR-002</t>
        </is>
      </c>
      <c r="D211" t="inlineStr">
        <is>
          <t>MH-DC-002-PC-00086</t>
        </is>
      </c>
      <c r="E211" t="inlineStr">
        <is>
          <t>MH-DC-002-RACK-A-PP-F2</t>
        </is>
      </c>
      <c r="F211" t="n">
        <v>2</v>
      </c>
      <c r="G211" t="inlineStr">
        <is>
          <t>MH-DC-002-RACK-A-TRK-1</t>
        </is>
      </c>
      <c r="H211" t="inlineStr">
        <is>
          <t>MH-DC-002-RACK-J-ODF-2</t>
        </is>
      </c>
      <c r="I211" t="n">
        <v>8</v>
      </c>
    </row>
    <row r="212">
      <c r="A212" t="inlineStr">
        <is>
          <t>LNK-02143</t>
        </is>
      </c>
      <c r="B212" t="inlineStr">
        <is>
          <t>A</t>
        </is>
      </c>
      <c r="C212" t="inlineStr">
        <is>
          <t>MH-DC-002-NVR-01</t>
        </is>
      </c>
      <c r="D212" t="inlineStr">
        <is>
          <t>MH-DC-002-PC-00087</t>
        </is>
      </c>
      <c r="E212" t="inlineStr">
        <is>
          <t>MH-DC-002-RACK-K-PP-F1</t>
        </is>
      </c>
      <c r="F212" t="n">
        <v>7</v>
      </c>
      <c r="G212" t="inlineStr">
        <is>
          <t>MH-DC-002-RACK-K-TRK-1</t>
        </is>
      </c>
      <c r="H212" t="inlineStr">
        <is>
          <t>MH-DC-002-RACK-J-ODF-2</t>
        </is>
      </c>
      <c r="I212" t="n">
        <v>9</v>
      </c>
    </row>
    <row r="213">
      <c r="A213" t="inlineStr">
        <is>
          <t>LNK-02143</t>
        </is>
      </c>
      <c r="B213" t="inlineStr">
        <is>
          <t>Z</t>
        </is>
      </c>
      <c r="C213" t="inlineStr">
        <is>
          <t>MH-DC-002-TOR-001</t>
        </is>
      </c>
      <c r="D213" t="inlineStr">
        <is>
          <t>MH-DC-002-PC-00088</t>
        </is>
      </c>
      <c r="E213" t="inlineStr">
        <is>
          <t>MH-DC-002-RACK-A-PP-F2</t>
        </is>
      </c>
      <c r="F213" t="n">
        <v>3</v>
      </c>
      <c r="G213" t="inlineStr">
        <is>
          <t>MH-DC-002-RACK-A-TRK-2</t>
        </is>
      </c>
      <c r="H213" t="inlineStr">
        <is>
          <t>MH-DC-002-RACK-J-ODF-2</t>
        </is>
      </c>
      <c r="I213" t="n">
        <v>10</v>
      </c>
    </row>
    <row r="214">
      <c r="A214" t="inlineStr">
        <is>
          <t>LNK-02144</t>
        </is>
      </c>
      <c r="B214" t="inlineStr">
        <is>
          <t>A</t>
        </is>
      </c>
      <c r="C214" t="inlineStr">
        <is>
          <t>MH-DC-002-NVR-01</t>
        </is>
      </c>
      <c r="D214" t="inlineStr">
        <is>
          <t>MH-DC-002-PC-00089</t>
        </is>
      </c>
      <c r="E214" t="inlineStr">
        <is>
          <t>MH-DC-002-RACK-K-PP-F1</t>
        </is>
      </c>
      <c r="F214" t="n">
        <v>8</v>
      </c>
      <c r="G214" t="inlineStr">
        <is>
          <t>MH-DC-002-RACK-K-TRK-2</t>
        </is>
      </c>
      <c r="H214" t="inlineStr">
        <is>
          <t>MH-DC-002-RACK-J-ODF-2</t>
        </is>
      </c>
      <c r="I214" t="n">
        <v>11</v>
      </c>
    </row>
    <row r="215">
      <c r="A215" t="inlineStr">
        <is>
          <t>LNK-02144</t>
        </is>
      </c>
      <c r="B215" t="inlineStr">
        <is>
          <t>Z</t>
        </is>
      </c>
      <c r="C215" t="inlineStr">
        <is>
          <t>MH-DC-002-TOR-002</t>
        </is>
      </c>
      <c r="D215" t="inlineStr">
        <is>
          <t>MH-DC-002-PC-00090</t>
        </is>
      </c>
      <c r="E215" t="inlineStr">
        <is>
          <t>MH-DC-002-RACK-A-PP-F2</t>
        </is>
      </c>
      <c r="F215" t="n">
        <v>4</v>
      </c>
      <c r="G215" t="inlineStr">
        <is>
          <t>MH-DC-002-RACK-A-TRK-2</t>
        </is>
      </c>
      <c r="H215" t="inlineStr">
        <is>
          <t>MH-DC-002-RACK-J-ODF-2</t>
        </is>
      </c>
      <c r="I215" t="n">
        <v>12</v>
      </c>
    </row>
    <row r="216">
      <c r="A216" t="inlineStr">
        <is>
          <t>LNK-02145</t>
        </is>
      </c>
      <c r="B216" t="inlineStr">
        <is>
          <t>A</t>
        </is>
      </c>
      <c r="C216" t="inlineStr">
        <is>
          <t>MH-DC-002-JMP-01</t>
        </is>
      </c>
      <c r="D216" t="inlineStr">
        <is>
          <t>MH-DC-002-PC-00091</t>
        </is>
      </c>
      <c r="E216" t="inlineStr">
        <is>
          <t>MH-DC-002-RACK-K-PP-F1</t>
        </is>
      </c>
      <c r="F216" t="n">
        <v>9</v>
      </c>
      <c r="G216" t="inlineStr">
        <is>
          <t>MH-DC-002-RACK-K-TRK-1</t>
        </is>
      </c>
      <c r="H216" t="inlineStr">
        <is>
          <t>MH-DC-002-RACK-J-ODF-2</t>
        </is>
      </c>
      <c r="I216" t="n">
        <v>13</v>
      </c>
    </row>
    <row r="217">
      <c r="A217" t="inlineStr">
        <is>
          <t>LNK-02145</t>
        </is>
      </c>
      <c r="B217" t="inlineStr">
        <is>
          <t>Z</t>
        </is>
      </c>
      <c r="C217" t="inlineStr">
        <is>
          <t>MH-DC-002-TOR-001</t>
        </is>
      </c>
      <c r="D217" t="inlineStr">
        <is>
          <t>MH-DC-002-PC-00092</t>
        </is>
      </c>
      <c r="E217" t="inlineStr">
        <is>
          <t>MH-DC-002-RACK-A-PP-F2</t>
        </is>
      </c>
      <c r="F217" t="n">
        <v>5</v>
      </c>
      <c r="G217" t="inlineStr">
        <is>
          <t>MH-DC-002-RACK-A-TRK-1</t>
        </is>
      </c>
      <c r="H217" t="inlineStr">
        <is>
          <t>MH-DC-002-RACK-J-ODF-2</t>
        </is>
      </c>
      <c r="I217" t="n">
        <v>14</v>
      </c>
    </row>
    <row r="218">
      <c r="A218" t="inlineStr">
        <is>
          <t>LNK-02146</t>
        </is>
      </c>
      <c r="B218" t="inlineStr">
        <is>
          <t>A</t>
        </is>
      </c>
      <c r="C218" t="inlineStr">
        <is>
          <t>MH-DC-002-JMP-01</t>
        </is>
      </c>
      <c r="D218" t="inlineStr">
        <is>
          <t>MH-DC-002-PC-00093</t>
        </is>
      </c>
      <c r="E218" t="inlineStr">
        <is>
          <t>MH-DC-002-RACK-K-PP-F1</t>
        </is>
      </c>
      <c r="F218" t="n">
        <v>10</v>
      </c>
      <c r="G218" t="inlineStr">
        <is>
          <t>MH-DC-002-RACK-K-TRK-2</t>
        </is>
      </c>
      <c r="H218" t="inlineStr">
        <is>
          <t>MH-DC-002-RACK-J-ODF-2</t>
        </is>
      </c>
      <c r="I218" t="n">
        <v>15</v>
      </c>
    </row>
    <row r="219">
      <c r="A219" t="inlineStr">
        <is>
          <t>LNK-02146</t>
        </is>
      </c>
      <c r="B219" t="inlineStr">
        <is>
          <t>Z</t>
        </is>
      </c>
      <c r="C219" t="inlineStr">
        <is>
          <t>MH-DC-002-TOR-002</t>
        </is>
      </c>
      <c r="D219" t="inlineStr">
        <is>
          <t>MH-DC-002-PC-00094</t>
        </is>
      </c>
      <c r="E219" t="inlineStr">
        <is>
          <t>MH-DC-002-RACK-A-PP-F2</t>
        </is>
      </c>
      <c r="F219" t="n">
        <v>6</v>
      </c>
      <c r="G219" t="inlineStr">
        <is>
          <t>MH-DC-002-RACK-A-TRK-1</t>
        </is>
      </c>
      <c r="H219" t="inlineStr">
        <is>
          <t>MH-DC-002-RACK-J-ODF-2</t>
        </is>
      </c>
      <c r="I219" t="n">
        <v>16</v>
      </c>
    </row>
    <row r="220">
      <c r="A220" t="inlineStr">
        <is>
          <t>LNK-02147</t>
        </is>
      </c>
      <c r="B220" t="inlineStr">
        <is>
          <t>A</t>
        </is>
      </c>
      <c r="C220" t="inlineStr">
        <is>
          <t>MH-DC-002-BKP-01</t>
        </is>
      </c>
      <c r="D220" t="inlineStr">
        <is>
          <t>MH-DC-002-PC-00095</t>
        </is>
      </c>
      <c r="E220" t="inlineStr">
        <is>
          <t>MH-DC-002-RACK-K-PP-F1</t>
        </is>
      </c>
      <c r="F220" t="n">
        <v>11</v>
      </c>
      <c r="G220" t="inlineStr">
        <is>
          <t>MH-DC-002-RACK-K-TRK-1</t>
        </is>
      </c>
      <c r="H220" t="inlineStr">
        <is>
          <t>MH-DC-002-RACK-J-ODF-2</t>
        </is>
      </c>
      <c r="I220" t="n">
        <v>17</v>
      </c>
    </row>
    <row r="221">
      <c r="A221" t="inlineStr">
        <is>
          <t>LNK-02147</t>
        </is>
      </c>
      <c r="B221" t="inlineStr">
        <is>
          <t>Z</t>
        </is>
      </c>
      <c r="C221" t="inlineStr">
        <is>
          <t>MH-DC-002-TOR-001</t>
        </is>
      </c>
      <c r="D221" t="inlineStr">
        <is>
          <t>MH-DC-002-PC-00096</t>
        </is>
      </c>
      <c r="E221" t="inlineStr">
        <is>
          <t>MH-DC-002-RACK-A-PP-F2</t>
        </is>
      </c>
      <c r="F221" t="n">
        <v>7</v>
      </c>
      <c r="G221" t="inlineStr">
        <is>
          <t>MH-DC-002-RACK-A-TRK-2</t>
        </is>
      </c>
      <c r="H221" t="inlineStr">
        <is>
          <t>MH-DC-002-RACK-J-ODF-2</t>
        </is>
      </c>
      <c r="I221" t="n">
        <v>18</v>
      </c>
    </row>
    <row r="222">
      <c r="A222" t="inlineStr">
        <is>
          <t>LNK-02148</t>
        </is>
      </c>
      <c r="B222" t="inlineStr">
        <is>
          <t>A</t>
        </is>
      </c>
      <c r="C222" t="inlineStr">
        <is>
          <t>MH-DC-002-BKP-01</t>
        </is>
      </c>
      <c r="D222" t="inlineStr">
        <is>
          <t>MH-DC-002-PC-00097</t>
        </is>
      </c>
      <c r="E222" t="inlineStr">
        <is>
          <t>MH-DC-002-RACK-K-PP-F1</t>
        </is>
      </c>
      <c r="F222" t="n">
        <v>12</v>
      </c>
      <c r="G222" t="inlineStr">
        <is>
          <t>MH-DC-002-RACK-K-TRK-2</t>
        </is>
      </c>
      <c r="H222" t="inlineStr">
        <is>
          <t>MH-DC-002-RACK-J-ODF-2</t>
        </is>
      </c>
      <c r="I222" t="n">
        <v>19</v>
      </c>
    </row>
    <row r="223">
      <c r="A223" t="inlineStr">
        <is>
          <t>LNK-02148</t>
        </is>
      </c>
      <c r="B223" t="inlineStr">
        <is>
          <t>Z</t>
        </is>
      </c>
      <c r="C223" t="inlineStr">
        <is>
          <t>MH-DC-002-TOR-002</t>
        </is>
      </c>
      <c r="D223" t="inlineStr">
        <is>
          <t>MH-DC-002-PC-00098</t>
        </is>
      </c>
      <c r="E223" t="inlineStr">
        <is>
          <t>MH-DC-002-RACK-A-PP-F2</t>
        </is>
      </c>
      <c r="F223" t="n">
        <v>8</v>
      </c>
      <c r="G223" t="inlineStr">
        <is>
          <t>MH-DC-002-RACK-A-TRK-2</t>
        </is>
      </c>
      <c r="H223" t="inlineStr">
        <is>
          <t>MH-DC-002-RACK-J-ODF-2</t>
        </is>
      </c>
      <c r="I223" t="n">
        <v>20</v>
      </c>
    </row>
    <row r="224">
      <c r="A224" t="inlineStr">
        <is>
          <t>LNK-02149</t>
        </is>
      </c>
      <c r="B224" t="inlineStr">
        <is>
          <t>A</t>
        </is>
      </c>
      <c r="C224" t="inlineStr">
        <is>
          <t>MH-DC-002-DCIM-01</t>
        </is>
      </c>
      <c r="D224" t="inlineStr">
        <is>
          <t>MH-DC-002-PC-00099</t>
        </is>
      </c>
      <c r="E224" t="inlineStr">
        <is>
          <t>MH-DC-002-RACK-K-PP-F1</t>
        </is>
      </c>
      <c r="F224" t="n">
        <v>13</v>
      </c>
      <c r="G224" t="inlineStr">
        <is>
          <t>MH-DC-002-RACK-K-TRK-1</t>
        </is>
      </c>
      <c r="H224" t="inlineStr">
        <is>
          <t>MH-DC-002-RACK-J-ODF-2</t>
        </is>
      </c>
      <c r="I224" t="n">
        <v>21</v>
      </c>
    </row>
    <row r="225">
      <c r="A225" t="inlineStr">
        <is>
          <t>LNK-02149</t>
        </is>
      </c>
      <c r="B225" t="inlineStr">
        <is>
          <t>Z</t>
        </is>
      </c>
      <c r="C225" t="inlineStr">
        <is>
          <t>MH-DC-002-TOR-001</t>
        </is>
      </c>
      <c r="D225" t="inlineStr">
        <is>
          <t>MH-DC-002-PC-00100</t>
        </is>
      </c>
      <c r="E225" t="inlineStr">
        <is>
          <t>MH-DC-002-RACK-A-PP-F2</t>
        </is>
      </c>
      <c r="F225" t="n">
        <v>9</v>
      </c>
      <c r="G225" t="inlineStr">
        <is>
          <t>MH-DC-002-RACK-A-TRK-1</t>
        </is>
      </c>
      <c r="H225" t="inlineStr">
        <is>
          <t>MH-DC-002-RACK-J-ODF-2</t>
        </is>
      </c>
      <c r="I225" t="n">
        <v>22</v>
      </c>
    </row>
    <row r="226">
      <c r="A226" t="inlineStr">
        <is>
          <t>LNK-02150</t>
        </is>
      </c>
      <c r="B226" t="inlineStr">
        <is>
          <t>A</t>
        </is>
      </c>
      <c r="C226" t="inlineStr">
        <is>
          <t>MH-DC-002-DCIM-01</t>
        </is>
      </c>
      <c r="D226" t="inlineStr">
        <is>
          <t>MH-DC-002-PC-00101</t>
        </is>
      </c>
      <c r="E226" t="inlineStr">
        <is>
          <t>MH-DC-002-RACK-K-PP-F1</t>
        </is>
      </c>
      <c r="F226" t="n">
        <v>14</v>
      </c>
      <c r="G226" t="inlineStr">
        <is>
          <t>MH-DC-002-RACK-K-TRK-2</t>
        </is>
      </c>
      <c r="H226" t="inlineStr">
        <is>
          <t>MH-DC-002-RACK-J-ODF-2</t>
        </is>
      </c>
      <c r="I226" t="n">
        <v>23</v>
      </c>
    </row>
    <row r="227">
      <c r="A227" t="inlineStr">
        <is>
          <t>LNK-02150</t>
        </is>
      </c>
      <c r="B227" t="inlineStr">
        <is>
          <t>Z</t>
        </is>
      </c>
      <c r="C227" t="inlineStr">
        <is>
          <t>MH-DC-002-TOR-002</t>
        </is>
      </c>
      <c r="D227" t="inlineStr">
        <is>
          <t>MH-DC-002-PC-00102</t>
        </is>
      </c>
      <c r="E227" t="inlineStr">
        <is>
          <t>MH-DC-002-RACK-A-PP-F2</t>
        </is>
      </c>
      <c r="F227" t="n">
        <v>10</v>
      </c>
      <c r="G227" t="inlineStr">
        <is>
          <t>MH-DC-002-RACK-A-TRK-1</t>
        </is>
      </c>
      <c r="H227" t="inlineStr">
        <is>
          <t>MH-DC-002-RACK-J-ODF-2</t>
        </is>
      </c>
      <c r="I227" t="n">
        <v>24</v>
      </c>
    </row>
    <row r="228">
      <c r="A228" t="inlineStr">
        <is>
          <t>LNK-02151</t>
        </is>
      </c>
      <c r="B228" t="inlineStr">
        <is>
          <t>A</t>
        </is>
      </c>
      <c r="C228" t="inlineStr">
        <is>
          <t>MH-DC-002-DCIM-02</t>
        </is>
      </c>
      <c r="D228" t="inlineStr">
        <is>
          <t>MH-DC-002-PC-00103</t>
        </is>
      </c>
      <c r="E228" t="inlineStr">
        <is>
          <t>MH-DC-002-RACK-K-PP-F1</t>
        </is>
      </c>
      <c r="F228" t="n">
        <v>15</v>
      </c>
      <c r="G228" t="inlineStr">
        <is>
          <t>MH-DC-002-RACK-K-TRK-1</t>
        </is>
      </c>
      <c r="H228" t="inlineStr">
        <is>
          <t>MH-DC-002-RACK-J-ODF-3</t>
        </is>
      </c>
      <c r="I228" t="n">
        <v>1</v>
      </c>
    </row>
    <row r="229">
      <c r="A229" t="inlineStr">
        <is>
          <t>LNK-02151</t>
        </is>
      </c>
      <c r="B229" t="inlineStr">
        <is>
          <t>Z</t>
        </is>
      </c>
      <c r="C229" t="inlineStr">
        <is>
          <t>MH-DC-002-MMR-SW-01</t>
        </is>
      </c>
      <c r="D229" t="inlineStr">
        <is>
          <t>MH-DC-002-PC-00104</t>
        </is>
      </c>
      <c r="E229" t="inlineStr">
        <is>
          <t>MH-DC-002-RACK-A-PP-F2</t>
        </is>
      </c>
      <c r="F229" t="n">
        <v>11</v>
      </c>
      <c r="G229" t="inlineStr">
        <is>
          <t>MH-DC-002-RACK-A-TRK-2</t>
        </is>
      </c>
      <c r="H229" t="inlineStr">
        <is>
          <t>MH-DC-002-RACK-J-ODF-3</t>
        </is>
      </c>
      <c r="I229" t="n">
        <v>2</v>
      </c>
    </row>
    <row r="230">
      <c r="A230" t="inlineStr">
        <is>
          <t>LNK-02152</t>
        </is>
      </c>
      <c r="B230" t="inlineStr">
        <is>
          <t>A</t>
        </is>
      </c>
      <c r="C230" t="inlineStr">
        <is>
          <t>MH-DC-002-DCIM-02</t>
        </is>
      </c>
      <c r="D230" t="inlineStr">
        <is>
          <t>MH-DC-002-PC-00105</t>
        </is>
      </c>
      <c r="E230" t="inlineStr">
        <is>
          <t>MH-DC-002-RACK-K-PP-F1</t>
        </is>
      </c>
      <c r="F230" t="n">
        <v>16</v>
      </c>
      <c r="G230" t="inlineStr">
        <is>
          <t>MH-DC-002-RACK-K-TRK-2</t>
        </is>
      </c>
      <c r="H230" t="inlineStr">
        <is>
          <t>MH-DC-002-RACK-J-ODF-3</t>
        </is>
      </c>
      <c r="I230" t="n">
        <v>3</v>
      </c>
    </row>
    <row r="231">
      <c r="A231" t="inlineStr">
        <is>
          <t>LNK-02152</t>
        </is>
      </c>
      <c r="B231" t="inlineStr">
        <is>
          <t>Z</t>
        </is>
      </c>
      <c r="C231" t="inlineStr">
        <is>
          <t>MH-DC-002-MMR-SW-02</t>
        </is>
      </c>
      <c r="D231" t="inlineStr">
        <is>
          <t>MH-DC-002-PC-00106</t>
        </is>
      </c>
      <c r="E231" t="inlineStr">
        <is>
          <t>MH-DC-002-RACK-A-PP-F2</t>
        </is>
      </c>
      <c r="F231" t="n">
        <v>12</v>
      </c>
      <c r="G231" t="inlineStr">
        <is>
          <t>MH-DC-002-RACK-A-TRK-1</t>
        </is>
      </c>
      <c r="H231" t="inlineStr">
        <is>
          <t>MH-DC-002-RACK-J-ODF-3</t>
        </is>
      </c>
      <c r="I231" t="n">
        <v>4</v>
      </c>
    </row>
    <row r="232">
      <c r="A232" t="inlineStr">
        <is>
          <t>LNK-02153</t>
        </is>
      </c>
      <c r="B232" t="inlineStr">
        <is>
          <t>A</t>
        </is>
      </c>
      <c r="C232" t="inlineStr">
        <is>
          <t>MH-DC-002-MON-01</t>
        </is>
      </c>
      <c r="D232" t="inlineStr">
        <is>
          <t>MH-DC-002-PC-00107</t>
        </is>
      </c>
      <c r="E232" t="inlineStr">
        <is>
          <t>MH-DC-002-RACK-K-PP-F1</t>
        </is>
      </c>
      <c r="F232" t="n">
        <v>17</v>
      </c>
      <c r="G232" t="inlineStr">
        <is>
          <t>MH-DC-002-RACK-K-TRK-1</t>
        </is>
      </c>
      <c r="H232" t="inlineStr">
        <is>
          <t>MH-DC-002-RACK-J-ODF-3</t>
        </is>
      </c>
      <c r="I232" t="n">
        <v>5</v>
      </c>
    </row>
    <row r="233">
      <c r="A233" t="inlineStr">
        <is>
          <t>LNK-02153</t>
        </is>
      </c>
      <c r="B233" t="inlineStr">
        <is>
          <t>Z</t>
        </is>
      </c>
      <c r="C233" t="inlineStr">
        <is>
          <t>MH-DC-002-MMR-SW-01</t>
        </is>
      </c>
      <c r="D233" t="inlineStr">
        <is>
          <t>MH-DC-002-PC-00108</t>
        </is>
      </c>
      <c r="E233" t="inlineStr">
        <is>
          <t>MH-DC-002-RACK-A-PP-F2</t>
        </is>
      </c>
      <c r="F233" t="n">
        <v>13</v>
      </c>
      <c r="G233" t="inlineStr">
        <is>
          <t>MH-DC-002-RACK-A-TRK-1</t>
        </is>
      </c>
      <c r="H233" t="inlineStr">
        <is>
          <t>MH-DC-002-RACK-J-ODF-3</t>
        </is>
      </c>
      <c r="I233" t="n">
        <v>6</v>
      </c>
    </row>
    <row r="234">
      <c r="A234" t="inlineStr">
        <is>
          <t>LNK-02154</t>
        </is>
      </c>
      <c r="B234" t="inlineStr">
        <is>
          <t>A</t>
        </is>
      </c>
      <c r="C234" t="inlineStr">
        <is>
          <t>MH-DC-002-MON-01</t>
        </is>
      </c>
      <c r="D234" t="inlineStr">
        <is>
          <t>MH-DC-002-PC-00109</t>
        </is>
      </c>
      <c r="E234" t="inlineStr">
        <is>
          <t>MH-DC-002-RACK-K-PP-F1</t>
        </is>
      </c>
      <c r="F234" t="n">
        <v>18</v>
      </c>
      <c r="G234" t="inlineStr">
        <is>
          <t>MH-DC-002-RACK-K-TRK-2</t>
        </is>
      </c>
      <c r="H234" t="inlineStr">
        <is>
          <t>MH-DC-002-RACK-J-ODF-3</t>
        </is>
      </c>
      <c r="I234" t="n">
        <v>7</v>
      </c>
    </row>
    <row r="235">
      <c r="A235" t="inlineStr">
        <is>
          <t>LNK-02154</t>
        </is>
      </c>
      <c r="B235" t="inlineStr">
        <is>
          <t>Z</t>
        </is>
      </c>
      <c r="C235" t="inlineStr">
        <is>
          <t>MH-DC-002-MMR-SW-02</t>
        </is>
      </c>
      <c r="D235" t="inlineStr">
        <is>
          <t>MH-DC-002-PC-00110</t>
        </is>
      </c>
      <c r="E235" t="inlineStr">
        <is>
          <t>MH-DC-002-RACK-A-PP-F2</t>
        </is>
      </c>
      <c r="F235" t="n">
        <v>14</v>
      </c>
      <c r="G235" t="inlineStr">
        <is>
          <t>MH-DC-002-RACK-A-TRK-2</t>
        </is>
      </c>
      <c r="H235" t="inlineStr">
        <is>
          <t>MH-DC-002-RACK-J-ODF-3</t>
        </is>
      </c>
      <c r="I235" t="n">
        <v>8</v>
      </c>
    </row>
    <row r="236">
      <c r="A236" t="inlineStr">
        <is>
          <t>LNK-02155</t>
        </is>
      </c>
      <c r="B236" t="inlineStr">
        <is>
          <t>A</t>
        </is>
      </c>
      <c r="C236" t="inlineStr">
        <is>
          <t>MH-DC-002-MON-02</t>
        </is>
      </c>
      <c r="D236" t="inlineStr">
        <is>
          <t>MH-DC-002-PC-00111</t>
        </is>
      </c>
      <c r="E236" t="inlineStr">
        <is>
          <t>MH-DC-002-RACK-K-PP-F1</t>
        </is>
      </c>
      <c r="F236" t="n">
        <v>19</v>
      </c>
      <c r="G236" t="inlineStr">
        <is>
          <t>MH-DC-002-RACK-K-TRK-1</t>
        </is>
      </c>
      <c r="H236" t="inlineStr">
        <is>
          <t>MH-DC-002-RACK-J-ODF-3</t>
        </is>
      </c>
      <c r="I236" t="n">
        <v>9</v>
      </c>
    </row>
    <row r="237">
      <c r="A237" t="inlineStr">
        <is>
          <t>LNK-02155</t>
        </is>
      </c>
      <c r="B237" t="inlineStr">
        <is>
          <t>Z</t>
        </is>
      </c>
      <c r="C237" t="inlineStr">
        <is>
          <t>MH-DC-002-MMR-SW-01</t>
        </is>
      </c>
      <c r="D237" t="inlineStr">
        <is>
          <t>MH-DC-002-PC-00112</t>
        </is>
      </c>
      <c r="E237" t="inlineStr">
        <is>
          <t>MH-DC-002-RACK-A-PP-F2</t>
        </is>
      </c>
      <c r="F237" t="n">
        <v>15</v>
      </c>
      <c r="G237" t="inlineStr">
        <is>
          <t>MH-DC-002-RACK-A-TRK-2</t>
        </is>
      </c>
      <c r="H237" t="inlineStr">
        <is>
          <t>MH-DC-002-RACK-J-ODF-3</t>
        </is>
      </c>
      <c r="I237" t="n">
        <v>10</v>
      </c>
    </row>
    <row r="238">
      <c r="A238" t="inlineStr">
        <is>
          <t>LNK-02156</t>
        </is>
      </c>
      <c r="B238" t="inlineStr">
        <is>
          <t>A</t>
        </is>
      </c>
      <c r="C238" t="inlineStr">
        <is>
          <t>MH-DC-002-MON-02</t>
        </is>
      </c>
      <c r="D238" t="inlineStr">
        <is>
          <t>MH-DC-002-PC-00113</t>
        </is>
      </c>
      <c r="E238" t="inlineStr">
        <is>
          <t>MH-DC-002-RACK-K-PP-F1</t>
        </is>
      </c>
      <c r="F238" t="n">
        <v>20</v>
      </c>
      <c r="G238" t="inlineStr">
        <is>
          <t>MH-DC-002-RACK-K-TRK-2</t>
        </is>
      </c>
      <c r="H238" t="inlineStr">
        <is>
          <t>MH-DC-002-RACK-J-ODF-3</t>
        </is>
      </c>
      <c r="I238" t="n">
        <v>11</v>
      </c>
    </row>
    <row r="239">
      <c r="A239" t="inlineStr">
        <is>
          <t>LNK-02156</t>
        </is>
      </c>
      <c r="B239" t="inlineStr">
        <is>
          <t>Z</t>
        </is>
      </c>
      <c r="C239" t="inlineStr">
        <is>
          <t>MH-DC-002-MMR-SW-02</t>
        </is>
      </c>
      <c r="D239" t="inlineStr">
        <is>
          <t>MH-DC-002-PC-00114</t>
        </is>
      </c>
      <c r="E239" t="inlineStr">
        <is>
          <t>MH-DC-002-RACK-A-PP-F2</t>
        </is>
      </c>
      <c r="F239" t="n">
        <v>16</v>
      </c>
      <c r="G239" t="inlineStr">
        <is>
          <t>MH-DC-002-RACK-A-TRK-1</t>
        </is>
      </c>
      <c r="H239" t="inlineStr">
        <is>
          <t>MH-DC-002-RACK-J-ODF-3</t>
        </is>
      </c>
      <c r="I239" t="n">
        <v>12</v>
      </c>
    </row>
  </sheetData>
  <autoFilter ref="A1:J239"/>
  <dataValidations count="1">
    <dataValidation sqref="B2:B2000" showDropDown="0" showInputMessage="0" showErrorMessage="1" allowBlank="1" errorTitle="Not an allowed value" error="Pick a value from the list (Lookups → link_end)." type="list">
      <formula1>=L_link_end</formula1>
    </dataValidation>
  </dataValidations>
  <pageMargins left="0.75" right="0.75" top="1" bottom="1" header="0.5" footer="0.5"/>
  <legacyDrawing xmlns:r="http://schemas.openxmlformats.org/officeDocument/2006/relationships" r:id="anysvml"/>
</worksheet>
</file>

<file path=xl/worksheets/sheet23.xml><?xml version="1.0" encoding="utf-8"?>
<worksheet xmlns="http://schemas.openxmlformats.org/spreadsheetml/2006/main">
  <sheetPr>
    <tabColor rgb="002E6BD9"/>
    <outlinePr summaryBelow="1" summaryRight="1"/>
    <pageSetUpPr/>
  </sheetPr>
  <dimension ref="A1:C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20" customWidth="1" min="2" max="2"/>
    <col width="17" customWidth="1" min="3" max="3"/>
  </cols>
  <sheetData>
    <row r="1" ht="30" customHeight="1">
      <c r="A1" s="16" t="inlineStr">
        <is>
          <t>rack_id *</t>
        </is>
      </c>
      <c r="B1" s="16" t="inlineStr">
        <is>
          <t>primary_unit_id *</t>
        </is>
      </c>
      <c r="C1" s="19" t="inlineStr">
        <is>
          <t>cdu_id</t>
        </is>
      </c>
    </row>
    <row r="2">
      <c r="A2" t="inlineStr">
        <is>
          <t>MH-DC-001-RACK-A</t>
        </is>
      </c>
      <c r="B2" t="inlineStr">
        <is>
          <t>MH-DC-001-CRAH-11</t>
        </is>
      </c>
    </row>
    <row r="3">
      <c r="A3" t="inlineStr">
        <is>
          <t>MH-DC-001-RACK-B</t>
        </is>
      </c>
      <c r="B3" t="inlineStr">
        <is>
          <t>MH-DC-001-CRAH-11</t>
        </is>
      </c>
    </row>
    <row r="4">
      <c r="A4" t="inlineStr">
        <is>
          <t>MH-DC-001-RACK-C</t>
        </is>
      </c>
      <c r="B4" t="inlineStr">
        <is>
          <t>MH-DC-001-CRAH-11</t>
        </is>
      </c>
    </row>
    <row r="5">
      <c r="A5" t="inlineStr">
        <is>
          <t>MH-DC-001-RACK-D</t>
        </is>
      </c>
      <c r="B5" t="inlineStr">
        <is>
          <t>MH-DC-001-CRAH-15</t>
        </is>
      </c>
    </row>
    <row r="6">
      <c r="A6" t="inlineStr">
        <is>
          <t>MH-DC-001-RACK-E</t>
        </is>
      </c>
      <c r="B6" t="inlineStr">
        <is>
          <t>MH-DC-001-CRAH-15</t>
        </is>
      </c>
    </row>
    <row r="7">
      <c r="A7" t="inlineStr">
        <is>
          <t>MH-DC-001-RACK-U</t>
        </is>
      </c>
      <c r="B7" t="inlineStr">
        <is>
          <t>MH-DC-001-CRAH-15</t>
        </is>
      </c>
    </row>
    <row r="8">
      <c r="A8" t="inlineStr">
        <is>
          <t>MH-DC-001-RACK-F</t>
        </is>
      </c>
      <c r="B8" t="inlineStr">
        <is>
          <t>MH-DC-001-CRAH-12</t>
        </is>
      </c>
    </row>
    <row r="9">
      <c r="A9" t="inlineStr">
        <is>
          <t>MH-DC-001-RACK-G</t>
        </is>
      </c>
      <c r="B9" t="inlineStr">
        <is>
          <t>MH-DC-001-CRAH-12</t>
        </is>
      </c>
    </row>
    <row r="10">
      <c r="A10" t="inlineStr">
        <is>
          <t>MH-DC-001-RACK-H</t>
        </is>
      </c>
      <c r="B10" t="inlineStr">
        <is>
          <t>MH-DC-001-CRAH-12</t>
        </is>
      </c>
    </row>
    <row r="11">
      <c r="A11" t="inlineStr">
        <is>
          <t>MH-DC-001-RACK-I</t>
        </is>
      </c>
      <c r="B11" t="inlineStr">
        <is>
          <t>MH-DC-001-CRAH-16</t>
        </is>
      </c>
    </row>
    <row r="12">
      <c r="A12" t="inlineStr">
        <is>
          <t>MH-DC-001-RACK-J</t>
        </is>
      </c>
      <c r="B12" t="inlineStr">
        <is>
          <t>MH-DC-001-CRAH-16</t>
        </is>
      </c>
    </row>
    <row r="13">
      <c r="A13" t="inlineStr">
        <is>
          <t>MH-DC-001-RACK-K</t>
        </is>
      </c>
      <c r="B13" t="inlineStr">
        <is>
          <t>MH-DC-001-CRAH-13</t>
        </is>
      </c>
    </row>
    <row r="14">
      <c r="A14" t="inlineStr">
        <is>
          <t>MH-DC-001-RACK-L</t>
        </is>
      </c>
      <c r="B14" t="inlineStr">
        <is>
          <t>MH-DC-001-CRAH-13</t>
        </is>
      </c>
    </row>
    <row r="15">
      <c r="A15" t="inlineStr">
        <is>
          <t>MH-DC-001-RACK-M</t>
        </is>
      </c>
      <c r="B15" t="inlineStr">
        <is>
          <t>MH-DC-001-CRAH-13</t>
        </is>
      </c>
    </row>
    <row r="16">
      <c r="A16" t="inlineStr">
        <is>
          <t>MH-DC-001-RACK-N</t>
        </is>
      </c>
      <c r="B16" t="inlineStr">
        <is>
          <t>MH-DC-001-CRAH-17</t>
        </is>
      </c>
    </row>
    <row r="17">
      <c r="A17" t="inlineStr">
        <is>
          <t>MH-DC-001-RACK-O</t>
        </is>
      </c>
      <c r="B17" t="inlineStr">
        <is>
          <t>MH-DC-001-CRAH-17</t>
        </is>
      </c>
    </row>
    <row r="18">
      <c r="A18" t="inlineStr">
        <is>
          <t>MH-DC-001-RACK-P</t>
        </is>
      </c>
      <c r="B18" t="inlineStr">
        <is>
          <t>MH-DC-001-CRAH-14</t>
        </is>
      </c>
    </row>
    <row r="19">
      <c r="A19" t="inlineStr">
        <is>
          <t>MH-DC-001-RACK-Q</t>
        </is>
      </c>
      <c r="B19" t="inlineStr">
        <is>
          <t>MH-DC-001-CRAH-14</t>
        </is>
      </c>
    </row>
    <row r="20">
      <c r="A20" t="inlineStr">
        <is>
          <t>MH-DC-001-RACK-R</t>
        </is>
      </c>
      <c r="B20" t="inlineStr">
        <is>
          <t>MH-DC-001-CRAH-14</t>
        </is>
      </c>
    </row>
    <row r="21">
      <c r="A21" t="inlineStr">
        <is>
          <t>MH-DC-001-RACK-S</t>
        </is>
      </c>
      <c r="B21" t="inlineStr">
        <is>
          <t>MH-DC-001-CRAH-18</t>
        </is>
      </c>
    </row>
    <row r="22">
      <c r="A22" t="inlineStr">
        <is>
          <t>MH-DC-001-RACK-T</t>
        </is>
      </c>
      <c r="B22" t="inlineStr">
        <is>
          <t>MH-DC-001-CRAH-18</t>
        </is>
      </c>
    </row>
    <row r="23">
      <c r="A23" t="inlineStr">
        <is>
          <t>MH-DC-002-RACK-A</t>
        </is>
      </c>
      <c r="B23" t="inlineStr">
        <is>
          <t>MH-DC-002-CRAH-11</t>
        </is>
      </c>
    </row>
    <row r="24">
      <c r="A24" t="inlineStr">
        <is>
          <t>MH-DC-002-RACK-B</t>
        </is>
      </c>
      <c r="B24" t="inlineStr">
        <is>
          <t>MH-DC-002-CRAH-11</t>
        </is>
      </c>
      <c r="C24" t="inlineStr">
        <is>
          <t>MH-DC-002-CDU-1</t>
        </is>
      </c>
    </row>
    <row r="25">
      <c r="A25" t="inlineStr">
        <is>
          <t>MH-DC-002-RACK-C</t>
        </is>
      </c>
      <c r="B25" t="inlineStr">
        <is>
          <t>MH-DC-002-CRAH-15</t>
        </is>
      </c>
      <c r="C25" t="inlineStr">
        <is>
          <t>MH-DC-002-CDU-1</t>
        </is>
      </c>
    </row>
    <row r="26">
      <c r="A26" t="inlineStr">
        <is>
          <t>MH-DC-002-RACK-K</t>
        </is>
      </c>
      <c r="B26" t="inlineStr">
        <is>
          <t>MH-DC-002-CRAH-15</t>
        </is>
      </c>
    </row>
    <row r="27">
      <c r="A27" t="inlineStr">
        <is>
          <t>MH-DC-002-RACK-D</t>
        </is>
      </c>
      <c r="B27" t="inlineStr">
        <is>
          <t>MH-DC-002-CRAH-12</t>
        </is>
      </c>
    </row>
    <row r="28">
      <c r="A28" t="inlineStr">
        <is>
          <t>MH-DC-002-RACK-E</t>
        </is>
      </c>
      <c r="B28" t="inlineStr">
        <is>
          <t>MH-DC-002-CRAH-16</t>
        </is>
      </c>
    </row>
    <row r="29">
      <c r="A29" t="inlineStr">
        <is>
          <t>MH-DC-002-RACK-F</t>
        </is>
      </c>
      <c r="B29" t="inlineStr">
        <is>
          <t>MH-DC-002-CRAH-13</t>
        </is>
      </c>
    </row>
    <row r="30">
      <c r="A30" t="inlineStr">
        <is>
          <t>MH-DC-002-RACK-G</t>
        </is>
      </c>
      <c r="B30" t="inlineStr">
        <is>
          <t>MH-DC-002-CRAH-13</t>
        </is>
      </c>
    </row>
    <row r="31">
      <c r="A31" t="inlineStr">
        <is>
          <t>MH-DC-002-RACK-H</t>
        </is>
      </c>
      <c r="B31" t="inlineStr">
        <is>
          <t>MH-DC-002-CRAH-17</t>
        </is>
      </c>
      <c r="C31" t="inlineStr">
        <is>
          <t>MH-DC-002-CDU-1</t>
        </is>
      </c>
    </row>
    <row r="32">
      <c r="A32" t="inlineStr">
        <is>
          <t>MH-DC-002-RACK-I</t>
        </is>
      </c>
      <c r="B32" t="inlineStr">
        <is>
          <t>MH-DC-002-CRAH-14</t>
        </is>
      </c>
    </row>
    <row r="33">
      <c r="A33" t="inlineStr">
        <is>
          <t>MH-DC-002-RACK-J</t>
        </is>
      </c>
      <c r="B33" t="inlineStr">
        <is>
          <t>MH-DC-002-CRAH-18</t>
        </is>
      </c>
    </row>
  </sheetData>
  <autoFilter ref="A1:C33"/>
  <pageMargins left="0.75" right="0.75" top="1" bottom="1" header="0.5" footer="0.5"/>
  <legacyDrawing xmlns:r="http://schemas.openxmlformats.org/officeDocument/2006/relationships" r:id="anysvml"/>
</worksheet>
</file>

<file path=xl/worksheets/sheet24.xml><?xml version="1.0" encoding="utf-8"?>
<worksheet xmlns="http://schemas.openxmlformats.org/spreadsheetml/2006/main">
  <sheetPr>
    <tabColor rgb="002E6BD9"/>
    <outlinePr summaryBelow="1" summaryRight="1"/>
    <pageSetUpPr/>
  </sheetPr>
  <dimension ref="A1:I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2" customWidth="1" min="2" max="2"/>
    <col width="12" customWidth="1" min="3" max="3"/>
    <col width="10" customWidth="1" min="4" max="4"/>
    <col width="14" customWidth="1" min="5" max="5"/>
    <col width="11" customWidth="1" min="6" max="6"/>
    <col width="14" customWidth="1" min="7" max="7"/>
    <col width="12" customWidth="1" min="8" max="8"/>
    <col width="22" customWidth="1" min="9" max="9"/>
  </cols>
  <sheetData>
    <row r="1" ht="30" customHeight="1">
      <c r="A1" s="16" t="inlineStr">
        <is>
          <t>cluster_id *</t>
        </is>
      </c>
      <c r="B1" s="16" t="inlineStr">
        <is>
          <t>site_id *</t>
        </is>
      </c>
      <c r="C1" s="16" t="inlineStr">
        <is>
          <t>room_id *</t>
        </is>
      </c>
      <c r="D1" s="16" t="inlineStr">
        <is>
          <t>name *</t>
        </is>
      </c>
      <c r="E1" s="16" t="inlineStr">
        <is>
          <t>scheduler *</t>
        </is>
      </c>
      <c r="F1" s="16" t="inlineStr">
        <is>
          <t>fabric *</t>
        </is>
      </c>
      <c r="G1" s="16" t="inlineStr">
        <is>
          <t>gpu_model *</t>
        </is>
      </c>
      <c r="H1" s="16" t="inlineStr">
        <is>
          <t>cooling *</t>
        </is>
      </c>
      <c r="I1" s="20" t="inlineStr">
        <is>
          <t>node_count (calc)</t>
        </is>
      </c>
    </row>
  </sheetData>
  <autoFilter ref="A1:I2"/>
  <dataValidations count="3">
    <dataValidation sqref="E2:E2000" showDropDown="0" showInputMessage="0" showErrorMessage="1" allowBlank="1" errorTitle="Not an allowed value" error="Pick a value from the list (Lookups → scheduler)." type="list">
      <formula1>=L_scheduler</formula1>
    </dataValidation>
    <dataValidation sqref="G2:G2000" showDropDown="0" showInputMessage="0" showErrorMessage="1" allowBlank="1" errorTitle="Not an allowed value" error="Pick a value from the list (Lookups → gpu_model)." type="list">
      <formula1>=L_gpu_model</formula1>
    </dataValidation>
    <dataValidation sqref="H2:H2000" showDropDown="0" showInputMessage="0" showErrorMessage="1" allowBlank="1" errorTitle="Not an allowed value" error="Pick a value from the list (Lookups → air_liquid)." type="list">
      <formula1>=L_air_liquid</formula1>
    </dataValidation>
  </dataValidations>
  <pageMargins left="0.75" right="0.75" top="1" bottom="1" header="0.5" footer="0.5"/>
  <legacyDrawing xmlns:r="http://schemas.openxmlformats.org/officeDocument/2006/relationships" r:id="anysvml"/>
</worksheet>
</file>

<file path=xl/worksheets/sheet25.xml><?xml version="1.0" encoding="utf-8"?>
<worksheet xmlns="http://schemas.openxmlformats.org/spreadsheetml/2006/main">
  <sheetPr>
    <tabColor rgb="002E6BD9"/>
    <outlinePr summaryBelow="1" summaryRight="1"/>
    <pageSetUpPr/>
  </sheetPr>
  <dimension ref="A1:I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5" customWidth="1" min="2" max="2"/>
    <col width="14" customWidth="1" min="3" max="3"/>
    <col width="15" customWidth="1" min="4" max="4"/>
    <col width="14" customWidth="1" min="5" max="5"/>
    <col width="17" customWidth="1" min="6" max="6"/>
    <col width="12" customWidth="1" min="7" max="7"/>
    <col width="11" customWidth="1" min="8" max="8"/>
    <col width="13" customWidth="1" min="9" max="9"/>
  </cols>
  <sheetData>
    <row r="1" ht="30" customHeight="1">
      <c r="A1" s="16" t="inlineStr">
        <is>
          <t>device_id *</t>
        </is>
      </c>
      <c r="B1" s="16" t="inlineStr">
        <is>
          <t>cluster_id *</t>
        </is>
      </c>
      <c r="C1" s="16" t="inlineStr">
        <is>
          <t>gpu_model *</t>
        </is>
      </c>
      <c r="D1" s="16" t="inlineStr">
        <is>
          <t>gpu_vendor *</t>
        </is>
      </c>
      <c r="E1" s="16" t="inlineStr">
        <is>
          <t>gpu_count *</t>
        </is>
      </c>
      <c r="F1" s="16" t="inlineStr">
        <is>
          <t>server_model *</t>
        </is>
      </c>
      <c r="G1" s="16" t="inlineStr">
        <is>
          <t>cooling *</t>
        </is>
      </c>
      <c r="H1" s="17" t="inlineStr">
        <is>
          <t>driver</t>
        </is>
      </c>
      <c r="I1" s="17" t="inlineStr">
        <is>
          <t>firmware</t>
        </is>
      </c>
    </row>
  </sheetData>
  <autoFilter ref="A1:I2"/>
  <dataValidations count="3">
    <dataValidation sqref="C2:C2000" showDropDown="0" showInputMessage="0" showErrorMessage="1" allowBlank="1" errorTitle="Not an allowed value" error="Pick a value from the list (Lookups → gpu_model)." type="list">
      <formula1>=L_gpu_model</formula1>
    </dataValidation>
    <dataValidation sqref="D2:D2000" showDropDown="0" showInputMessage="0" showErrorMessage="1" allowBlank="1" errorTitle="Not an allowed value" error="Pick a value from the list (Lookups → gpu_vendor)." type="list">
      <formula1>=L_gpu_vendor</formula1>
    </dataValidation>
    <dataValidation sqref="G2:G2000" showDropDown="0" showInputMessage="0" showErrorMessage="1" allowBlank="1" errorTitle="Not an allowed value" error="Pick a value from the list (Lookups → air_liquid)." type="list">
      <formula1>=L_air_liquid</formula1>
    </dataValidation>
  </dataValidations>
  <pageMargins left="0.75" right="0.75" top="1" bottom="1" header="0.5" footer="0.5"/>
  <legacyDrawing xmlns:r="http://schemas.openxmlformats.org/officeDocument/2006/relationships" r:id="anysvml"/>
</worksheet>
</file>

<file path=xl/worksheets/sheet26.xml><?xml version="1.0" encoding="utf-8"?>
<worksheet xmlns="http://schemas.openxmlformats.org/spreadsheetml/2006/main">
  <sheetPr>
    <tabColor rgb="002E6BD9"/>
    <outlinePr summaryBelow="1" summaryRight="1"/>
    <pageSetUpPr/>
  </sheetPr>
  <dimension ref="A1:I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24" customWidth="1" min="2" max="2"/>
    <col width="13" customWidth="1" min="3" max="3"/>
    <col width="11" customWidth="1" min="4" max="4"/>
    <col width="16" customWidth="1" min="5" max="5"/>
    <col width="22" customWidth="1" min="6" max="6"/>
    <col width="12" customWidth="1" min="7" max="7"/>
    <col width="20" customWidth="1" min="8" max="8"/>
    <col width="27" customWidth="1" min="9" max="9"/>
  </cols>
  <sheetData>
    <row r="1" ht="30" customHeight="1">
      <c r="A1" s="16" t="inlineStr">
        <is>
          <t>customer_id *</t>
        </is>
      </c>
      <c r="B1" s="16" t="inlineStr">
        <is>
          <t>name *</t>
        </is>
      </c>
      <c r="C1" s="16" t="inlineStr">
        <is>
          <t>segment *</t>
        </is>
      </c>
      <c r="D1" s="16" t="inlineStr">
        <is>
          <t>city *</t>
        </is>
      </c>
      <c r="E1" s="16" t="inlineStr">
        <is>
          <t>state *</t>
        </is>
      </c>
      <c r="F1" s="16" t="inlineStr">
        <is>
          <t>plan *</t>
        </is>
      </c>
      <c r="G1" s="16" t="inlineStr">
        <is>
          <t>premium *</t>
        </is>
      </c>
      <c r="H1" s="17" t="inlineStr">
        <is>
          <t>account_manager</t>
        </is>
      </c>
      <c r="I1" s="20" t="inlineStr">
        <is>
          <t>monthly_revenue (calc)</t>
        </is>
      </c>
    </row>
    <row r="2">
      <c r="A2" t="inlineStr">
        <is>
          <t>CUST-1202</t>
        </is>
      </c>
      <c r="B2" t="inlineStr">
        <is>
          <t>Hyperscale Cloud East</t>
        </is>
      </c>
      <c r="C2" t="inlineStr">
        <is>
          <t>Hyperscaler</t>
        </is>
      </c>
      <c r="D2" t="inlineStr">
        <is>
          <t>Mumbai</t>
        </is>
      </c>
      <c r="E2" t="inlineStr">
        <is>
          <t>Maharashtra</t>
        </is>
      </c>
      <c r="F2" t="inlineStr">
        <is>
          <t>Private cage · 2N</t>
        </is>
      </c>
      <c r="G2" t="inlineStr">
        <is>
          <t>Y</t>
        </is>
      </c>
      <c r="H2" t="inlineStr">
        <is>
          <t>Neha Kapoor</t>
        </is>
      </c>
      <c r="I2" s="22">
        <f>SUMIF('Services'!$B$2:$B$2000,A2,'Services'!$M$2:$M$2000)</f>
        <v/>
      </c>
    </row>
    <row r="3">
      <c r="A3" t="inlineStr">
        <is>
          <t>CUST-6478</t>
        </is>
      </c>
      <c r="B3" t="inlineStr">
        <is>
          <t>Payments Gateway</t>
        </is>
      </c>
      <c r="C3" t="inlineStr">
        <is>
          <t>BFSI</t>
        </is>
      </c>
      <c r="D3" t="inlineStr">
        <is>
          <t>Mumbai</t>
        </is>
      </c>
      <c r="E3" t="inlineStr">
        <is>
          <t>Maharashtra</t>
        </is>
      </c>
      <c r="F3" t="inlineStr">
        <is>
          <t>Cabinets · 8 kW</t>
        </is>
      </c>
      <c r="G3" t="inlineStr">
        <is>
          <t>Y</t>
        </is>
      </c>
      <c r="H3" t="inlineStr">
        <is>
          <t>Pooja Verma</t>
        </is>
      </c>
      <c r="I3" s="22">
        <f>SUMIF('Services'!$B$2:$B$2000,A3,'Services'!$M$2:$M$2000)</f>
        <v/>
      </c>
    </row>
    <row r="4">
      <c r="A4" t="inlineStr">
        <is>
          <t>CUST-4716</t>
        </is>
      </c>
      <c r="B4" t="inlineStr">
        <is>
          <t>Telecom Provider</t>
        </is>
      </c>
      <c r="C4" t="inlineStr">
        <is>
          <t>Carrier</t>
        </is>
      </c>
      <c r="D4" t="inlineStr">
        <is>
          <t>Chennai</t>
        </is>
      </c>
      <c r="E4" t="inlineStr">
        <is>
          <t>Tamil Nadu</t>
        </is>
      </c>
      <c r="F4" t="inlineStr">
        <is>
          <t>MMR cabinets</t>
        </is>
      </c>
      <c r="G4" t="inlineStr">
        <is>
          <t>Y</t>
        </is>
      </c>
      <c r="H4" t="inlineStr">
        <is>
          <t>Rohan Joshi</t>
        </is>
      </c>
      <c r="I4" s="22">
        <f>SUMIF('Services'!$B$2:$B$2000,A4,'Services'!$M$2:$M$2000)</f>
        <v/>
      </c>
    </row>
    <row r="5">
      <c r="A5" t="inlineStr">
        <is>
          <t>CUST-2954</t>
        </is>
      </c>
      <c r="B5" t="inlineStr">
        <is>
          <t>Cloud Exchange</t>
        </is>
      </c>
      <c r="C5" t="inlineStr">
        <is>
          <t>Carrier</t>
        </is>
      </c>
      <c r="D5" t="inlineStr">
        <is>
          <t>Bengaluru</t>
        </is>
      </c>
      <c r="E5" t="inlineStr">
        <is>
          <t>Karnataka</t>
        </is>
      </c>
      <c r="F5" t="inlineStr">
        <is>
          <t>MMR cabinets</t>
        </is>
      </c>
      <c r="G5" t="inlineStr">
        <is>
          <t>Y</t>
        </is>
      </c>
      <c r="H5" t="inlineStr">
        <is>
          <t>Karthik Raman</t>
        </is>
      </c>
      <c r="I5" s="22">
        <f>SUMIF('Services'!$B$2:$B$2000,A5,'Services'!$M$2:$M$2000)</f>
        <v/>
      </c>
    </row>
    <row r="6">
      <c r="A6" t="inlineStr">
        <is>
          <t>CUST-9111</t>
        </is>
      </c>
      <c r="B6" t="inlineStr">
        <is>
          <t>Gaming Studio</t>
        </is>
      </c>
      <c r="C6" t="inlineStr">
        <is>
          <t>Media</t>
        </is>
      </c>
      <c r="D6" t="inlineStr">
        <is>
          <t>Hyderabad</t>
        </is>
      </c>
      <c r="E6" t="inlineStr">
        <is>
          <t>Telangana</t>
        </is>
      </c>
      <c r="F6" t="inlineStr">
        <is>
          <t>Cabinets · 8 kW</t>
        </is>
      </c>
      <c r="G6" t="inlineStr">
        <is>
          <t>N</t>
        </is>
      </c>
      <c r="H6" t="inlineStr">
        <is>
          <t>Rohan Joshi</t>
        </is>
      </c>
      <c r="I6" s="22">
        <f>SUMIF('Services'!$B$2:$B$2000,A6,'Services'!$M$2:$M$2000)</f>
        <v/>
      </c>
    </row>
    <row r="7">
      <c r="A7" t="inlineStr">
        <is>
          <t>CUST-8230</t>
        </is>
      </c>
      <c r="B7" t="inlineStr">
        <is>
          <t>E-commerce Marketplace</t>
        </is>
      </c>
      <c r="C7" t="inlineStr">
        <is>
          <t>Enterprise</t>
        </is>
      </c>
      <c r="D7" t="inlineStr">
        <is>
          <t>Bengaluru</t>
        </is>
      </c>
      <c r="E7" t="inlineStr">
        <is>
          <t>Karnataka</t>
        </is>
      </c>
      <c r="F7" t="inlineStr">
        <is>
          <t>Suite · 20 kW</t>
        </is>
      </c>
      <c r="G7" t="inlineStr">
        <is>
          <t>Y</t>
        </is>
      </c>
      <c r="H7" t="inlineStr">
        <is>
          <t>Ananya Sen</t>
        </is>
      </c>
      <c r="I7" s="22">
        <f>SUMIF('Services'!$B$2:$B$2000,A7,'Services'!$M$2:$M$2000)</f>
        <v/>
      </c>
    </row>
    <row r="8">
      <c r="A8" t="inlineStr">
        <is>
          <t>CUST-7349</t>
        </is>
      </c>
      <c r="B8" t="inlineStr">
        <is>
          <t>Logistics Partners</t>
        </is>
      </c>
      <c r="C8" t="inlineStr">
        <is>
          <t>Enterprise</t>
        </is>
      </c>
      <c r="D8" t="inlineStr">
        <is>
          <t>Hyderabad</t>
        </is>
      </c>
      <c r="E8" t="inlineStr">
        <is>
          <t>Telangana</t>
        </is>
      </c>
      <c r="F8" t="inlineStr">
        <is>
          <t>Cabinets · 6 kW</t>
        </is>
      </c>
      <c r="G8" t="inlineStr">
        <is>
          <t>N</t>
        </is>
      </c>
      <c r="H8" t="inlineStr">
        <is>
          <t>Karthik Raman</t>
        </is>
      </c>
      <c r="I8" s="22">
        <f>SUMIF('Services'!$B$2:$B$2000,A8,'Services'!$M$2:$M$2000)</f>
        <v/>
      </c>
    </row>
    <row r="9">
      <c r="A9" t="inlineStr">
        <is>
          <t>CUST-6468</t>
        </is>
      </c>
      <c r="B9" t="inlineStr">
        <is>
          <t>Pharma Manufacturing</t>
        </is>
      </c>
      <c r="C9" t="inlineStr">
        <is>
          <t>Enterprise</t>
        </is>
      </c>
      <c r="D9" t="inlineStr">
        <is>
          <t>Ahmedabad</t>
        </is>
      </c>
      <c r="E9" t="inlineStr">
        <is>
          <t>Gujarat</t>
        </is>
      </c>
      <c r="F9" t="inlineStr">
        <is>
          <t>Cabinets · 4 kW</t>
        </is>
      </c>
      <c r="G9" t="inlineStr">
        <is>
          <t>N</t>
        </is>
      </c>
      <c r="H9" t="inlineStr">
        <is>
          <t>Pooja Verma</t>
        </is>
      </c>
      <c r="I9" s="22">
        <f>SUMIF('Services'!$B$2:$B$2000,A9,'Services'!$M$2:$M$2000)</f>
        <v/>
      </c>
    </row>
    <row r="10">
      <c r="A10" t="inlineStr">
        <is>
          <t>CUST-2063</t>
        </is>
      </c>
      <c r="B10" t="inlineStr">
        <is>
          <t>Smart City Mission</t>
        </is>
      </c>
      <c r="C10" t="inlineStr">
        <is>
          <t>Government</t>
        </is>
      </c>
      <c r="D10" t="inlineStr">
        <is>
          <t>Indore</t>
        </is>
      </c>
      <c r="E10" t="inlineStr">
        <is>
          <t>Madhya Pradesh</t>
        </is>
      </c>
      <c r="F10" t="inlineStr">
        <is>
          <t>Cabinets · 6 kW</t>
        </is>
      </c>
      <c r="G10" t="inlineStr">
        <is>
          <t>N</t>
        </is>
      </c>
      <c r="H10" t="inlineStr">
        <is>
          <t>Pooja Verma</t>
        </is>
      </c>
      <c r="I10" s="22">
        <f>SUMIF('Services'!$B$2:$B$2000,A10,'Services'!$M$2:$M$2000)</f>
        <v/>
      </c>
    </row>
    <row r="11">
      <c r="A11" t="inlineStr">
        <is>
          <t>CUST-9982</t>
        </is>
      </c>
      <c r="B11" t="inlineStr">
        <is>
          <t>Health Network</t>
        </is>
      </c>
      <c r="C11" t="inlineStr">
        <is>
          <t>Healthcare</t>
        </is>
      </c>
      <c r="D11" t="inlineStr">
        <is>
          <t>New Delhi</t>
        </is>
      </c>
      <c r="E11" t="inlineStr">
        <is>
          <t>Delhi NCR</t>
        </is>
      </c>
      <c r="F11" t="inlineStr">
        <is>
          <t>Cabinets · 8 kW</t>
        </is>
      </c>
      <c r="G11" t="inlineStr">
        <is>
          <t>Y</t>
        </is>
      </c>
      <c r="H11" t="inlineStr">
        <is>
          <t>Neha Kapoor</t>
        </is>
      </c>
      <c r="I11" s="22">
        <f>SUMIF('Services'!$B$2:$B$2000,A11,'Services'!$M$2:$M$2000)</f>
        <v/>
      </c>
    </row>
    <row r="12">
      <c r="A12" t="inlineStr">
        <is>
          <t>CUST-8220</t>
        </is>
      </c>
      <c r="B12" t="inlineStr">
        <is>
          <t>Research Institute</t>
        </is>
      </c>
      <c r="C12" t="inlineStr">
        <is>
          <t>Government</t>
        </is>
      </c>
      <c r="D12" t="inlineStr">
        <is>
          <t>Bengaluru</t>
        </is>
      </c>
      <c r="E12" t="inlineStr">
        <is>
          <t>Karnataka</t>
        </is>
      </c>
      <c r="F12" t="inlineStr">
        <is>
          <t>HPC cabinets · 12 kW</t>
        </is>
      </c>
      <c r="G12" t="inlineStr">
        <is>
          <t>N</t>
        </is>
      </c>
      <c r="H12" t="inlineStr">
        <is>
          <t>Ananya Sen</t>
        </is>
      </c>
      <c r="I12" s="22">
        <f>SUMIF('Services'!$B$2:$B$2000,A12,'Services'!$M$2:$M$2000)</f>
        <v/>
      </c>
    </row>
  </sheetData>
  <autoFilter ref="A1:I12"/>
  <dataValidations count="1">
    <dataValidation sqref="G2:G2000" showDropDown="0" showInputMessage="0" showErrorMessage="1" allowBlank="1" errorTitle="Not an allowed value" error="Pick a value from the list (Lookups → yes_no)." type="list">
      <formula1>=L_yes_no</formula1>
    </dataValidation>
  </dataValidations>
  <pageMargins left="0.75" right="0.75" top="1" bottom="1" header="0.5" footer="0.5"/>
  <legacyDrawing xmlns:r="http://schemas.openxmlformats.org/officeDocument/2006/relationships" r:id="anysvml"/>
</worksheet>
</file>

<file path=xl/worksheets/sheet27.xml><?xml version="1.0" encoding="utf-8"?>
<worksheet xmlns="http://schemas.openxmlformats.org/spreadsheetml/2006/main">
  <sheetPr>
    <tabColor rgb="002E6BD9"/>
    <outlinePr summaryBelow="1" summaryRight="1"/>
    <pageSetUpPr/>
  </sheetPr>
  <dimension ref="A1:O6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6" customWidth="1" min="2" max="2"/>
    <col width="15" customWidth="1" min="3" max="3"/>
    <col width="12" customWidth="1" min="4" max="4"/>
    <col width="21" customWidth="1" min="5" max="5"/>
    <col width="24" customWidth="1" min="6" max="6"/>
    <col width="13" customWidth="1" min="7" max="7"/>
    <col width="17" customWidth="1" min="8" max="8"/>
    <col width="10" customWidth="1" min="9" max="9"/>
    <col width="10" customWidth="1" min="10" max="10"/>
    <col width="19" customWidth="1" min="11" max="11"/>
    <col width="19" customWidth="1" min="12" max="12"/>
    <col width="20" customWidth="1" min="13" max="13"/>
    <col width="13" customWidth="1" min="14" max="14"/>
    <col width="15" customWidth="1" min="15" max="15"/>
  </cols>
  <sheetData>
    <row r="1" ht="30" customHeight="1">
      <c r="A1" s="16" t="inlineStr">
        <is>
          <t>service_id *</t>
        </is>
      </c>
      <c r="B1" s="16" t="inlineStr">
        <is>
          <t>customer_id *</t>
        </is>
      </c>
      <c r="C1" s="16" t="inlineStr">
        <is>
          <t>type *</t>
        </is>
      </c>
      <c r="D1" s="16" t="inlineStr">
        <is>
          <t>site_id *</t>
        </is>
      </c>
      <c r="E1" s="19" t="inlineStr">
        <is>
          <t>device_id</t>
        </is>
      </c>
      <c r="F1" s="17" t="inlineStr">
        <is>
          <t>if_name</t>
        </is>
      </c>
      <c r="G1" s="19" t="inlineStr">
        <is>
          <t>rack_ids</t>
        </is>
      </c>
      <c r="H1" s="19" t="inlineStr">
        <is>
          <t>gpu_node_ids</t>
        </is>
      </c>
      <c r="I1" s="16" t="inlineStr">
        <is>
          <t>qty *</t>
        </is>
      </c>
      <c r="J1" s="16" t="inlineStr">
        <is>
          <t>unit *</t>
        </is>
      </c>
      <c r="K1" s="17" t="inlineStr">
        <is>
          <t>bandwidth_mbps</t>
        </is>
      </c>
      <c r="L1" s="16" t="inlineStr">
        <is>
          <t>sla_target_pct *</t>
        </is>
      </c>
      <c r="M1" s="23" t="inlineStr">
        <is>
          <t>monthly_revenue *</t>
        </is>
      </c>
      <c r="N1" s="16" t="inlineStr">
        <is>
          <t>critical *</t>
        </is>
      </c>
      <c r="O1" s="17" t="inlineStr">
        <is>
          <t>start_date</t>
        </is>
      </c>
    </row>
    <row r="2">
      <c r="A2" t="inlineStr">
        <is>
          <t>SVC-CB-1100</t>
        </is>
      </c>
      <c r="B2" t="inlineStr">
        <is>
          <t>CUST-7349</t>
        </is>
      </c>
      <c r="C2" t="inlineStr">
        <is>
          <t>Cabinet lease</t>
        </is>
      </c>
      <c r="D2" t="inlineStr">
        <is>
          <t>MH-DC-001</t>
        </is>
      </c>
      <c r="E2" t="inlineStr">
        <is>
          <t>MH-DC-001-TN-003</t>
        </is>
      </c>
      <c r="F2" t="inlineStr">
        <is>
          <t>RACK-C</t>
        </is>
      </c>
      <c r="I2" t="n">
        <v>1</v>
      </c>
      <c r="J2" t="inlineStr">
        <is>
          <t>cabinets</t>
        </is>
      </c>
      <c r="K2" t="n">
        <v>10000</v>
      </c>
      <c r="L2" t="n">
        <v>99.98999999999999</v>
      </c>
      <c r="M2" s="24" t="n">
        <v>120000</v>
      </c>
      <c r="N2" t="inlineStr">
        <is>
          <t>N</t>
        </is>
      </c>
      <c r="O2" s="18" t="n"/>
    </row>
    <row r="3">
      <c r="A3" t="inlineStr">
        <is>
          <t>SVC-PW-1101</t>
        </is>
      </c>
      <c r="B3" t="inlineStr">
        <is>
          <t>CUST-7349</t>
        </is>
      </c>
      <c r="C3" t="inlineStr">
        <is>
          <t>Power circuit</t>
        </is>
      </c>
      <c r="D3" t="inlineStr">
        <is>
          <t>MH-DC-001</t>
        </is>
      </c>
      <c r="E3" t="inlineStr">
        <is>
          <t>MH-DC-001-TN-003</t>
        </is>
      </c>
      <c r="F3" t="inlineStr">
        <is>
          <t>RACK-C · PDU A+B</t>
        </is>
      </c>
      <c r="I3" t="n">
        <v>19</v>
      </c>
      <c r="J3" t="inlineStr">
        <is>
          <t>kW</t>
        </is>
      </c>
      <c r="K3" t="n">
        <v>10000</v>
      </c>
      <c r="L3" t="n">
        <v>99.98999999999999</v>
      </c>
      <c r="M3" s="24" t="n">
        <v>171000</v>
      </c>
      <c r="N3" t="inlineStr">
        <is>
          <t>N</t>
        </is>
      </c>
      <c r="O3" s="18" t="n"/>
    </row>
    <row r="4">
      <c r="A4" t="inlineStr">
        <is>
          <t>SVC-XC-1102</t>
        </is>
      </c>
      <c r="B4" t="inlineStr">
        <is>
          <t>CUST-7349</t>
        </is>
      </c>
      <c r="C4" t="inlineStr">
        <is>
          <t>Cross-connect</t>
        </is>
      </c>
      <c r="D4" t="inlineStr">
        <is>
          <t>MH-DC-001</t>
        </is>
      </c>
      <c r="E4" t="inlineStr">
        <is>
          <t>MH-DC-001-MMR-SW-01</t>
        </is>
      </c>
      <c r="F4" t="inlineStr">
        <is>
          <t>MMR panel 1 · P34</t>
        </is>
      </c>
      <c r="I4" t="n">
        <v>100000</v>
      </c>
      <c r="J4" t="inlineStr">
        <is>
          <t>Mbps</t>
        </is>
      </c>
      <c r="K4" t="n">
        <v>100000</v>
      </c>
      <c r="L4" t="n">
        <v>99.98999999999999</v>
      </c>
      <c r="M4" s="24" t="n">
        <v>400000</v>
      </c>
      <c r="N4" t="inlineStr">
        <is>
          <t>N</t>
        </is>
      </c>
      <c r="O4" s="18" t="n"/>
    </row>
    <row r="5">
      <c r="A5" t="inlineStr">
        <is>
          <t>SVC-XC-1103</t>
        </is>
      </c>
      <c r="B5" t="inlineStr">
        <is>
          <t>CUST-7349</t>
        </is>
      </c>
      <c r="C5" t="inlineStr">
        <is>
          <t>Cross-connect</t>
        </is>
      </c>
      <c r="D5" t="inlineStr">
        <is>
          <t>MH-DC-001</t>
        </is>
      </c>
      <c r="E5" t="inlineStr">
        <is>
          <t>MH-DC-001-MMR-SW-02</t>
        </is>
      </c>
      <c r="F5" t="inlineStr">
        <is>
          <t>MMR panel 8 · P26</t>
        </is>
      </c>
      <c r="I5" t="n">
        <v>1000</v>
      </c>
      <c r="J5" t="inlineStr">
        <is>
          <t>Mbps</t>
        </is>
      </c>
      <c r="K5" t="n">
        <v>1000</v>
      </c>
      <c r="L5" t="n">
        <v>99.98999999999999</v>
      </c>
      <c r="M5" s="24" t="n">
        <v>4000</v>
      </c>
      <c r="N5" t="inlineStr">
        <is>
          <t>N</t>
        </is>
      </c>
      <c r="O5" s="18" t="n"/>
    </row>
    <row r="6">
      <c r="A6" t="inlineStr">
        <is>
          <t>SVC-CB-1104</t>
        </is>
      </c>
      <c r="B6" t="inlineStr">
        <is>
          <t>CUST-2954</t>
        </is>
      </c>
      <c r="C6" t="inlineStr">
        <is>
          <t>Cabinet lease</t>
        </is>
      </c>
      <c r="D6" t="inlineStr">
        <is>
          <t>MH-DC-001</t>
        </is>
      </c>
      <c r="E6" t="inlineStr">
        <is>
          <t>MH-DC-001-TN-010</t>
        </is>
      </c>
      <c r="F6" t="inlineStr">
        <is>
          <t>RACK-D, RACK-E</t>
        </is>
      </c>
      <c r="I6" t="n">
        <v>2</v>
      </c>
      <c r="J6" t="inlineStr">
        <is>
          <t>cabinets</t>
        </is>
      </c>
      <c r="K6" t="n">
        <v>10000</v>
      </c>
      <c r="L6" t="n">
        <v>99.999</v>
      </c>
      <c r="M6" s="24" t="n">
        <v>240000</v>
      </c>
      <c r="N6" t="inlineStr">
        <is>
          <t>Y</t>
        </is>
      </c>
      <c r="O6" s="18" t="n"/>
    </row>
    <row r="7">
      <c r="A7" t="inlineStr">
        <is>
          <t>SVC-PW-1105</t>
        </is>
      </c>
      <c r="B7" t="inlineStr">
        <is>
          <t>CUST-2954</t>
        </is>
      </c>
      <c r="C7" t="inlineStr">
        <is>
          <t>Power circuit</t>
        </is>
      </c>
      <c r="D7" t="inlineStr">
        <is>
          <t>MH-DC-001</t>
        </is>
      </c>
      <c r="E7" t="inlineStr">
        <is>
          <t>MH-DC-001-TN-010</t>
        </is>
      </c>
      <c r="F7" t="inlineStr">
        <is>
          <t>RACK-D · PDU A+B</t>
        </is>
      </c>
      <c r="I7" t="n">
        <v>15</v>
      </c>
      <c r="J7" t="inlineStr">
        <is>
          <t>kW</t>
        </is>
      </c>
      <c r="K7" t="n">
        <v>10000</v>
      </c>
      <c r="L7" t="n">
        <v>99.999</v>
      </c>
      <c r="M7" s="24" t="n">
        <v>135000</v>
      </c>
      <c r="N7" t="inlineStr">
        <is>
          <t>Y</t>
        </is>
      </c>
      <c r="O7" s="18" t="n"/>
    </row>
    <row r="8">
      <c r="A8" t="inlineStr">
        <is>
          <t>SVC-PW-1106</t>
        </is>
      </c>
      <c r="B8" t="inlineStr">
        <is>
          <t>CUST-2954</t>
        </is>
      </c>
      <c r="C8" t="inlineStr">
        <is>
          <t>Power circuit</t>
        </is>
      </c>
      <c r="D8" t="inlineStr">
        <is>
          <t>MH-DC-001</t>
        </is>
      </c>
      <c r="E8" t="inlineStr">
        <is>
          <t>MH-DC-001-TN-015</t>
        </is>
      </c>
      <c r="F8" t="inlineStr">
        <is>
          <t>RACK-E · PDU A+B</t>
        </is>
      </c>
      <c r="I8" t="n">
        <v>19</v>
      </c>
      <c r="J8" t="inlineStr">
        <is>
          <t>kW</t>
        </is>
      </c>
      <c r="K8" t="n">
        <v>10000</v>
      </c>
      <c r="L8" t="n">
        <v>99.999</v>
      </c>
      <c r="M8" s="24" t="n">
        <v>171000</v>
      </c>
      <c r="N8" t="inlineStr">
        <is>
          <t>Y</t>
        </is>
      </c>
      <c r="O8" s="18" t="n"/>
    </row>
    <row r="9">
      <c r="A9" t="inlineStr">
        <is>
          <t>SVC-XC-1107</t>
        </is>
      </c>
      <c r="B9" t="inlineStr">
        <is>
          <t>CUST-2954</t>
        </is>
      </c>
      <c r="C9" t="inlineStr">
        <is>
          <t>Cross-connect</t>
        </is>
      </c>
      <c r="D9" t="inlineStr">
        <is>
          <t>MH-DC-001</t>
        </is>
      </c>
      <c r="E9" t="inlineStr">
        <is>
          <t>MH-DC-001-MMR-SW-06</t>
        </is>
      </c>
      <c r="F9" t="inlineStr">
        <is>
          <t>MMR panel 11 · P20</t>
        </is>
      </c>
      <c r="I9" t="n">
        <v>10000</v>
      </c>
      <c r="J9" t="inlineStr">
        <is>
          <t>Mbps</t>
        </is>
      </c>
      <c r="K9" t="n">
        <v>10000</v>
      </c>
      <c r="L9" t="n">
        <v>99.999</v>
      </c>
      <c r="M9" s="24" t="n">
        <v>40000</v>
      </c>
      <c r="N9" t="inlineStr">
        <is>
          <t>Y</t>
        </is>
      </c>
      <c r="O9" s="18" t="n"/>
    </row>
    <row r="10">
      <c r="A10" t="inlineStr">
        <is>
          <t>SVC-CB-1108</t>
        </is>
      </c>
      <c r="B10" t="inlineStr">
        <is>
          <t>CUST-9111</t>
        </is>
      </c>
      <c r="C10" t="inlineStr">
        <is>
          <t>Cabinet lease</t>
        </is>
      </c>
      <c r="D10" t="inlineStr">
        <is>
          <t>MH-DC-001</t>
        </is>
      </c>
      <c r="E10" t="inlineStr">
        <is>
          <t>MH-DC-001-TN-020</t>
        </is>
      </c>
      <c r="F10" t="inlineStr">
        <is>
          <t>RACK-F, RACK-G</t>
        </is>
      </c>
      <c r="I10" t="n">
        <v>2</v>
      </c>
      <c r="J10" t="inlineStr">
        <is>
          <t>cabinets</t>
        </is>
      </c>
      <c r="K10" t="n">
        <v>10000</v>
      </c>
      <c r="L10" t="n">
        <v>99.98999999999999</v>
      </c>
      <c r="M10" s="24" t="n">
        <v>240000</v>
      </c>
      <c r="N10" t="inlineStr">
        <is>
          <t>N</t>
        </is>
      </c>
      <c r="O10" s="18" t="n"/>
    </row>
    <row r="11">
      <c r="A11" t="inlineStr">
        <is>
          <t>SVC-PW-1109</t>
        </is>
      </c>
      <c r="B11" t="inlineStr">
        <is>
          <t>CUST-9111</t>
        </is>
      </c>
      <c r="C11" t="inlineStr">
        <is>
          <t>Power circuit</t>
        </is>
      </c>
      <c r="D11" t="inlineStr">
        <is>
          <t>MH-DC-001</t>
        </is>
      </c>
      <c r="E11" t="inlineStr">
        <is>
          <t>MH-DC-001-TN-020</t>
        </is>
      </c>
      <c r="F11" t="inlineStr">
        <is>
          <t>RACK-F · PDU A+B</t>
        </is>
      </c>
      <c r="I11" t="n">
        <v>20</v>
      </c>
      <c r="J11" t="inlineStr">
        <is>
          <t>kW</t>
        </is>
      </c>
      <c r="K11" t="n">
        <v>10000</v>
      </c>
      <c r="L11" t="n">
        <v>99.98999999999999</v>
      </c>
      <c r="M11" s="24" t="n">
        <v>180000</v>
      </c>
      <c r="N11" t="inlineStr">
        <is>
          <t>N</t>
        </is>
      </c>
      <c r="O11" s="18" t="n"/>
    </row>
    <row r="12">
      <c r="A12" t="inlineStr">
        <is>
          <t>SVC-PW-1110</t>
        </is>
      </c>
      <c r="B12" t="inlineStr">
        <is>
          <t>CUST-9111</t>
        </is>
      </c>
      <c r="C12" t="inlineStr">
        <is>
          <t>Power circuit</t>
        </is>
      </c>
      <c r="D12" t="inlineStr">
        <is>
          <t>MH-DC-001</t>
        </is>
      </c>
      <c r="E12" t="inlineStr">
        <is>
          <t>MH-DC-001-TN-026</t>
        </is>
      </c>
      <c r="F12" t="inlineStr">
        <is>
          <t>RACK-G · PDU A+B</t>
        </is>
      </c>
      <c r="I12" t="n">
        <v>18</v>
      </c>
      <c r="J12" t="inlineStr">
        <is>
          <t>kW</t>
        </is>
      </c>
      <c r="K12" t="n">
        <v>10000</v>
      </c>
      <c r="L12" t="n">
        <v>99.98999999999999</v>
      </c>
      <c r="M12" s="24" t="n">
        <v>162000</v>
      </c>
      <c r="N12" t="inlineStr">
        <is>
          <t>N</t>
        </is>
      </c>
      <c r="O12" s="18" t="n"/>
    </row>
    <row r="13">
      <c r="A13" t="inlineStr">
        <is>
          <t>SVC-XC-1111</t>
        </is>
      </c>
      <c r="B13" t="inlineStr">
        <is>
          <t>CUST-9111</t>
        </is>
      </c>
      <c r="C13" t="inlineStr">
        <is>
          <t>Cross-connect</t>
        </is>
      </c>
      <c r="D13" t="inlineStr">
        <is>
          <t>MH-DC-001</t>
        </is>
      </c>
      <c r="E13" t="inlineStr">
        <is>
          <t>MH-DC-001-MMR-SW-09</t>
        </is>
      </c>
      <c r="F13" t="inlineStr">
        <is>
          <t>MMR panel 7 · P10</t>
        </is>
      </c>
      <c r="I13" t="n">
        <v>100000</v>
      </c>
      <c r="J13" t="inlineStr">
        <is>
          <t>Mbps</t>
        </is>
      </c>
      <c r="K13" t="n">
        <v>100000</v>
      </c>
      <c r="L13" t="n">
        <v>99.98999999999999</v>
      </c>
      <c r="M13" s="24" t="n">
        <v>400000</v>
      </c>
      <c r="N13" t="inlineStr">
        <is>
          <t>N</t>
        </is>
      </c>
      <c r="O13" s="18" t="n"/>
    </row>
    <row r="14">
      <c r="A14" t="inlineStr">
        <is>
          <t>SVC-XC-1112</t>
        </is>
      </c>
      <c r="B14" t="inlineStr">
        <is>
          <t>CUST-9111</t>
        </is>
      </c>
      <c r="C14" t="inlineStr">
        <is>
          <t>Cross-connect</t>
        </is>
      </c>
      <c r="D14" t="inlineStr">
        <is>
          <t>MH-DC-001</t>
        </is>
      </c>
      <c r="E14" t="inlineStr">
        <is>
          <t>MH-DC-001-MMR-SW-01</t>
        </is>
      </c>
      <c r="F14" t="inlineStr">
        <is>
          <t>MMR panel 7 · P11</t>
        </is>
      </c>
      <c r="I14" t="n">
        <v>10000</v>
      </c>
      <c r="J14" t="inlineStr">
        <is>
          <t>Mbps</t>
        </is>
      </c>
      <c r="K14" t="n">
        <v>10000</v>
      </c>
      <c r="L14" t="n">
        <v>99.98999999999999</v>
      </c>
      <c r="M14" s="24" t="n">
        <v>40000</v>
      </c>
      <c r="N14" t="inlineStr">
        <is>
          <t>N</t>
        </is>
      </c>
      <c r="O14" s="18" t="n"/>
    </row>
    <row r="15">
      <c r="A15" t="inlineStr">
        <is>
          <t>SVC-RH-1113</t>
        </is>
      </c>
      <c r="B15" t="inlineStr">
        <is>
          <t>CUST-9111</t>
        </is>
      </c>
      <c r="C15" t="inlineStr">
        <is>
          <t>Remote hands</t>
        </is>
      </c>
      <c r="D15" t="inlineStr">
        <is>
          <t>MH-DC-001</t>
        </is>
      </c>
      <c r="E15" t="inlineStr">
        <is>
          <t>MH-DC-001-TN-020</t>
        </is>
      </c>
      <c r="F15" t="inlineStr">
        <is>
          <t>monthly allowance</t>
        </is>
      </c>
      <c r="I15" t="n">
        <v>20</v>
      </c>
      <c r="J15" t="inlineStr">
        <is>
          <t>hours</t>
        </is>
      </c>
      <c r="K15" t="n">
        <v>10000</v>
      </c>
      <c r="L15" t="n">
        <v>99.98999999999999</v>
      </c>
      <c r="M15" s="24" t="n">
        <v>30000</v>
      </c>
      <c r="N15" t="inlineStr">
        <is>
          <t>N</t>
        </is>
      </c>
      <c r="O15" s="18" t="n"/>
    </row>
    <row r="16">
      <c r="A16" t="inlineStr">
        <is>
          <t>SVC-CB-1114</t>
        </is>
      </c>
      <c r="B16" t="inlineStr">
        <is>
          <t>CUST-6478</t>
        </is>
      </c>
      <c r="C16" t="inlineStr">
        <is>
          <t>Cabinet lease</t>
        </is>
      </c>
      <c r="D16" t="inlineStr">
        <is>
          <t>MH-DC-001</t>
        </is>
      </c>
      <c r="E16" t="inlineStr">
        <is>
          <t>MH-DC-001-TN-035</t>
        </is>
      </c>
      <c r="F16" t="inlineStr">
        <is>
          <t>RACK-H</t>
        </is>
      </c>
      <c r="I16" t="n">
        <v>1</v>
      </c>
      <c r="J16" t="inlineStr">
        <is>
          <t>cabinets</t>
        </is>
      </c>
      <c r="K16" t="n">
        <v>10000</v>
      </c>
      <c r="L16" t="n">
        <v>99.999</v>
      </c>
      <c r="M16" s="24" t="n">
        <v>120000</v>
      </c>
      <c r="N16" t="inlineStr">
        <is>
          <t>Y</t>
        </is>
      </c>
      <c r="O16" s="18" t="n"/>
    </row>
    <row r="17">
      <c r="A17" t="inlineStr">
        <is>
          <t>SVC-PW-1115</t>
        </is>
      </c>
      <c r="B17" t="inlineStr">
        <is>
          <t>CUST-6478</t>
        </is>
      </c>
      <c r="C17" t="inlineStr">
        <is>
          <t>Power circuit</t>
        </is>
      </c>
      <c r="D17" t="inlineStr">
        <is>
          <t>MH-DC-001</t>
        </is>
      </c>
      <c r="E17" t="inlineStr">
        <is>
          <t>MH-DC-001-TN-035</t>
        </is>
      </c>
      <c r="F17" t="inlineStr">
        <is>
          <t>RACK-H · PDU A+B</t>
        </is>
      </c>
      <c r="I17" t="n">
        <v>11</v>
      </c>
      <c r="J17" t="inlineStr">
        <is>
          <t>kW</t>
        </is>
      </c>
      <c r="K17" t="n">
        <v>10000</v>
      </c>
      <c r="L17" t="n">
        <v>99.999</v>
      </c>
      <c r="M17" s="24" t="n">
        <v>99000</v>
      </c>
      <c r="N17" t="inlineStr">
        <is>
          <t>Y</t>
        </is>
      </c>
      <c r="O17" s="18" t="n"/>
    </row>
    <row r="18">
      <c r="A18" t="inlineStr">
        <is>
          <t>SVC-XC-1116</t>
        </is>
      </c>
      <c r="B18" t="inlineStr">
        <is>
          <t>CUST-6478</t>
        </is>
      </c>
      <c r="C18" t="inlineStr">
        <is>
          <t>Cross-connect</t>
        </is>
      </c>
      <c r="D18" t="inlineStr">
        <is>
          <t>MH-DC-001</t>
        </is>
      </c>
      <c r="E18" t="inlineStr">
        <is>
          <t>MH-DC-001-MMR-SW-04</t>
        </is>
      </c>
      <c r="F18" t="inlineStr">
        <is>
          <t>MMR panel 8 · P46</t>
        </is>
      </c>
      <c r="I18" t="n">
        <v>100000</v>
      </c>
      <c r="J18" t="inlineStr">
        <is>
          <t>Mbps</t>
        </is>
      </c>
      <c r="K18" t="n">
        <v>100000</v>
      </c>
      <c r="L18" t="n">
        <v>99.999</v>
      </c>
      <c r="M18" s="24" t="n">
        <v>400000</v>
      </c>
      <c r="N18" t="inlineStr">
        <is>
          <t>Y</t>
        </is>
      </c>
      <c r="O18" s="18" t="n"/>
    </row>
    <row r="19">
      <c r="A19" t="inlineStr">
        <is>
          <t>SVC-XC-1117</t>
        </is>
      </c>
      <c r="B19" t="inlineStr">
        <is>
          <t>CUST-6478</t>
        </is>
      </c>
      <c r="C19" t="inlineStr">
        <is>
          <t>Cross-connect</t>
        </is>
      </c>
      <c r="D19" t="inlineStr">
        <is>
          <t>MH-DC-001</t>
        </is>
      </c>
      <c r="E19" t="inlineStr">
        <is>
          <t>MH-DC-001-MMR-SW-05</t>
        </is>
      </c>
      <c r="F19" t="inlineStr">
        <is>
          <t>MMR panel 4 · P37</t>
        </is>
      </c>
      <c r="I19" t="n">
        <v>1000</v>
      </c>
      <c r="J19" t="inlineStr">
        <is>
          <t>Mbps</t>
        </is>
      </c>
      <c r="K19" t="n">
        <v>1000</v>
      </c>
      <c r="L19" t="n">
        <v>99.999</v>
      </c>
      <c r="M19" s="24" t="n">
        <v>4000</v>
      </c>
      <c r="N19" t="inlineStr">
        <is>
          <t>Y</t>
        </is>
      </c>
      <c r="O19" s="18" t="n"/>
    </row>
    <row r="20">
      <c r="A20" t="inlineStr">
        <is>
          <t>SVC-RH-1118</t>
        </is>
      </c>
      <c r="B20" t="inlineStr">
        <is>
          <t>CUST-6478</t>
        </is>
      </c>
      <c r="C20" t="inlineStr">
        <is>
          <t>Remote hands</t>
        </is>
      </c>
      <c r="D20" t="inlineStr">
        <is>
          <t>MH-DC-001</t>
        </is>
      </c>
      <c r="E20" t="inlineStr">
        <is>
          <t>MH-DC-001-TN-035</t>
        </is>
      </c>
      <c r="F20" t="inlineStr">
        <is>
          <t>monthly allowance</t>
        </is>
      </c>
      <c r="I20" t="n">
        <v>40</v>
      </c>
      <c r="J20" t="inlineStr">
        <is>
          <t>hours</t>
        </is>
      </c>
      <c r="K20" t="n">
        <v>10000</v>
      </c>
      <c r="L20" t="n">
        <v>99.999</v>
      </c>
      <c r="M20" s="24" t="n">
        <v>60000</v>
      </c>
      <c r="N20" t="inlineStr">
        <is>
          <t>Y</t>
        </is>
      </c>
      <c r="O20" s="18" t="n"/>
    </row>
    <row r="21">
      <c r="A21" t="inlineStr">
        <is>
          <t>SVC-CB-1119</t>
        </is>
      </c>
      <c r="B21" t="inlineStr">
        <is>
          <t>CUST-2063</t>
        </is>
      </c>
      <c r="C21" t="inlineStr">
        <is>
          <t>Cabinet lease</t>
        </is>
      </c>
      <c r="D21" t="inlineStr">
        <is>
          <t>MH-DC-001</t>
        </is>
      </c>
      <c r="E21" t="inlineStr">
        <is>
          <t>MH-DC-001-TN-040</t>
        </is>
      </c>
      <c r="F21" t="inlineStr">
        <is>
          <t>RACK-I</t>
        </is>
      </c>
      <c r="I21" t="n">
        <v>1</v>
      </c>
      <c r="J21" t="inlineStr">
        <is>
          <t>cabinets</t>
        </is>
      </c>
      <c r="K21" t="n">
        <v>10000</v>
      </c>
      <c r="L21" t="n">
        <v>99.98999999999999</v>
      </c>
      <c r="M21" s="24" t="n">
        <v>120000</v>
      </c>
      <c r="N21" t="inlineStr">
        <is>
          <t>N</t>
        </is>
      </c>
      <c r="O21" s="18" t="n"/>
    </row>
    <row r="22">
      <c r="A22" t="inlineStr">
        <is>
          <t>SVC-PW-1120</t>
        </is>
      </c>
      <c r="B22" t="inlineStr">
        <is>
          <t>CUST-2063</t>
        </is>
      </c>
      <c r="C22" t="inlineStr">
        <is>
          <t>Power circuit</t>
        </is>
      </c>
      <c r="D22" t="inlineStr">
        <is>
          <t>MH-DC-001</t>
        </is>
      </c>
      <c r="E22" t="inlineStr">
        <is>
          <t>MH-DC-001-TN-040</t>
        </is>
      </c>
      <c r="F22" t="inlineStr">
        <is>
          <t>RACK-I · PDU A+B</t>
        </is>
      </c>
      <c r="I22" t="n">
        <v>12</v>
      </c>
      <c r="J22" t="inlineStr">
        <is>
          <t>kW</t>
        </is>
      </c>
      <c r="K22" t="n">
        <v>10000</v>
      </c>
      <c r="L22" t="n">
        <v>99.98999999999999</v>
      </c>
      <c r="M22" s="24" t="n">
        <v>108000</v>
      </c>
      <c r="N22" t="inlineStr">
        <is>
          <t>N</t>
        </is>
      </c>
      <c r="O22" s="18" t="n"/>
    </row>
    <row r="23">
      <c r="A23" t="inlineStr">
        <is>
          <t>SVC-XC-1121</t>
        </is>
      </c>
      <c r="B23" t="inlineStr">
        <is>
          <t>CUST-2063</t>
        </is>
      </c>
      <c r="C23" t="inlineStr">
        <is>
          <t>Cross-connect</t>
        </is>
      </c>
      <c r="D23" t="inlineStr">
        <is>
          <t>MH-DC-001</t>
        </is>
      </c>
      <c r="E23" t="inlineStr">
        <is>
          <t>MH-DC-001-MMR-SW-06</t>
        </is>
      </c>
      <c r="F23" t="inlineStr">
        <is>
          <t>MMR panel 11 · P28</t>
        </is>
      </c>
      <c r="I23" t="n">
        <v>10000</v>
      </c>
      <c r="J23" t="inlineStr">
        <is>
          <t>Mbps</t>
        </is>
      </c>
      <c r="K23" t="n">
        <v>10000</v>
      </c>
      <c r="L23" t="n">
        <v>99.98999999999999</v>
      </c>
      <c r="M23" s="24" t="n">
        <v>40000</v>
      </c>
      <c r="N23" t="inlineStr">
        <is>
          <t>N</t>
        </is>
      </c>
      <c r="O23" s="18" t="n"/>
    </row>
    <row r="24">
      <c r="A24" t="inlineStr">
        <is>
          <t>SVC-CB-1122</t>
        </is>
      </c>
      <c r="B24" t="inlineStr">
        <is>
          <t>CUST-8230</t>
        </is>
      </c>
      <c r="C24" t="inlineStr">
        <is>
          <t>Cabinet lease</t>
        </is>
      </c>
      <c r="D24" t="inlineStr">
        <is>
          <t>MH-DC-001</t>
        </is>
      </c>
      <c r="E24" t="inlineStr">
        <is>
          <t>MH-DC-001-TN-046</t>
        </is>
      </c>
      <c r="F24" t="inlineStr">
        <is>
          <t>RACK-J, RACK-K, RACK-L</t>
        </is>
      </c>
      <c r="I24" t="n">
        <v>3</v>
      </c>
      <c r="J24" t="inlineStr">
        <is>
          <t>cabinets</t>
        </is>
      </c>
      <c r="K24" t="n">
        <v>10000</v>
      </c>
      <c r="L24" t="n">
        <v>99.999</v>
      </c>
      <c r="M24" s="24" t="n">
        <v>360000</v>
      </c>
      <c r="N24" t="inlineStr">
        <is>
          <t>Y</t>
        </is>
      </c>
      <c r="O24" s="18" t="n"/>
    </row>
    <row r="25">
      <c r="A25" t="inlineStr">
        <is>
          <t>SVC-PW-1123</t>
        </is>
      </c>
      <c r="B25" t="inlineStr">
        <is>
          <t>CUST-8230</t>
        </is>
      </c>
      <c r="C25" t="inlineStr">
        <is>
          <t>Power circuit</t>
        </is>
      </c>
      <c r="D25" t="inlineStr">
        <is>
          <t>MH-DC-001</t>
        </is>
      </c>
      <c r="E25" t="inlineStr">
        <is>
          <t>MH-DC-001-TN-046</t>
        </is>
      </c>
      <c r="F25" t="inlineStr">
        <is>
          <t>RACK-J · PDU A+B</t>
        </is>
      </c>
      <c r="I25" t="n">
        <v>8</v>
      </c>
      <c r="J25" t="inlineStr">
        <is>
          <t>kW</t>
        </is>
      </c>
      <c r="K25" t="n">
        <v>10000</v>
      </c>
      <c r="L25" t="n">
        <v>99.999</v>
      </c>
      <c r="M25" s="24" t="n">
        <v>72000</v>
      </c>
      <c r="N25" t="inlineStr">
        <is>
          <t>Y</t>
        </is>
      </c>
      <c r="O25" s="18" t="n"/>
    </row>
    <row r="26">
      <c r="A26" t="inlineStr">
        <is>
          <t>SVC-PW-1124</t>
        </is>
      </c>
      <c r="B26" t="inlineStr">
        <is>
          <t>CUST-8230</t>
        </is>
      </c>
      <c r="C26" t="inlineStr">
        <is>
          <t>Power circuit</t>
        </is>
      </c>
      <c r="D26" t="inlineStr">
        <is>
          <t>MH-DC-001</t>
        </is>
      </c>
      <c r="E26" t="inlineStr">
        <is>
          <t>MH-DC-001-TN-053</t>
        </is>
      </c>
      <c r="F26" t="inlineStr">
        <is>
          <t>RACK-K · PDU A+B</t>
        </is>
      </c>
      <c r="I26" t="n">
        <v>11</v>
      </c>
      <c r="J26" t="inlineStr">
        <is>
          <t>kW</t>
        </is>
      </c>
      <c r="K26" t="n">
        <v>10000</v>
      </c>
      <c r="L26" t="n">
        <v>99.999</v>
      </c>
      <c r="M26" s="24" t="n">
        <v>99000</v>
      </c>
      <c r="N26" t="inlineStr">
        <is>
          <t>Y</t>
        </is>
      </c>
      <c r="O26" s="18" t="n"/>
    </row>
    <row r="27">
      <c r="A27" t="inlineStr">
        <is>
          <t>SVC-PW-1125</t>
        </is>
      </c>
      <c r="B27" t="inlineStr">
        <is>
          <t>CUST-8230</t>
        </is>
      </c>
      <c r="C27" t="inlineStr">
        <is>
          <t>Power circuit</t>
        </is>
      </c>
      <c r="D27" t="inlineStr">
        <is>
          <t>MH-DC-001</t>
        </is>
      </c>
      <c r="E27" t="inlineStr">
        <is>
          <t>MH-DC-001-TN-057</t>
        </is>
      </c>
      <c r="F27" t="inlineStr">
        <is>
          <t>RACK-L · PDU A+B</t>
        </is>
      </c>
      <c r="I27" t="n">
        <v>8</v>
      </c>
      <c r="J27" t="inlineStr">
        <is>
          <t>kW</t>
        </is>
      </c>
      <c r="K27" t="n">
        <v>10000</v>
      </c>
      <c r="L27" t="n">
        <v>99.999</v>
      </c>
      <c r="M27" s="24" t="n">
        <v>72000</v>
      </c>
      <c r="N27" t="inlineStr">
        <is>
          <t>Y</t>
        </is>
      </c>
      <c r="O27" s="18" t="n"/>
    </row>
    <row r="28">
      <c r="A28" t="inlineStr">
        <is>
          <t>SVC-XC-1126</t>
        </is>
      </c>
      <c r="B28" t="inlineStr">
        <is>
          <t>CUST-8230</t>
        </is>
      </c>
      <c r="C28" t="inlineStr">
        <is>
          <t>Cross-connect</t>
        </is>
      </c>
      <c r="D28" t="inlineStr">
        <is>
          <t>MH-DC-001</t>
        </is>
      </c>
      <c r="E28" t="inlineStr">
        <is>
          <t>MH-DC-001-MMR-SW-07</t>
        </is>
      </c>
      <c r="F28" t="inlineStr">
        <is>
          <t>MMR panel 6 · P5</t>
        </is>
      </c>
      <c r="I28" t="n">
        <v>10000</v>
      </c>
      <c r="J28" t="inlineStr">
        <is>
          <t>Mbps</t>
        </is>
      </c>
      <c r="K28" t="n">
        <v>10000</v>
      </c>
      <c r="L28" t="n">
        <v>99.999</v>
      </c>
      <c r="M28" s="24" t="n">
        <v>40000</v>
      </c>
      <c r="N28" t="inlineStr">
        <is>
          <t>Y</t>
        </is>
      </c>
      <c r="O28" s="18" t="n"/>
    </row>
    <row r="29">
      <c r="A29" t="inlineStr">
        <is>
          <t>SVC-RH-1127</t>
        </is>
      </c>
      <c r="B29" t="inlineStr">
        <is>
          <t>CUST-8230</t>
        </is>
      </c>
      <c r="C29" t="inlineStr">
        <is>
          <t>Remote hands</t>
        </is>
      </c>
      <c r="D29" t="inlineStr">
        <is>
          <t>MH-DC-001</t>
        </is>
      </c>
      <c r="E29" t="inlineStr">
        <is>
          <t>MH-DC-001-TN-046</t>
        </is>
      </c>
      <c r="F29" t="inlineStr">
        <is>
          <t>monthly allowance</t>
        </is>
      </c>
      <c r="I29" t="n">
        <v>40</v>
      </c>
      <c r="J29" t="inlineStr">
        <is>
          <t>hours</t>
        </is>
      </c>
      <c r="K29" t="n">
        <v>10000</v>
      </c>
      <c r="L29" t="n">
        <v>99.999</v>
      </c>
      <c r="M29" s="24" t="n">
        <v>60000</v>
      </c>
      <c r="N29" t="inlineStr">
        <is>
          <t>Y</t>
        </is>
      </c>
      <c r="O29" s="18" t="n"/>
    </row>
    <row r="30">
      <c r="A30" t="inlineStr">
        <is>
          <t>SVC-CB-1128</t>
        </is>
      </c>
      <c r="B30" t="inlineStr">
        <is>
          <t>CUST-6468</t>
        </is>
      </c>
      <c r="C30" t="inlineStr">
        <is>
          <t>Cabinet lease</t>
        </is>
      </c>
      <c r="D30" t="inlineStr">
        <is>
          <t>MH-DC-001</t>
        </is>
      </c>
      <c r="E30" t="inlineStr">
        <is>
          <t>MH-DC-001-TN-062</t>
        </is>
      </c>
      <c r="F30" t="inlineStr">
        <is>
          <t>RACK-M, RACK-N</t>
        </is>
      </c>
      <c r="I30" t="n">
        <v>2</v>
      </c>
      <c r="J30" t="inlineStr">
        <is>
          <t>cabinets</t>
        </is>
      </c>
      <c r="K30" t="n">
        <v>10000</v>
      </c>
      <c r="L30" t="n">
        <v>99.98999999999999</v>
      </c>
      <c r="M30" s="24" t="n">
        <v>240000</v>
      </c>
      <c r="N30" t="inlineStr">
        <is>
          <t>N</t>
        </is>
      </c>
      <c r="O30" s="18" t="n"/>
    </row>
    <row r="31">
      <c r="A31" t="inlineStr">
        <is>
          <t>SVC-PW-1129</t>
        </is>
      </c>
      <c r="B31" t="inlineStr">
        <is>
          <t>CUST-6468</t>
        </is>
      </c>
      <c r="C31" t="inlineStr">
        <is>
          <t>Power circuit</t>
        </is>
      </c>
      <c r="D31" t="inlineStr">
        <is>
          <t>MH-DC-001</t>
        </is>
      </c>
      <c r="E31" t="inlineStr">
        <is>
          <t>MH-DC-001-TN-062</t>
        </is>
      </c>
      <c r="F31" t="inlineStr">
        <is>
          <t>RACK-M · PDU A+B</t>
        </is>
      </c>
      <c r="I31" t="n">
        <v>8</v>
      </c>
      <c r="J31" t="inlineStr">
        <is>
          <t>kW</t>
        </is>
      </c>
      <c r="K31" t="n">
        <v>10000</v>
      </c>
      <c r="L31" t="n">
        <v>99.98999999999999</v>
      </c>
      <c r="M31" s="24" t="n">
        <v>72000</v>
      </c>
      <c r="N31" t="inlineStr">
        <is>
          <t>N</t>
        </is>
      </c>
      <c r="O31" s="18" t="n"/>
    </row>
    <row r="32">
      <c r="A32" t="inlineStr">
        <is>
          <t>SVC-PW-1130</t>
        </is>
      </c>
      <c r="B32" t="inlineStr">
        <is>
          <t>CUST-6468</t>
        </is>
      </c>
      <c r="C32" t="inlineStr">
        <is>
          <t>Power circuit</t>
        </is>
      </c>
      <c r="D32" t="inlineStr">
        <is>
          <t>MH-DC-001</t>
        </is>
      </c>
      <c r="E32" t="inlineStr">
        <is>
          <t>MH-DC-001-TN-066</t>
        </is>
      </c>
      <c r="F32" t="inlineStr">
        <is>
          <t>RACK-N · PDU A+B</t>
        </is>
      </c>
      <c r="I32" t="n">
        <v>8</v>
      </c>
      <c r="J32" t="inlineStr">
        <is>
          <t>kW</t>
        </is>
      </c>
      <c r="K32" t="n">
        <v>10000</v>
      </c>
      <c r="L32" t="n">
        <v>99.98999999999999</v>
      </c>
      <c r="M32" s="24" t="n">
        <v>72000</v>
      </c>
      <c r="N32" t="inlineStr">
        <is>
          <t>N</t>
        </is>
      </c>
      <c r="O32" s="18" t="n"/>
    </row>
    <row r="33">
      <c r="A33" t="inlineStr">
        <is>
          <t>SVC-XC-1131</t>
        </is>
      </c>
      <c r="B33" t="inlineStr">
        <is>
          <t>CUST-6468</t>
        </is>
      </c>
      <c r="C33" t="inlineStr">
        <is>
          <t>Cross-connect</t>
        </is>
      </c>
      <c r="D33" t="inlineStr">
        <is>
          <t>MH-DC-001</t>
        </is>
      </c>
      <c r="E33" t="inlineStr">
        <is>
          <t>MH-DC-001-MMR-SW-09</t>
        </is>
      </c>
      <c r="F33" t="inlineStr">
        <is>
          <t>MMR panel 2 · P39</t>
        </is>
      </c>
      <c r="I33" t="n">
        <v>10000</v>
      </c>
      <c r="J33" t="inlineStr">
        <is>
          <t>Mbps</t>
        </is>
      </c>
      <c r="K33" t="n">
        <v>10000</v>
      </c>
      <c r="L33" t="n">
        <v>99.98999999999999</v>
      </c>
      <c r="M33" s="24" t="n">
        <v>40000</v>
      </c>
      <c r="N33" t="inlineStr">
        <is>
          <t>N</t>
        </is>
      </c>
      <c r="O33" s="18" t="n"/>
    </row>
    <row r="34">
      <c r="A34" t="inlineStr">
        <is>
          <t>SVC-CB-1132</t>
        </is>
      </c>
      <c r="B34" t="inlineStr">
        <is>
          <t>CUST-9982</t>
        </is>
      </c>
      <c r="C34" t="inlineStr">
        <is>
          <t>Cabinet lease</t>
        </is>
      </c>
      <c r="D34" t="inlineStr">
        <is>
          <t>MH-DC-001</t>
        </is>
      </c>
      <c r="E34" t="inlineStr">
        <is>
          <t>MH-DC-001-TN-072</t>
        </is>
      </c>
      <c r="F34" t="inlineStr">
        <is>
          <t>RACK-O</t>
        </is>
      </c>
      <c r="I34" t="n">
        <v>1</v>
      </c>
      <c r="J34" t="inlineStr">
        <is>
          <t>cabinets</t>
        </is>
      </c>
      <c r="K34" t="n">
        <v>10000</v>
      </c>
      <c r="L34" t="n">
        <v>99.999</v>
      </c>
      <c r="M34" s="24" t="n">
        <v>120000</v>
      </c>
      <c r="N34" t="inlineStr">
        <is>
          <t>Y</t>
        </is>
      </c>
      <c r="O34" s="18" t="n"/>
    </row>
    <row r="35">
      <c r="A35" t="inlineStr">
        <is>
          <t>SVC-PW-1133</t>
        </is>
      </c>
      <c r="B35" t="inlineStr">
        <is>
          <t>CUST-9982</t>
        </is>
      </c>
      <c r="C35" t="inlineStr">
        <is>
          <t>Power circuit</t>
        </is>
      </c>
      <c r="D35" t="inlineStr">
        <is>
          <t>MH-DC-001</t>
        </is>
      </c>
      <c r="E35" t="inlineStr">
        <is>
          <t>MH-DC-001-TN-072</t>
        </is>
      </c>
      <c r="F35" t="inlineStr">
        <is>
          <t>RACK-O · PDU A+B</t>
        </is>
      </c>
      <c r="I35" t="n">
        <v>10</v>
      </c>
      <c r="J35" t="inlineStr">
        <is>
          <t>kW</t>
        </is>
      </c>
      <c r="K35" t="n">
        <v>10000</v>
      </c>
      <c r="L35" t="n">
        <v>99.999</v>
      </c>
      <c r="M35" s="24" t="n">
        <v>90000</v>
      </c>
      <c r="N35" t="inlineStr">
        <is>
          <t>Y</t>
        </is>
      </c>
      <c r="O35" s="18" t="n"/>
    </row>
    <row r="36">
      <c r="A36" t="inlineStr">
        <is>
          <t>SVC-XC-1134</t>
        </is>
      </c>
      <c r="B36" t="inlineStr">
        <is>
          <t>CUST-9982</t>
        </is>
      </c>
      <c r="C36" t="inlineStr">
        <is>
          <t>Cross-connect</t>
        </is>
      </c>
      <c r="D36" t="inlineStr">
        <is>
          <t>MH-DC-001</t>
        </is>
      </c>
      <c r="E36" t="inlineStr">
        <is>
          <t>MH-DC-001-MMR-SW-03</t>
        </is>
      </c>
      <c r="F36" t="inlineStr">
        <is>
          <t>MMR panel 10 · P13</t>
        </is>
      </c>
      <c r="I36" t="n">
        <v>10000</v>
      </c>
      <c r="J36" t="inlineStr">
        <is>
          <t>Mbps</t>
        </is>
      </c>
      <c r="K36" t="n">
        <v>10000</v>
      </c>
      <c r="L36" t="n">
        <v>99.999</v>
      </c>
      <c r="M36" s="24" t="n">
        <v>40000</v>
      </c>
      <c r="N36" t="inlineStr">
        <is>
          <t>Y</t>
        </is>
      </c>
      <c r="O36" s="18" t="n"/>
    </row>
    <row r="37">
      <c r="A37" t="inlineStr">
        <is>
          <t>SVC-XC-1135</t>
        </is>
      </c>
      <c r="B37" t="inlineStr">
        <is>
          <t>CUST-9982</t>
        </is>
      </c>
      <c r="C37" t="inlineStr">
        <is>
          <t>Cross-connect</t>
        </is>
      </c>
      <c r="D37" t="inlineStr">
        <is>
          <t>MH-DC-001</t>
        </is>
      </c>
      <c r="E37" t="inlineStr">
        <is>
          <t>MH-DC-001-MMR-SW-04</t>
        </is>
      </c>
      <c r="F37" t="inlineStr">
        <is>
          <t>MMR panel 4 · P19</t>
        </is>
      </c>
      <c r="I37" t="n">
        <v>10000</v>
      </c>
      <c r="J37" t="inlineStr">
        <is>
          <t>Mbps</t>
        </is>
      </c>
      <c r="K37" t="n">
        <v>10000</v>
      </c>
      <c r="L37" t="n">
        <v>99.999</v>
      </c>
      <c r="M37" s="24" t="n">
        <v>40000</v>
      </c>
      <c r="N37" t="inlineStr">
        <is>
          <t>Y</t>
        </is>
      </c>
      <c r="O37" s="18" t="n"/>
    </row>
    <row r="38">
      <c r="A38" t="inlineStr">
        <is>
          <t>SVC-CB-1136</t>
        </is>
      </c>
      <c r="B38" t="inlineStr">
        <is>
          <t>CUST-1202</t>
        </is>
      </c>
      <c r="C38" t="inlineStr">
        <is>
          <t>Cabinet lease</t>
        </is>
      </c>
      <c r="D38" t="inlineStr">
        <is>
          <t>MH-DC-001</t>
        </is>
      </c>
      <c r="E38" t="inlineStr">
        <is>
          <t>MH-DC-001-TN-079</t>
        </is>
      </c>
      <c r="F38" t="inlineStr">
        <is>
          <t>RACK-P</t>
        </is>
      </c>
      <c r="I38" t="n">
        <v>1</v>
      </c>
      <c r="J38" t="inlineStr">
        <is>
          <t>cabinets</t>
        </is>
      </c>
      <c r="K38" t="n">
        <v>10000</v>
      </c>
      <c r="L38" t="n">
        <v>99.999</v>
      </c>
      <c r="M38" s="24" t="n">
        <v>120000</v>
      </c>
      <c r="N38" t="inlineStr">
        <is>
          <t>Y</t>
        </is>
      </c>
      <c r="O38" s="18" t="n"/>
    </row>
    <row r="39">
      <c r="A39" t="inlineStr">
        <is>
          <t>SVC-PW-1137</t>
        </is>
      </c>
      <c r="B39" t="inlineStr">
        <is>
          <t>CUST-1202</t>
        </is>
      </c>
      <c r="C39" t="inlineStr">
        <is>
          <t>Power circuit</t>
        </is>
      </c>
      <c r="D39" t="inlineStr">
        <is>
          <t>MH-DC-001</t>
        </is>
      </c>
      <c r="E39" t="inlineStr">
        <is>
          <t>MH-DC-001-TN-079</t>
        </is>
      </c>
      <c r="F39" t="inlineStr">
        <is>
          <t>RACK-P · PDU A+B</t>
        </is>
      </c>
      <c r="I39" t="n">
        <v>8</v>
      </c>
      <c r="J39" t="inlineStr">
        <is>
          <t>kW</t>
        </is>
      </c>
      <c r="K39" t="n">
        <v>10000</v>
      </c>
      <c r="L39" t="n">
        <v>99.999</v>
      </c>
      <c r="M39" s="24" t="n">
        <v>72000</v>
      </c>
      <c r="N39" t="inlineStr">
        <is>
          <t>Y</t>
        </is>
      </c>
      <c r="O39" s="18" t="n"/>
    </row>
    <row r="40">
      <c r="A40" t="inlineStr">
        <is>
          <t>SVC-XC-1138</t>
        </is>
      </c>
      <c r="B40" t="inlineStr">
        <is>
          <t>CUST-1202</t>
        </is>
      </c>
      <c r="C40" t="inlineStr">
        <is>
          <t>Cross-connect</t>
        </is>
      </c>
      <c r="D40" t="inlineStr">
        <is>
          <t>MH-DC-001</t>
        </is>
      </c>
      <c r="E40" t="inlineStr">
        <is>
          <t>MH-DC-001-MMR-SW-01</t>
        </is>
      </c>
      <c r="F40" t="inlineStr">
        <is>
          <t>MMR panel 4 · P22</t>
        </is>
      </c>
      <c r="I40" t="n">
        <v>1000</v>
      </c>
      <c r="J40" t="inlineStr">
        <is>
          <t>Mbps</t>
        </is>
      </c>
      <c r="K40" t="n">
        <v>1000</v>
      </c>
      <c r="L40" t="n">
        <v>99.999</v>
      </c>
      <c r="M40" s="24" t="n">
        <v>4000</v>
      </c>
      <c r="N40" t="inlineStr">
        <is>
          <t>Y</t>
        </is>
      </c>
      <c r="O40" s="18" t="n"/>
    </row>
    <row r="41">
      <c r="A41" t="inlineStr">
        <is>
          <t>SVC-RH-1139</t>
        </is>
      </c>
      <c r="B41" t="inlineStr">
        <is>
          <t>CUST-1202</t>
        </is>
      </c>
      <c r="C41" t="inlineStr">
        <is>
          <t>Remote hands</t>
        </is>
      </c>
      <c r="D41" t="inlineStr">
        <is>
          <t>MH-DC-001</t>
        </is>
      </c>
      <c r="E41" t="inlineStr">
        <is>
          <t>MH-DC-001-TN-079</t>
        </is>
      </c>
      <c r="F41" t="inlineStr">
        <is>
          <t>monthly allowance</t>
        </is>
      </c>
      <c r="I41" t="n">
        <v>20</v>
      </c>
      <c r="J41" t="inlineStr">
        <is>
          <t>hours</t>
        </is>
      </c>
      <c r="K41" t="n">
        <v>10000</v>
      </c>
      <c r="L41" t="n">
        <v>99.999</v>
      </c>
      <c r="M41" s="24" t="n">
        <v>30000</v>
      </c>
      <c r="N41" t="inlineStr">
        <is>
          <t>Y</t>
        </is>
      </c>
      <c r="O41" s="18" t="n"/>
    </row>
    <row r="42">
      <c r="A42" t="inlineStr">
        <is>
          <t>SVC-CB-1140</t>
        </is>
      </c>
      <c r="B42" t="inlineStr">
        <is>
          <t>CUST-7349</t>
        </is>
      </c>
      <c r="C42" t="inlineStr">
        <is>
          <t>Cabinet lease</t>
        </is>
      </c>
      <c r="D42" t="inlineStr">
        <is>
          <t>MH-DC-002</t>
        </is>
      </c>
      <c r="E42" t="inlineStr">
        <is>
          <t>MH-DC-002-TN-001</t>
        </is>
      </c>
      <c r="F42" t="inlineStr">
        <is>
          <t>RACK-B, RACK-C</t>
        </is>
      </c>
      <c r="I42" t="n">
        <v>2</v>
      </c>
      <c r="J42" t="inlineStr">
        <is>
          <t>cabinets</t>
        </is>
      </c>
      <c r="K42" t="n">
        <v>10000</v>
      </c>
      <c r="L42" t="n">
        <v>99.98999999999999</v>
      </c>
      <c r="M42" s="24" t="n">
        <v>240000</v>
      </c>
      <c r="N42" t="inlineStr">
        <is>
          <t>N</t>
        </is>
      </c>
      <c r="O42" s="18" t="n"/>
    </row>
    <row r="43">
      <c r="A43" t="inlineStr">
        <is>
          <t>SVC-PW-1141</t>
        </is>
      </c>
      <c r="B43" t="inlineStr">
        <is>
          <t>CUST-7349</t>
        </is>
      </c>
      <c r="C43" t="inlineStr">
        <is>
          <t>Power circuit</t>
        </is>
      </c>
      <c r="D43" t="inlineStr">
        <is>
          <t>MH-DC-002</t>
        </is>
      </c>
      <c r="E43" t="inlineStr">
        <is>
          <t>MH-DC-002-TN-001</t>
        </is>
      </c>
      <c r="F43" t="inlineStr">
        <is>
          <t>RACK-B · PDU A+B</t>
        </is>
      </c>
      <c r="I43" t="n">
        <v>40</v>
      </c>
      <c r="J43" t="inlineStr">
        <is>
          <t>kW</t>
        </is>
      </c>
      <c r="K43" t="n">
        <v>10000</v>
      </c>
      <c r="L43" t="n">
        <v>99.98999999999999</v>
      </c>
      <c r="M43" s="24" t="n">
        <v>360000</v>
      </c>
      <c r="N43" t="inlineStr">
        <is>
          <t>N</t>
        </is>
      </c>
      <c r="O43" s="18" t="n"/>
    </row>
    <row r="44">
      <c r="A44" t="inlineStr">
        <is>
          <t>SVC-PW-1142</t>
        </is>
      </c>
      <c r="B44" t="inlineStr">
        <is>
          <t>CUST-7349</t>
        </is>
      </c>
      <c r="C44" t="inlineStr">
        <is>
          <t>Power circuit</t>
        </is>
      </c>
      <c r="D44" t="inlineStr">
        <is>
          <t>MH-DC-002</t>
        </is>
      </c>
      <c r="E44" t="inlineStr">
        <is>
          <t>MH-DC-002-TN-007</t>
        </is>
      </c>
      <c r="F44" t="inlineStr">
        <is>
          <t>RACK-C · PDU A+B</t>
        </is>
      </c>
      <c r="I44" t="n">
        <v>40</v>
      </c>
      <c r="J44" t="inlineStr">
        <is>
          <t>kW</t>
        </is>
      </c>
      <c r="K44" t="n">
        <v>10000</v>
      </c>
      <c r="L44" t="n">
        <v>99.98999999999999</v>
      </c>
      <c r="M44" s="24" t="n">
        <v>360000</v>
      </c>
      <c r="N44" t="inlineStr">
        <is>
          <t>N</t>
        </is>
      </c>
      <c r="O44" s="18" t="n"/>
    </row>
    <row r="45">
      <c r="A45" t="inlineStr">
        <is>
          <t>SVC-XC-1143</t>
        </is>
      </c>
      <c r="B45" t="inlineStr">
        <is>
          <t>CUST-7349</t>
        </is>
      </c>
      <c r="C45" t="inlineStr">
        <is>
          <t>Cross-connect</t>
        </is>
      </c>
      <c r="D45" t="inlineStr">
        <is>
          <t>MH-DC-002</t>
        </is>
      </c>
      <c r="E45" t="inlineStr">
        <is>
          <t>MH-DC-002-MMR-SW-01</t>
        </is>
      </c>
      <c r="F45" t="inlineStr">
        <is>
          <t>MMR panel 3 · P16</t>
        </is>
      </c>
      <c r="I45" t="n">
        <v>100000</v>
      </c>
      <c r="J45" t="inlineStr">
        <is>
          <t>Mbps</t>
        </is>
      </c>
      <c r="K45" t="n">
        <v>100000</v>
      </c>
      <c r="L45" t="n">
        <v>99.98999999999999</v>
      </c>
      <c r="M45" s="24" t="n">
        <v>400000</v>
      </c>
      <c r="N45" t="inlineStr">
        <is>
          <t>N</t>
        </is>
      </c>
      <c r="O45" s="18" t="n"/>
    </row>
    <row r="46">
      <c r="A46" t="inlineStr">
        <is>
          <t>SVC-XC-1144</t>
        </is>
      </c>
      <c r="B46" t="inlineStr">
        <is>
          <t>CUST-7349</t>
        </is>
      </c>
      <c r="C46" t="inlineStr">
        <is>
          <t>Cross-connect</t>
        </is>
      </c>
      <c r="D46" t="inlineStr">
        <is>
          <t>MH-DC-002</t>
        </is>
      </c>
      <c r="E46" t="inlineStr">
        <is>
          <t>MH-DC-002-MMR-SW-02</t>
        </is>
      </c>
      <c r="F46" t="inlineStr">
        <is>
          <t>MMR panel 6 · P3</t>
        </is>
      </c>
      <c r="I46" t="n">
        <v>1000</v>
      </c>
      <c r="J46" t="inlineStr">
        <is>
          <t>Mbps</t>
        </is>
      </c>
      <c r="K46" t="n">
        <v>1000</v>
      </c>
      <c r="L46" t="n">
        <v>99.98999999999999</v>
      </c>
      <c r="M46" s="24" t="n">
        <v>4000</v>
      </c>
      <c r="N46" t="inlineStr">
        <is>
          <t>N</t>
        </is>
      </c>
      <c r="O46" s="18" t="n"/>
    </row>
    <row r="47">
      <c r="A47" t="inlineStr">
        <is>
          <t>SVC-CB-1145</t>
        </is>
      </c>
      <c r="B47" t="inlineStr">
        <is>
          <t>CUST-8220</t>
        </is>
      </c>
      <c r="C47" t="inlineStr">
        <is>
          <t>Cabinet lease</t>
        </is>
      </c>
      <c r="D47" t="inlineStr">
        <is>
          <t>MH-DC-002</t>
        </is>
      </c>
      <c r="E47" t="inlineStr">
        <is>
          <t>MH-DC-002-TN-012</t>
        </is>
      </c>
      <c r="F47" t="inlineStr">
        <is>
          <t>RACK-D</t>
        </is>
      </c>
      <c r="I47" t="n">
        <v>1</v>
      </c>
      <c r="J47" t="inlineStr">
        <is>
          <t>cabinets</t>
        </is>
      </c>
      <c r="K47" t="n">
        <v>10000</v>
      </c>
      <c r="L47" t="n">
        <v>99.98999999999999</v>
      </c>
      <c r="M47" s="24" t="n">
        <v>120000</v>
      </c>
      <c r="N47" t="inlineStr">
        <is>
          <t>N</t>
        </is>
      </c>
      <c r="O47" s="18" t="n"/>
    </row>
    <row r="48">
      <c r="A48" t="inlineStr">
        <is>
          <t>SVC-PW-1146</t>
        </is>
      </c>
      <c r="B48" t="inlineStr">
        <is>
          <t>CUST-8220</t>
        </is>
      </c>
      <c r="C48" t="inlineStr">
        <is>
          <t>Power circuit</t>
        </is>
      </c>
      <c r="D48" t="inlineStr">
        <is>
          <t>MH-DC-002</t>
        </is>
      </c>
      <c r="E48" t="inlineStr">
        <is>
          <t>MH-DC-002-TN-012</t>
        </is>
      </c>
      <c r="F48" t="inlineStr">
        <is>
          <t>RACK-D · PDU A+B</t>
        </is>
      </c>
      <c r="I48" t="n">
        <v>17</v>
      </c>
      <c r="J48" t="inlineStr">
        <is>
          <t>kW</t>
        </is>
      </c>
      <c r="K48" t="n">
        <v>10000</v>
      </c>
      <c r="L48" t="n">
        <v>99.98999999999999</v>
      </c>
      <c r="M48" s="24" t="n">
        <v>153000</v>
      </c>
      <c r="N48" t="inlineStr">
        <is>
          <t>N</t>
        </is>
      </c>
      <c r="O48" s="18" t="n"/>
    </row>
    <row r="49">
      <c r="A49" t="inlineStr">
        <is>
          <t>SVC-XC-1147</t>
        </is>
      </c>
      <c r="B49" t="inlineStr">
        <is>
          <t>CUST-8220</t>
        </is>
      </c>
      <c r="C49" t="inlineStr">
        <is>
          <t>Cross-connect</t>
        </is>
      </c>
      <c r="D49" t="inlineStr">
        <is>
          <t>MH-DC-002</t>
        </is>
      </c>
      <c r="E49" t="inlineStr">
        <is>
          <t>MH-DC-002-MMR-SW-02</t>
        </is>
      </c>
      <c r="F49" t="inlineStr">
        <is>
          <t>MMR panel 3 · P6</t>
        </is>
      </c>
      <c r="I49" t="n">
        <v>10000</v>
      </c>
      <c r="J49" t="inlineStr">
        <is>
          <t>Mbps</t>
        </is>
      </c>
      <c r="K49" t="n">
        <v>10000</v>
      </c>
      <c r="L49" t="n">
        <v>99.98999999999999</v>
      </c>
      <c r="M49" s="24" t="n">
        <v>40000</v>
      </c>
      <c r="N49" t="inlineStr">
        <is>
          <t>N</t>
        </is>
      </c>
      <c r="O49" s="18" t="n"/>
    </row>
    <row r="50">
      <c r="A50" t="inlineStr">
        <is>
          <t>SVC-CB-1148</t>
        </is>
      </c>
      <c r="B50" t="inlineStr">
        <is>
          <t>CUST-4716</t>
        </is>
      </c>
      <c r="C50" t="inlineStr">
        <is>
          <t>Cabinet lease</t>
        </is>
      </c>
      <c r="D50" t="inlineStr">
        <is>
          <t>MH-DC-002</t>
        </is>
      </c>
      <c r="E50" t="inlineStr">
        <is>
          <t>MH-DC-002-TN-016</t>
        </is>
      </c>
      <c r="F50" t="inlineStr">
        <is>
          <t>RACK-E</t>
        </is>
      </c>
      <c r="I50" t="n">
        <v>1</v>
      </c>
      <c r="J50" t="inlineStr">
        <is>
          <t>cabinets</t>
        </is>
      </c>
      <c r="K50" t="n">
        <v>10000</v>
      </c>
      <c r="L50" t="n">
        <v>99.999</v>
      </c>
      <c r="M50" s="24" t="n">
        <v>120000</v>
      </c>
      <c r="N50" t="inlineStr">
        <is>
          <t>Y</t>
        </is>
      </c>
      <c r="O50" s="18" t="n"/>
    </row>
    <row r="51">
      <c r="A51" t="inlineStr">
        <is>
          <t>SVC-PW-1149</t>
        </is>
      </c>
      <c r="B51" t="inlineStr">
        <is>
          <t>CUST-4716</t>
        </is>
      </c>
      <c r="C51" t="inlineStr">
        <is>
          <t>Power circuit</t>
        </is>
      </c>
      <c r="D51" t="inlineStr">
        <is>
          <t>MH-DC-002</t>
        </is>
      </c>
      <c r="E51" t="inlineStr">
        <is>
          <t>MH-DC-002-TN-016</t>
        </is>
      </c>
      <c r="F51" t="inlineStr">
        <is>
          <t>RACK-E · PDU A+B</t>
        </is>
      </c>
      <c r="I51" t="n">
        <v>20</v>
      </c>
      <c r="J51" t="inlineStr">
        <is>
          <t>kW</t>
        </is>
      </c>
      <c r="K51" t="n">
        <v>10000</v>
      </c>
      <c r="L51" t="n">
        <v>99.999</v>
      </c>
      <c r="M51" s="24" t="n">
        <v>180000</v>
      </c>
      <c r="N51" t="inlineStr">
        <is>
          <t>Y</t>
        </is>
      </c>
      <c r="O51" s="18" t="n"/>
    </row>
    <row r="52">
      <c r="A52" t="inlineStr">
        <is>
          <t>SVC-XC-1150</t>
        </is>
      </c>
      <c r="B52" t="inlineStr">
        <is>
          <t>CUST-4716</t>
        </is>
      </c>
      <c r="C52" t="inlineStr">
        <is>
          <t>Cross-connect</t>
        </is>
      </c>
      <c r="D52" t="inlineStr">
        <is>
          <t>MH-DC-002</t>
        </is>
      </c>
      <c r="E52" t="inlineStr">
        <is>
          <t>MH-DC-002-MMR-SW-04</t>
        </is>
      </c>
      <c r="F52" t="inlineStr">
        <is>
          <t>MMR panel 7 · P26</t>
        </is>
      </c>
      <c r="I52" t="n">
        <v>10000</v>
      </c>
      <c r="J52" t="inlineStr">
        <is>
          <t>Mbps</t>
        </is>
      </c>
      <c r="K52" t="n">
        <v>10000</v>
      </c>
      <c r="L52" t="n">
        <v>99.999</v>
      </c>
      <c r="M52" s="24" t="n">
        <v>40000</v>
      </c>
      <c r="N52" t="inlineStr">
        <is>
          <t>Y</t>
        </is>
      </c>
      <c r="O52" s="18" t="n"/>
    </row>
    <row r="53">
      <c r="A53" t="inlineStr">
        <is>
          <t>SVC-XC-1151</t>
        </is>
      </c>
      <c r="B53" t="inlineStr">
        <is>
          <t>CUST-4716</t>
        </is>
      </c>
      <c r="C53" t="inlineStr">
        <is>
          <t>Cross-connect</t>
        </is>
      </c>
      <c r="D53" t="inlineStr">
        <is>
          <t>MH-DC-002</t>
        </is>
      </c>
      <c r="E53" t="inlineStr">
        <is>
          <t>MH-DC-002-MMR-SW-01</t>
        </is>
      </c>
      <c r="F53" t="inlineStr">
        <is>
          <t>MMR panel 9 · P17</t>
        </is>
      </c>
      <c r="I53" t="n">
        <v>100000</v>
      </c>
      <c r="J53" t="inlineStr">
        <is>
          <t>Mbps</t>
        </is>
      </c>
      <c r="K53" t="n">
        <v>100000</v>
      </c>
      <c r="L53" t="n">
        <v>99.999</v>
      </c>
      <c r="M53" s="24" t="n">
        <v>400000</v>
      </c>
      <c r="N53" t="inlineStr">
        <is>
          <t>Y</t>
        </is>
      </c>
      <c r="O53" s="18" t="n"/>
    </row>
    <row r="54">
      <c r="A54" t="inlineStr">
        <is>
          <t>SVC-CB-1152</t>
        </is>
      </c>
      <c r="B54" t="inlineStr">
        <is>
          <t>CUST-2954</t>
        </is>
      </c>
      <c r="C54" t="inlineStr">
        <is>
          <t>Cabinet lease</t>
        </is>
      </c>
      <c r="D54" t="inlineStr">
        <is>
          <t>MH-DC-002</t>
        </is>
      </c>
      <c r="E54" t="inlineStr">
        <is>
          <t>MH-DC-002-TN-021</t>
        </is>
      </c>
      <c r="F54" t="inlineStr">
        <is>
          <t>RACK-F, RACK-G</t>
        </is>
      </c>
      <c r="I54" t="n">
        <v>2</v>
      </c>
      <c r="J54" t="inlineStr">
        <is>
          <t>cabinets</t>
        </is>
      </c>
      <c r="K54" t="n">
        <v>10000</v>
      </c>
      <c r="L54" t="n">
        <v>99.999</v>
      </c>
      <c r="M54" s="24" t="n">
        <v>240000</v>
      </c>
      <c r="N54" t="inlineStr">
        <is>
          <t>Y</t>
        </is>
      </c>
      <c r="O54" s="18" t="n"/>
    </row>
    <row r="55">
      <c r="A55" t="inlineStr">
        <is>
          <t>SVC-PW-1153</t>
        </is>
      </c>
      <c r="B55" t="inlineStr">
        <is>
          <t>CUST-2954</t>
        </is>
      </c>
      <c r="C55" t="inlineStr">
        <is>
          <t>Power circuit</t>
        </is>
      </c>
      <c r="D55" t="inlineStr">
        <is>
          <t>MH-DC-002</t>
        </is>
      </c>
      <c r="E55" t="inlineStr">
        <is>
          <t>MH-DC-002-TN-021</t>
        </is>
      </c>
      <c r="F55" t="inlineStr">
        <is>
          <t>RACK-F · PDU A+B</t>
        </is>
      </c>
      <c r="I55" t="n">
        <v>17</v>
      </c>
      <c r="J55" t="inlineStr">
        <is>
          <t>kW</t>
        </is>
      </c>
      <c r="K55" t="n">
        <v>10000</v>
      </c>
      <c r="L55" t="n">
        <v>99.999</v>
      </c>
      <c r="M55" s="24" t="n">
        <v>153000</v>
      </c>
      <c r="N55" t="inlineStr">
        <is>
          <t>Y</t>
        </is>
      </c>
      <c r="O55" s="18" t="n"/>
    </row>
    <row r="56">
      <c r="A56" t="inlineStr">
        <is>
          <t>SVC-PW-1154</t>
        </is>
      </c>
      <c r="B56" t="inlineStr">
        <is>
          <t>CUST-2954</t>
        </is>
      </c>
      <c r="C56" t="inlineStr">
        <is>
          <t>Power circuit</t>
        </is>
      </c>
      <c r="D56" t="inlineStr">
        <is>
          <t>MH-DC-002</t>
        </is>
      </c>
      <c r="E56" t="inlineStr">
        <is>
          <t>MH-DC-002-TN-029</t>
        </is>
      </c>
      <c r="F56" t="inlineStr">
        <is>
          <t>RACK-G · PDU A+B</t>
        </is>
      </c>
      <c r="I56" t="n">
        <v>17</v>
      </c>
      <c r="J56" t="inlineStr">
        <is>
          <t>kW</t>
        </is>
      </c>
      <c r="K56" t="n">
        <v>10000</v>
      </c>
      <c r="L56" t="n">
        <v>99.999</v>
      </c>
      <c r="M56" s="24" t="n">
        <v>153000</v>
      </c>
      <c r="N56" t="inlineStr">
        <is>
          <t>Y</t>
        </is>
      </c>
      <c r="O56" s="18" t="n"/>
    </row>
    <row r="57">
      <c r="A57" t="inlineStr">
        <is>
          <t>SVC-XC-1155</t>
        </is>
      </c>
      <c r="B57" t="inlineStr">
        <is>
          <t>CUST-2954</t>
        </is>
      </c>
      <c r="C57" t="inlineStr">
        <is>
          <t>Cross-connect</t>
        </is>
      </c>
      <c r="D57" t="inlineStr">
        <is>
          <t>MH-DC-002</t>
        </is>
      </c>
      <c r="E57" t="inlineStr">
        <is>
          <t>MH-DC-002-MMR-SW-02</t>
        </is>
      </c>
      <c r="F57" t="inlineStr">
        <is>
          <t>MMR panel 4 · P29</t>
        </is>
      </c>
      <c r="I57" t="n">
        <v>10000</v>
      </c>
      <c r="J57" t="inlineStr">
        <is>
          <t>Mbps</t>
        </is>
      </c>
      <c r="K57" t="n">
        <v>10000</v>
      </c>
      <c r="L57" t="n">
        <v>99.999</v>
      </c>
      <c r="M57" s="24" t="n">
        <v>40000</v>
      </c>
      <c r="N57" t="inlineStr">
        <is>
          <t>Y</t>
        </is>
      </c>
      <c r="O57" s="18" t="n"/>
    </row>
    <row r="58">
      <c r="A58" t="inlineStr">
        <is>
          <t>SVC-XC-1156</t>
        </is>
      </c>
      <c r="B58" t="inlineStr">
        <is>
          <t>CUST-2954</t>
        </is>
      </c>
      <c r="C58" t="inlineStr">
        <is>
          <t>Cross-connect</t>
        </is>
      </c>
      <c r="D58" t="inlineStr">
        <is>
          <t>MH-DC-002</t>
        </is>
      </c>
      <c r="E58" t="inlineStr">
        <is>
          <t>MH-DC-002-MMR-SW-03</t>
        </is>
      </c>
      <c r="F58" t="inlineStr">
        <is>
          <t>MMR panel 7 · P16</t>
        </is>
      </c>
      <c r="I58" t="n">
        <v>1000</v>
      </c>
      <c r="J58" t="inlineStr">
        <is>
          <t>Mbps</t>
        </is>
      </c>
      <c r="K58" t="n">
        <v>1000</v>
      </c>
      <c r="L58" t="n">
        <v>99.999</v>
      </c>
      <c r="M58" s="24" t="n">
        <v>4000</v>
      </c>
      <c r="N58" t="inlineStr">
        <is>
          <t>Y</t>
        </is>
      </c>
      <c r="O58" s="18" t="n"/>
    </row>
    <row r="59">
      <c r="A59" t="inlineStr">
        <is>
          <t>SVC-CB-1157</t>
        </is>
      </c>
      <c r="B59" t="inlineStr">
        <is>
          <t>CUST-1202</t>
        </is>
      </c>
      <c r="C59" t="inlineStr">
        <is>
          <t>Cabinet lease</t>
        </is>
      </c>
      <c r="D59" t="inlineStr">
        <is>
          <t>MH-DC-002</t>
        </is>
      </c>
      <c r="E59" t="inlineStr">
        <is>
          <t>MH-DC-002-TN-034</t>
        </is>
      </c>
      <c r="F59" t="inlineStr">
        <is>
          <t>RACK-H, RACK-I</t>
        </is>
      </c>
      <c r="I59" t="n">
        <v>2</v>
      </c>
      <c r="J59" t="inlineStr">
        <is>
          <t>cabinets</t>
        </is>
      </c>
      <c r="K59" t="n">
        <v>10000</v>
      </c>
      <c r="L59" t="n">
        <v>99.999</v>
      </c>
      <c r="M59" s="24" t="n">
        <v>240000</v>
      </c>
      <c r="N59" t="inlineStr">
        <is>
          <t>Y</t>
        </is>
      </c>
      <c r="O59" s="18" t="n"/>
    </row>
    <row r="60">
      <c r="A60" t="inlineStr">
        <is>
          <t>SVC-PW-1158</t>
        </is>
      </c>
      <c r="B60" t="inlineStr">
        <is>
          <t>CUST-1202</t>
        </is>
      </c>
      <c r="C60" t="inlineStr">
        <is>
          <t>Power circuit</t>
        </is>
      </c>
      <c r="D60" t="inlineStr">
        <is>
          <t>MH-DC-002</t>
        </is>
      </c>
      <c r="E60" t="inlineStr">
        <is>
          <t>MH-DC-002-TN-034</t>
        </is>
      </c>
      <c r="F60" t="inlineStr">
        <is>
          <t>RACK-H · PDU A+B</t>
        </is>
      </c>
      <c r="I60" t="n">
        <v>40</v>
      </c>
      <c r="J60" t="inlineStr">
        <is>
          <t>kW</t>
        </is>
      </c>
      <c r="K60" t="n">
        <v>10000</v>
      </c>
      <c r="L60" t="n">
        <v>99.999</v>
      </c>
      <c r="M60" s="24" t="n">
        <v>360000</v>
      </c>
      <c r="N60" t="inlineStr">
        <is>
          <t>Y</t>
        </is>
      </c>
      <c r="O60" s="18" t="n"/>
    </row>
    <row r="61">
      <c r="A61" t="inlineStr">
        <is>
          <t>SVC-PW-1159</t>
        </is>
      </c>
      <c r="B61" t="inlineStr">
        <is>
          <t>CUST-1202</t>
        </is>
      </c>
      <c r="C61" t="inlineStr">
        <is>
          <t>Power circuit</t>
        </is>
      </c>
      <c r="D61" t="inlineStr">
        <is>
          <t>MH-DC-002</t>
        </is>
      </c>
      <c r="E61" t="inlineStr">
        <is>
          <t>MH-DC-002-TN-039</t>
        </is>
      </c>
      <c r="F61" t="inlineStr">
        <is>
          <t>RACK-I · PDU A+B</t>
        </is>
      </c>
      <c r="I61" t="n">
        <v>8</v>
      </c>
      <c r="J61" t="inlineStr">
        <is>
          <t>kW</t>
        </is>
      </c>
      <c r="K61" t="n">
        <v>10000</v>
      </c>
      <c r="L61" t="n">
        <v>99.999</v>
      </c>
      <c r="M61" s="24" t="n">
        <v>72000</v>
      </c>
      <c r="N61" t="inlineStr">
        <is>
          <t>Y</t>
        </is>
      </c>
      <c r="O61" s="18" t="n"/>
    </row>
    <row r="62">
      <c r="A62" t="inlineStr">
        <is>
          <t>SVC-XC-1160</t>
        </is>
      </c>
      <c r="B62" t="inlineStr">
        <is>
          <t>CUST-1202</t>
        </is>
      </c>
      <c r="C62" t="inlineStr">
        <is>
          <t>Cross-connect</t>
        </is>
      </c>
      <c r="D62" t="inlineStr">
        <is>
          <t>MH-DC-002</t>
        </is>
      </c>
      <c r="E62" t="inlineStr">
        <is>
          <t>MH-DC-002-MMR-SW-01</t>
        </is>
      </c>
      <c r="F62" t="inlineStr">
        <is>
          <t>MMR panel 5 · P9</t>
        </is>
      </c>
      <c r="I62" t="n">
        <v>10000</v>
      </c>
      <c r="J62" t="inlineStr">
        <is>
          <t>Mbps</t>
        </is>
      </c>
      <c r="K62" t="n">
        <v>10000</v>
      </c>
      <c r="L62" t="n">
        <v>99.999</v>
      </c>
      <c r="M62" s="24" t="n">
        <v>40000</v>
      </c>
      <c r="N62" t="inlineStr">
        <is>
          <t>Y</t>
        </is>
      </c>
      <c r="O62" s="18" t="n"/>
    </row>
    <row r="63">
      <c r="A63" t="inlineStr">
        <is>
          <t>SVC-XC-1161</t>
        </is>
      </c>
      <c r="B63" t="inlineStr">
        <is>
          <t>CUST-1202</t>
        </is>
      </c>
      <c r="C63" t="inlineStr">
        <is>
          <t>Cross-connect</t>
        </is>
      </c>
      <c r="D63" t="inlineStr">
        <is>
          <t>MH-DC-002</t>
        </is>
      </c>
      <c r="E63" t="inlineStr">
        <is>
          <t>MH-DC-002-MMR-SW-02</t>
        </is>
      </c>
      <c r="F63" t="inlineStr">
        <is>
          <t>MMR panel 10 · P21</t>
        </is>
      </c>
      <c r="I63" t="n">
        <v>10000</v>
      </c>
      <c r="J63" t="inlineStr">
        <is>
          <t>Mbps</t>
        </is>
      </c>
      <c r="K63" t="n">
        <v>10000</v>
      </c>
      <c r="L63" t="n">
        <v>99.999</v>
      </c>
      <c r="M63" s="24" t="n">
        <v>40000</v>
      </c>
      <c r="N63" t="inlineStr">
        <is>
          <t>Y</t>
        </is>
      </c>
      <c r="O63" s="18" t="n"/>
    </row>
  </sheetData>
  <autoFilter ref="A1:O63"/>
  <dataValidations count="3">
    <dataValidation sqref="C2:C2000" showDropDown="0" showInputMessage="0" showErrorMessage="1" allowBlank="1" errorTitle="Not an allowed value" error="Pick a value from the list (Lookups → service_type)." type="list">
      <formula1>=L_service_type</formula1>
    </dataValidation>
    <dataValidation sqref="J2:J2000" showDropDown="0" showInputMessage="0" showErrorMessage="1" allowBlank="1" errorTitle="Not an allowed value" error="Pick a value from the list (Lookups → service_unit)." type="list">
      <formula1>=L_service_unit</formula1>
    </dataValidation>
    <dataValidation sqref="N2:N2000" showDropDown="0" showInputMessage="0" showErrorMessage="1" allowBlank="1" errorTitle="Not an allowed value" error="Pick a value from the list (Lookups → yes_no)." type="list">
      <formula1>=L_yes_no</formula1>
    </dataValidation>
  </dataValidations>
  <pageMargins left="0.75" right="0.75" top="1" bottom="1" header="0.5" footer="0.5"/>
  <legacyDrawing xmlns:r="http://schemas.openxmlformats.org/officeDocument/2006/relationships" r:id="anysvml"/>
</worksheet>
</file>

<file path=xl/worksheets/sheet28.xml><?xml version="1.0" encoding="utf-8"?>
<worksheet xmlns="http://schemas.openxmlformats.org/spreadsheetml/2006/main">
  <sheetPr>
    <tabColor rgb="002E6BD9"/>
    <outlinePr summaryBelow="1" summaryRight="1"/>
    <pageSetUpPr/>
  </sheetPr>
  <dimension ref="A1:G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18" customWidth="1" min="3" max="3"/>
    <col width="13" customWidth="1" min="4" max="4"/>
    <col width="11" customWidth="1" min="5" max="5"/>
    <col width="12" customWidth="1" min="6" max="6"/>
    <col width="11" customWidth="1" min="7" max="7"/>
  </cols>
  <sheetData>
    <row r="1" ht="30" customHeight="1">
      <c r="A1" s="16" t="inlineStr">
        <is>
          <t>collector_id *</t>
        </is>
      </c>
      <c r="B1" s="16" t="inlineStr">
        <is>
          <t>site_id *</t>
        </is>
      </c>
      <c r="C1" s="16" t="inlineStr">
        <is>
          <t>name *</t>
        </is>
      </c>
      <c r="D1" s="16" t="inlineStr">
        <is>
          <t>protocol *</t>
        </is>
      </c>
      <c r="E1" s="16" t="inlineStr">
        <is>
          <t>domain *</t>
        </is>
      </c>
      <c r="F1" s="17" t="inlineStr">
        <is>
          <t>host_ip</t>
        </is>
      </c>
      <c r="G1" s="17" t="inlineStr">
        <is>
          <t>covers</t>
        </is>
      </c>
    </row>
    <row r="2">
      <c r="A2" t="inlineStr">
        <is>
          <t>COL-MH-DC-001-1</t>
        </is>
      </c>
      <c r="B2" t="inlineStr">
        <is>
          <t>MH-DC-001</t>
        </is>
      </c>
      <c r="C2" t="inlineStr">
        <is>
          <t>Collector Pune A</t>
        </is>
      </c>
      <c r="D2" t="inlineStr">
        <is>
          <t>gNMI</t>
        </is>
      </c>
      <c r="E2" t="inlineStr">
        <is>
          <t>Network</t>
        </is>
      </c>
    </row>
    <row r="3">
      <c r="A3" t="inlineStr">
        <is>
          <t>COL-MH-DC-001-2</t>
        </is>
      </c>
      <c r="B3" t="inlineStr">
        <is>
          <t>MH-DC-001</t>
        </is>
      </c>
      <c r="C3" t="inlineStr">
        <is>
          <t>Collector Pune B</t>
        </is>
      </c>
      <c r="D3" t="inlineStr">
        <is>
          <t>gNMI</t>
        </is>
      </c>
      <c r="E3" t="inlineStr">
        <is>
          <t>Network</t>
        </is>
      </c>
    </row>
    <row r="4">
      <c r="A4" t="inlineStr">
        <is>
          <t>COL-MH-DC-002-1</t>
        </is>
      </c>
      <c r="B4" t="inlineStr">
        <is>
          <t>MH-DC-002</t>
        </is>
      </c>
      <c r="C4" t="inlineStr">
        <is>
          <t>Collector Pune A</t>
        </is>
      </c>
      <c r="D4" t="inlineStr">
        <is>
          <t>gNMI</t>
        </is>
      </c>
      <c r="E4" t="inlineStr">
        <is>
          <t>Network</t>
        </is>
      </c>
    </row>
    <row r="5">
      <c r="A5" t="inlineStr">
        <is>
          <t>COL-MH-DC-002-2</t>
        </is>
      </c>
      <c r="B5" t="inlineStr">
        <is>
          <t>MH-DC-002</t>
        </is>
      </c>
      <c r="C5" t="inlineStr">
        <is>
          <t>Collector Pune B</t>
        </is>
      </c>
      <c r="D5" t="inlineStr">
        <is>
          <t>gNMI</t>
        </is>
      </c>
      <c r="E5" t="inlineStr">
        <is>
          <t>Network</t>
        </is>
      </c>
    </row>
  </sheetData>
  <autoFilter ref="A1:G5"/>
  <dataValidations count="2">
    <dataValidation sqref="D2:D2000" showDropDown="0" showInputMessage="0" showErrorMessage="1" allowBlank="1" errorTitle="Not an allowed value" error="Pick a value from the list (Lookups → collector_protocol)." type="list">
      <formula1>=L_collector_protocol</formula1>
    </dataValidation>
    <dataValidation sqref="E2:E2000" showDropDown="0" showInputMessage="0" showErrorMessage="1" allowBlank="1" errorTitle="Not an allowed value" error="Pick a value from the list (Lookups → collector_domain)." type="list">
      <formula1>=L_collector_domain</formula1>
    </dataValidation>
  </dataValidations>
  <pageMargins left="0.75" right="0.75" top="1" bottom="1" header="0.5" footer="0.5"/>
  <legacyDrawing xmlns:r="http://schemas.openxmlformats.org/officeDocument/2006/relationships" r:id="anysvml"/>
</worksheet>
</file>

<file path=xl/worksheets/sheet29.xml><?xml version="1.0" encoding="utf-8"?>
<worksheet xmlns="http://schemas.openxmlformats.org/spreadsheetml/2006/main">
  <sheetPr>
    <tabColor rgb="002E6BD9"/>
    <outlinePr summaryBelow="1" summaryRight="1"/>
    <pageSetUpPr/>
  </sheetPr>
  <dimension ref="A1:H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17" customWidth="1" min="3" max="3"/>
    <col width="18" customWidth="1" min="4" max="4"/>
    <col width="20" customWidth="1" min="5" max="5"/>
    <col width="17" customWidth="1" min="6" max="6"/>
    <col width="20" customWidth="1" min="7" max="7"/>
    <col width="16" customWidth="1" min="8" max="8"/>
  </cols>
  <sheetData>
    <row r="1" ht="30" customHeight="1">
      <c r="A1" s="16" t="inlineStr">
        <is>
          <t>zone_id *</t>
        </is>
      </c>
      <c r="B1" s="16" t="inlineStr">
        <is>
          <t>site_id *</t>
        </is>
      </c>
      <c r="C1" s="16" t="inlineStr">
        <is>
          <t>room_id *</t>
        </is>
      </c>
      <c r="D1" s="16" t="inlineStr">
        <is>
          <t>detection *</t>
        </is>
      </c>
      <c r="E1" s="16" t="inlineStr">
        <is>
          <t>suppression *</t>
        </is>
      </c>
      <c r="F1" s="16" t="inlineStr">
        <is>
          <t>release_mode *</t>
        </is>
      </c>
      <c r="G1" s="16" t="inlineStr">
        <is>
          <t>last_inspection *</t>
        </is>
      </c>
      <c r="H1" s="17" t="inlineStr">
        <is>
          <t>panel_point</t>
        </is>
      </c>
    </row>
    <row r="2">
      <c r="A2" t="inlineStr">
        <is>
          <t>MH-DC-001-FZ-01</t>
        </is>
      </c>
      <c r="B2" t="inlineStr">
        <is>
          <t>MH-DC-001</t>
        </is>
      </c>
      <c r="C2" t="inlineStr">
        <is>
          <t>MH-DC-001-F0-R1</t>
        </is>
      </c>
      <c r="D2" t="inlineStr">
        <is>
          <t>VESDA aspirating</t>
        </is>
      </c>
      <c r="E2" t="inlineStr">
        <is>
          <t>Inert gas (IG-541)</t>
        </is>
      </c>
      <c r="F2" t="inlineStr">
        <is>
          <t>Armed (auto)</t>
        </is>
      </c>
      <c r="G2" s="18" t="n">
        <v>46232</v>
      </c>
    </row>
    <row r="3">
      <c r="A3" t="inlineStr">
        <is>
          <t>MH-DC-001-FZ-02</t>
        </is>
      </c>
      <c r="B3" t="inlineStr">
        <is>
          <t>MH-DC-001</t>
        </is>
      </c>
      <c r="C3" t="inlineStr">
        <is>
          <t>MH-DC-001-F0-R2</t>
        </is>
      </c>
      <c r="D3" t="inlineStr">
        <is>
          <t>VESDA aspirating</t>
        </is>
      </c>
      <c r="E3" t="inlineStr">
        <is>
          <t>Novec 1230 gas</t>
        </is>
      </c>
      <c r="F3" t="inlineStr">
        <is>
          <t>Armed (auto)</t>
        </is>
      </c>
      <c r="G3" s="18" t="n">
        <v>46258</v>
      </c>
    </row>
    <row r="4">
      <c r="A4" t="inlineStr">
        <is>
          <t>MH-DC-001-FZ-03</t>
        </is>
      </c>
      <c r="B4" t="inlineStr">
        <is>
          <t>MH-DC-001</t>
        </is>
      </c>
      <c r="C4" t="inlineStr">
        <is>
          <t>MH-DC-001-F1-R1</t>
        </is>
      </c>
      <c r="D4" t="inlineStr">
        <is>
          <t>VESDA aspirating</t>
        </is>
      </c>
      <c r="E4" t="inlineStr">
        <is>
          <t>Inert gas (IG-541)</t>
        </is>
      </c>
      <c r="F4" t="inlineStr">
        <is>
          <t>Armed (auto)</t>
        </is>
      </c>
      <c r="G4" s="18" t="n">
        <v>46235</v>
      </c>
    </row>
    <row r="5">
      <c r="A5" t="inlineStr">
        <is>
          <t>MH-DC-001-FZ-04</t>
        </is>
      </c>
      <c r="B5" t="inlineStr">
        <is>
          <t>MH-DC-001</t>
        </is>
      </c>
      <c r="C5" t="inlineStr">
        <is>
          <t>MH-DC-001-F1-R2</t>
        </is>
      </c>
      <c r="D5" t="inlineStr">
        <is>
          <t>VESDA aspirating</t>
        </is>
      </c>
      <c r="E5" t="inlineStr">
        <is>
          <t>Novec 1230 gas</t>
        </is>
      </c>
      <c r="F5" t="inlineStr">
        <is>
          <t>Armed (auto)</t>
        </is>
      </c>
      <c r="G5" s="18" t="n">
        <v>46203</v>
      </c>
    </row>
    <row r="6">
      <c r="A6" t="inlineStr">
        <is>
          <t>MH-DC-002-FZ-01</t>
        </is>
      </c>
      <c r="B6" t="inlineStr">
        <is>
          <t>MH-DC-002</t>
        </is>
      </c>
      <c r="C6" t="inlineStr">
        <is>
          <t>MH-DC-002-F0-R1</t>
        </is>
      </c>
      <c r="D6" t="inlineStr">
        <is>
          <t>VESDA aspirating</t>
        </is>
      </c>
      <c r="E6" t="inlineStr">
        <is>
          <t>Inert gas (IG-541)</t>
        </is>
      </c>
      <c r="F6" t="inlineStr">
        <is>
          <t>Armed (auto)</t>
        </is>
      </c>
      <c r="G6" s="18" t="n">
        <v>46283</v>
      </c>
    </row>
    <row r="7">
      <c r="A7" t="inlineStr">
        <is>
          <t>MH-DC-002-FZ-02</t>
        </is>
      </c>
      <c r="B7" t="inlineStr">
        <is>
          <t>MH-DC-002</t>
        </is>
      </c>
      <c r="C7" t="inlineStr">
        <is>
          <t>MH-DC-002-F0-R2</t>
        </is>
      </c>
      <c r="D7" t="inlineStr">
        <is>
          <t>VESDA aspirating</t>
        </is>
      </c>
      <c r="E7" t="inlineStr">
        <is>
          <t>Inert gas (IG-541)</t>
        </is>
      </c>
      <c r="F7" t="inlineStr">
        <is>
          <t>Armed (auto)</t>
        </is>
      </c>
      <c r="G7" s="18" t="n">
        <v>46241</v>
      </c>
    </row>
    <row r="8">
      <c r="A8" t="inlineStr">
        <is>
          <t>MH-DC-002-FZ-03</t>
        </is>
      </c>
      <c r="B8" t="inlineStr">
        <is>
          <t>MH-DC-002</t>
        </is>
      </c>
      <c r="C8" t="inlineStr">
        <is>
          <t>MH-DC-002-F1-R1</t>
        </is>
      </c>
      <c r="D8" t="inlineStr">
        <is>
          <t>VESDA aspirating</t>
        </is>
      </c>
      <c r="E8" t="inlineStr">
        <is>
          <t>Novec 1230 gas</t>
        </is>
      </c>
      <c r="F8" t="inlineStr">
        <is>
          <t>Armed (auto)</t>
        </is>
      </c>
      <c r="G8" s="18" t="n">
        <v>46259</v>
      </c>
    </row>
    <row r="9">
      <c r="A9" t="inlineStr">
        <is>
          <t>MH-DC-002-FZ-04</t>
        </is>
      </c>
      <c r="B9" t="inlineStr">
        <is>
          <t>MH-DC-002</t>
        </is>
      </c>
      <c r="C9" t="inlineStr">
        <is>
          <t>MH-DC-002-F1-R2</t>
        </is>
      </c>
      <c r="D9" t="inlineStr">
        <is>
          <t>VESDA aspirating</t>
        </is>
      </c>
      <c r="E9" t="inlineStr">
        <is>
          <t>Novec 1230 gas</t>
        </is>
      </c>
      <c r="F9" t="inlineStr">
        <is>
          <t>Armed (auto)</t>
        </is>
      </c>
      <c r="G9" s="18" t="n">
        <v>46216</v>
      </c>
    </row>
  </sheetData>
  <autoFilter ref="A1:H9"/>
  <dataValidations count="3">
    <dataValidation sqref="D2:D2000" showDropDown="0" showInputMessage="0" showErrorMessage="1" allowBlank="1" errorTitle="Not an allowed value" error="Pick a value from the list (Lookups → detection)." type="list">
      <formula1>=L_detection</formula1>
    </dataValidation>
    <dataValidation sqref="E2:E2000" showDropDown="0" showInputMessage="0" showErrorMessage="1" allowBlank="1" errorTitle="Not an allowed value" error="Pick a value from the list (Lookups → suppression)." type="list">
      <formula1>=L_suppression</formula1>
    </dataValidation>
    <dataValidation sqref="F2:F2000" showDropDown="0" showInputMessage="0" showErrorMessage="1" allowBlank="1" errorTitle="Not an allowed value" error="Pick a value from the list (Lookups → release_mode)." type="list">
      <formula1>=L_release_mode</formula1>
    </dataValidation>
  </dataValidations>
  <pageMargins left="0.75" right="0.75" top="1" bottom="1" header="0.5" footer="0.5"/>
  <legacyDrawing xmlns:r="http://schemas.openxmlformats.org/officeDocument/2006/relationships" r:id="anysvml"/>
</worksheet>
</file>

<file path=xl/worksheets/sheet30.xml><?xml version="1.0" encoding="utf-8"?>
<worksheet xmlns="http://schemas.openxmlformats.org/spreadsheetml/2006/main">
  <sheetPr>
    <tabColor rgb="002E6BD9"/>
    <outlinePr summaryBelow="1" summaryRight="1"/>
    <pageSetUpPr/>
  </sheetPr>
  <dimension ref="A1:F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17" customWidth="1" min="3" max="3"/>
    <col width="33" customWidth="1" min="4" max="4"/>
    <col width="13" customWidth="1" min="5" max="5"/>
    <col width="14" customWidth="1" min="6" max="6"/>
  </cols>
  <sheetData>
    <row r="1" ht="30" customHeight="1">
      <c r="A1" s="16" t="inlineStr">
        <is>
          <t>zone_id *</t>
        </is>
      </c>
      <c r="B1" s="16" t="inlineStr">
        <is>
          <t>site_id *</t>
        </is>
      </c>
      <c r="C1" s="16" t="inlineStr">
        <is>
          <t>room_id *</t>
        </is>
      </c>
      <c r="D1" s="16" t="inlineStr">
        <is>
          <t>guards *</t>
        </is>
      </c>
      <c r="E1" s="17" t="inlineStr">
        <is>
          <t>length_m</t>
        </is>
      </c>
      <c r="F1" s="17" t="inlineStr">
        <is>
          <t>last_test</t>
        </is>
      </c>
    </row>
    <row r="2">
      <c r="A2" t="inlineStr">
        <is>
          <t>MH-DC-001-LK-01</t>
        </is>
      </c>
      <c r="B2" t="inlineStr">
        <is>
          <t>MH-DC-001</t>
        </is>
      </c>
      <c r="C2" t="inlineStr">
        <is>
          <t>MH-DC-001-F0-R1</t>
        </is>
      </c>
      <c r="D2" t="inlineStr">
        <is>
          <t>Under CRAH-11, CRAH-15</t>
        </is>
      </c>
      <c r="E2" t="n">
        <v>14</v>
      </c>
      <c r="F2" s="18" t="n">
        <v>46259</v>
      </c>
    </row>
    <row r="3">
      <c r="A3" t="inlineStr">
        <is>
          <t>MH-DC-001-LK-02</t>
        </is>
      </c>
      <c r="B3" t="inlineStr">
        <is>
          <t>MH-DC-001</t>
        </is>
      </c>
      <c r="C3" t="inlineStr">
        <is>
          <t>MH-DC-001-F0-R2</t>
        </is>
      </c>
      <c r="D3" t="inlineStr">
        <is>
          <t>Under CRAH-12, CRAH-16</t>
        </is>
      </c>
      <c r="E3" t="n">
        <v>14</v>
      </c>
      <c r="F3" s="18" t="n">
        <v>46264</v>
      </c>
    </row>
    <row r="4">
      <c r="A4" t="inlineStr">
        <is>
          <t>MH-DC-001-LK-03</t>
        </is>
      </c>
      <c r="B4" t="inlineStr">
        <is>
          <t>MH-DC-001</t>
        </is>
      </c>
      <c r="C4" t="inlineStr">
        <is>
          <t>MH-DC-001-F1-R1</t>
        </is>
      </c>
      <c r="D4" t="inlineStr">
        <is>
          <t>Under CRAH-13, CRAH-17</t>
        </is>
      </c>
      <c r="E4" t="n">
        <v>14</v>
      </c>
      <c r="F4" s="18" t="n">
        <v>46142</v>
      </c>
    </row>
    <row r="5">
      <c r="A5" t="inlineStr">
        <is>
          <t>MH-DC-001-LK-04</t>
        </is>
      </c>
      <c r="B5" t="inlineStr">
        <is>
          <t>MH-DC-001</t>
        </is>
      </c>
      <c r="C5" t="inlineStr">
        <is>
          <t>MH-DC-001-F1-R2</t>
        </is>
      </c>
      <c r="D5" t="inlineStr">
        <is>
          <t>Under CRAH-14, CRAH-18</t>
        </is>
      </c>
      <c r="E5" t="n">
        <v>16</v>
      </c>
      <c r="F5" s="18" t="n">
        <v>46151</v>
      </c>
    </row>
    <row r="6">
      <c r="A6" t="inlineStr">
        <is>
          <t>MH-DC-002-LK-01</t>
        </is>
      </c>
      <c r="B6" t="inlineStr">
        <is>
          <t>MH-DC-002</t>
        </is>
      </c>
      <c r="C6" t="inlineStr">
        <is>
          <t>MH-DC-002-F0-R1</t>
        </is>
      </c>
      <c r="D6" t="inlineStr">
        <is>
          <t>Under CRAH-11, CRAH-15</t>
        </is>
      </c>
      <c r="E6" t="n">
        <v>16</v>
      </c>
      <c r="F6" s="18" t="n">
        <v>46167</v>
      </c>
    </row>
    <row r="7">
      <c r="A7" t="inlineStr">
        <is>
          <t>MH-DC-002-LK-02</t>
        </is>
      </c>
      <c r="B7" t="inlineStr">
        <is>
          <t>MH-DC-002</t>
        </is>
      </c>
      <c r="C7" t="inlineStr">
        <is>
          <t>MH-DC-002-F0-R1</t>
        </is>
      </c>
      <c r="D7" t="inlineStr">
        <is>
          <t>CDU-1 manifold · 2 liquid racks</t>
        </is>
      </c>
      <c r="E7" t="n">
        <v>10</v>
      </c>
      <c r="F7" s="18" t="n">
        <v>46259</v>
      </c>
    </row>
    <row r="8">
      <c r="A8" t="inlineStr">
        <is>
          <t>MH-DC-002-LK-03</t>
        </is>
      </c>
      <c r="B8" t="inlineStr">
        <is>
          <t>MH-DC-002</t>
        </is>
      </c>
      <c r="C8" t="inlineStr">
        <is>
          <t>MH-DC-002-F0-R2</t>
        </is>
      </c>
      <c r="D8" t="inlineStr">
        <is>
          <t>Under CRAH-12, CRAH-16</t>
        </is>
      </c>
      <c r="E8" t="n">
        <v>18</v>
      </c>
      <c r="F8" s="18" t="n">
        <v>46159</v>
      </c>
    </row>
    <row r="9">
      <c r="A9" t="inlineStr">
        <is>
          <t>MH-DC-002-LK-04</t>
        </is>
      </c>
      <c r="B9" t="inlineStr">
        <is>
          <t>MH-DC-002</t>
        </is>
      </c>
      <c r="C9" t="inlineStr">
        <is>
          <t>MH-DC-002-F1-R1</t>
        </is>
      </c>
      <c r="D9" t="inlineStr">
        <is>
          <t>Under CRAH-13, CRAH-17</t>
        </is>
      </c>
      <c r="E9" t="n">
        <v>20</v>
      </c>
      <c r="F9" s="18" t="n">
        <v>46217</v>
      </c>
    </row>
    <row r="10">
      <c r="A10" t="inlineStr">
        <is>
          <t>MH-DC-002-LK-05</t>
        </is>
      </c>
      <c r="B10" t="inlineStr">
        <is>
          <t>MH-DC-002</t>
        </is>
      </c>
      <c r="C10" t="inlineStr">
        <is>
          <t>MH-DC-002-F1-R1</t>
        </is>
      </c>
      <c r="D10" t="inlineStr">
        <is>
          <t>1 liquid rack</t>
        </is>
      </c>
      <c r="E10" t="n">
        <v>7</v>
      </c>
      <c r="F10" s="18" t="n">
        <v>46224</v>
      </c>
    </row>
    <row r="11">
      <c r="A11" t="inlineStr">
        <is>
          <t>MH-DC-002-LK-06</t>
        </is>
      </c>
      <c r="B11" t="inlineStr">
        <is>
          <t>MH-DC-002</t>
        </is>
      </c>
      <c r="C11" t="inlineStr">
        <is>
          <t>MH-DC-002-F1-R2</t>
        </is>
      </c>
      <c r="D11" t="inlineStr">
        <is>
          <t>Under CRAH-14, CRAH-18</t>
        </is>
      </c>
      <c r="E11" t="n">
        <v>18</v>
      </c>
      <c r="F11" s="18" t="n">
        <v>46143</v>
      </c>
    </row>
  </sheetData>
  <autoFilter ref="A1:F11"/>
  <pageMargins left="0.75" right="0.75" top="1" bottom="1" header="0.5" footer="0.5"/>
  <legacyDrawing xmlns:r="http://schemas.openxmlformats.org/officeDocument/2006/relationships" r:id="anysvml"/>
</worksheet>
</file>

<file path=xl/worksheets/sheet31.xml><?xml version="1.0" encoding="utf-8"?>
<worksheet xmlns="http://schemas.openxmlformats.org/spreadsheetml/2006/main">
  <sheetPr>
    <tabColor rgb="002E6BD9"/>
    <outlinePr summaryBelow="1" summaryRight="1"/>
    <pageSetUpPr/>
  </sheetPr>
  <dimension ref="A1:G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31" customWidth="1" min="3" max="3"/>
    <col width="17" customWidth="1" min="4" max="4"/>
    <col width="19" customWidth="1" min="5" max="5"/>
    <col width="18" customWidth="1" min="6" max="6"/>
    <col width="23" customWidth="1" min="7" max="7"/>
  </cols>
  <sheetData>
    <row r="1" ht="30" customHeight="1">
      <c r="A1" s="16" t="inlineStr">
        <is>
          <t>door_id *</t>
        </is>
      </c>
      <c r="B1" s="16" t="inlineStr">
        <is>
          <t>site_id *</t>
        </is>
      </c>
      <c r="C1" s="16" t="inlineStr">
        <is>
          <t>name *</t>
        </is>
      </c>
      <c r="D1" s="17" t="inlineStr">
        <is>
          <t>room_id</t>
        </is>
      </c>
      <c r="E1" s="16" t="inlineStr">
        <is>
          <t>kind *</t>
        </is>
      </c>
      <c r="F1" s="16" t="inlineStr">
        <is>
          <t>reader *</t>
        </is>
      </c>
      <c r="G1" s="19" t="inlineStr">
        <is>
          <t>tenant_customer_id</t>
        </is>
      </c>
    </row>
    <row r="2">
      <c r="A2" t="inlineStr">
        <is>
          <t>MH-DC-001-DR-01</t>
        </is>
      </c>
      <c r="B2" t="inlineStr">
        <is>
          <t>MH-DC-001</t>
        </is>
      </c>
      <c r="C2" t="inlineStr">
        <is>
          <t>Main entrance · mantrap</t>
        </is>
      </c>
      <c r="E2" t="inlineStr">
        <is>
          <t>Building entry</t>
        </is>
      </c>
      <c r="F2" t="inlineStr">
        <is>
          <t>Card + biometric</t>
        </is>
      </c>
    </row>
    <row r="3">
      <c r="A3" t="inlineStr">
        <is>
          <t>MH-DC-001-DR-02</t>
        </is>
      </c>
      <c r="B3" t="inlineStr">
        <is>
          <t>MH-DC-001</t>
        </is>
      </c>
      <c r="C3" t="inlineStr">
        <is>
          <t>Meet-me room door</t>
        </is>
      </c>
      <c r="D3" t="inlineStr">
        <is>
          <t>MH-DC-001-F0-R1</t>
        </is>
      </c>
      <c r="E3" t="inlineStr">
        <is>
          <t>Meet-me room door</t>
        </is>
      </c>
      <c r="F3" t="inlineStr">
        <is>
          <t>Card + biometric</t>
        </is>
      </c>
    </row>
    <row r="4">
      <c r="A4" t="inlineStr">
        <is>
          <t>MH-DC-001-DR-03</t>
        </is>
      </c>
      <c r="B4" t="inlineStr">
        <is>
          <t>MH-DC-001</t>
        </is>
      </c>
      <c r="C4" t="inlineStr">
        <is>
          <t>Hall A door</t>
        </is>
      </c>
      <c r="D4" t="inlineStr">
        <is>
          <t>MH-DC-001-F0-R2</t>
        </is>
      </c>
      <c r="E4" t="inlineStr">
        <is>
          <t>Data hall door</t>
        </is>
      </c>
      <c r="F4" t="inlineStr">
        <is>
          <t>Card + biometric</t>
        </is>
      </c>
    </row>
    <row r="5">
      <c r="A5" t="inlineStr">
        <is>
          <t>MH-DC-001-DR-04</t>
        </is>
      </c>
      <c r="B5" t="inlineStr">
        <is>
          <t>MH-DC-001</t>
        </is>
      </c>
      <c r="C5" t="inlineStr">
        <is>
          <t>Hall B door</t>
        </is>
      </c>
      <c r="D5" t="inlineStr">
        <is>
          <t>MH-DC-001-F1-R1</t>
        </is>
      </c>
      <c r="E5" t="inlineStr">
        <is>
          <t>Data hall door</t>
        </is>
      </c>
      <c r="F5" t="inlineStr">
        <is>
          <t>Card + biometric</t>
        </is>
      </c>
    </row>
    <row r="6">
      <c r="A6" t="inlineStr">
        <is>
          <t>MH-DC-001-DR-05</t>
        </is>
      </c>
      <c r="B6" t="inlineStr">
        <is>
          <t>MH-DC-001</t>
        </is>
      </c>
      <c r="C6" t="inlineStr">
        <is>
          <t>Hall C door</t>
        </is>
      </c>
      <c r="D6" t="inlineStr">
        <is>
          <t>MH-DC-001-F1-R2</t>
        </is>
      </c>
      <c r="E6" t="inlineStr">
        <is>
          <t>Data hall door</t>
        </is>
      </c>
      <c r="F6" t="inlineStr">
        <is>
          <t>Card + biometric</t>
        </is>
      </c>
    </row>
    <row r="7">
      <c r="A7" t="inlineStr">
        <is>
          <t>MH-DC-001-DR-06</t>
        </is>
      </c>
      <c r="B7" t="inlineStr">
        <is>
          <t>MH-DC-001</t>
        </is>
      </c>
      <c r="C7" t="inlineStr">
        <is>
          <t>Cage · Logistics Partners</t>
        </is>
      </c>
      <c r="D7" t="inlineStr">
        <is>
          <t>MH-DC-001-F0-R1</t>
        </is>
      </c>
      <c r="E7" t="inlineStr">
        <is>
          <t>Cage door</t>
        </is>
      </c>
      <c r="F7" t="inlineStr">
        <is>
          <t>Card + PIN</t>
        </is>
      </c>
      <c r="G7" t="inlineStr">
        <is>
          <t>CUST-7349</t>
        </is>
      </c>
    </row>
    <row r="8">
      <c r="A8" t="inlineStr">
        <is>
          <t>MH-DC-001-DR-07</t>
        </is>
      </c>
      <c r="B8" t="inlineStr">
        <is>
          <t>MH-DC-001</t>
        </is>
      </c>
      <c r="C8" t="inlineStr">
        <is>
          <t>Cage · Cloud Exchange</t>
        </is>
      </c>
      <c r="D8" t="inlineStr">
        <is>
          <t>MH-DC-001-F0-R1</t>
        </is>
      </c>
      <c r="E8" t="inlineStr">
        <is>
          <t>Cage door</t>
        </is>
      </c>
      <c r="F8" t="inlineStr">
        <is>
          <t>Card + PIN</t>
        </is>
      </c>
      <c r="G8" t="inlineStr">
        <is>
          <t>CUST-2954</t>
        </is>
      </c>
    </row>
    <row r="9">
      <c r="A9" t="inlineStr">
        <is>
          <t>MH-DC-001-DR-08</t>
        </is>
      </c>
      <c r="B9" t="inlineStr">
        <is>
          <t>MH-DC-001</t>
        </is>
      </c>
      <c r="C9" t="inlineStr">
        <is>
          <t>Cage · Gaming Studio</t>
        </is>
      </c>
      <c r="D9" t="inlineStr">
        <is>
          <t>MH-DC-001-F0-R2</t>
        </is>
      </c>
      <c r="E9" t="inlineStr">
        <is>
          <t>Cage door</t>
        </is>
      </c>
      <c r="F9" t="inlineStr">
        <is>
          <t>Card + PIN</t>
        </is>
      </c>
      <c r="G9" t="inlineStr">
        <is>
          <t>CUST-9111</t>
        </is>
      </c>
    </row>
    <row r="10">
      <c r="A10" t="inlineStr">
        <is>
          <t>MH-DC-001-DR-09</t>
        </is>
      </c>
      <c r="B10" t="inlineStr">
        <is>
          <t>MH-DC-001</t>
        </is>
      </c>
      <c r="C10" t="inlineStr">
        <is>
          <t>Cage · Payments Gateway</t>
        </is>
      </c>
      <c r="D10" t="inlineStr">
        <is>
          <t>MH-DC-001-F0-R2</t>
        </is>
      </c>
      <c r="E10" t="inlineStr">
        <is>
          <t>Cage door</t>
        </is>
      </c>
      <c r="F10" t="inlineStr">
        <is>
          <t>Card + PIN</t>
        </is>
      </c>
      <c r="G10" t="inlineStr">
        <is>
          <t>CUST-6478</t>
        </is>
      </c>
    </row>
    <row r="11">
      <c r="A11" t="inlineStr">
        <is>
          <t>MH-DC-001-DR-10</t>
        </is>
      </c>
      <c r="B11" t="inlineStr">
        <is>
          <t>MH-DC-001</t>
        </is>
      </c>
      <c r="C11" t="inlineStr">
        <is>
          <t>Cage · Smart City Mission</t>
        </is>
      </c>
      <c r="D11" t="inlineStr">
        <is>
          <t>MH-DC-001-F0-R2</t>
        </is>
      </c>
      <c r="E11" t="inlineStr">
        <is>
          <t>Cage door</t>
        </is>
      </c>
      <c r="F11" t="inlineStr">
        <is>
          <t>Card + PIN</t>
        </is>
      </c>
      <c r="G11" t="inlineStr">
        <is>
          <t>CUST-2063</t>
        </is>
      </c>
    </row>
    <row r="12">
      <c r="A12" t="inlineStr">
        <is>
          <t>MH-DC-001-DR-11</t>
        </is>
      </c>
      <c r="B12" t="inlineStr">
        <is>
          <t>MH-DC-001</t>
        </is>
      </c>
      <c r="C12" t="inlineStr">
        <is>
          <t>Cage · E-commerce Marketplace</t>
        </is>
      </c>
      <c r="D12" t="inlineStr">
        <is>
          <t>MH-DC-001-F0-R2</t>
        </is>
      </c>
      <c r="E12" t="inlineStr">
        <is>
          <t>Cage door</t>
        </is>
      </c>
      <c r="F12" t="inlineStr">
        <is>
          <t>Card + PIN</t>
        </is>
      </c>
      <c r="G12" t="inlineStr">
        <is>
          <t>CUST-8230</t>
        </is>
      </c>
    </row>
    <row r="13">
      <c r="A13" t="inlineStr">
        <is>
          <t>MH-DC-001-DR-12</t>
        </is>
      </c>
      <c r="B13" t="inlineStr">
        <is>
          <t>MH-DC-001</t>
        </is>
      </c>
      <c r="C13" t="inlineStr">
        <is>
          <t>Cage · Pharma Manufacturing</t>
        </is>
      </c>
      <c r="D13" t="inlineStr">
        <is>
          <t>MH-DC-001-F1-R1</t>
        </is>
      </c>
      <c r="E13" t="inlineStr">
        <is>
          <t>Cage door</t>
        </is>
      </c>
      <c r="F13" t="inlineStr">
        <is>
          <t>Card + PIN</t>
        </is>
      </c>
      <c r="G13" t="inlineStr">
        <is>
          <t>CUST-6468</t>
        </is>
      </c>
    </row>
    <row r="14">
      <c r="A14" t="inlineStr">
        <is>
          <t>MH-DC-001-DR-13</t>
        </is>
      </c>
      <c r="B14" t="inlineStr">
        <is>
          <t>MH-DC-001</t>
        </is>
      </c>
      <c r="C14" t="inlineStr">
        <is>
          <t>Cage · Health Network</t>
        </is>
      </c>
      <c r="D14" t="inlineStr">
        <is>
          <t>MH-DC-001-F1-R1</t>
        </is>
      </c>
      <c r="E14" t="inlineStr">
        <is>
          <t>Cage door</t>
        </is>
      </c>
      <c r="F14" t="inlineStr">
        <is>
          <t>Card + PIN</t>
        </is>
      </c>
      <c r="G14" t="inlineStr">
        <is>
          <t>CUST-9982</t>
        </is>
      </c>
    </row>
    <row r="15">
      <c r="A15" t="inlineStr">
        <is>
          <t>MH-DC-001-DR-14</t>
        </is>
      </c>
      <c r="B15" t="inlineStr">
        <is>
          <t>MH-DC-001</t>
        </is>
      </c>
      <c r="C15" t="inlineStr">
        <is>
          <t>Cage · Hyperscale Cloud East</t>
        </is>
      </c>
      <c r="D15" t="inlineStr">
        <is>
          <t>MH-DC-001-F1-R2</t>
        </is>
      </c>
      <c r="E15" t="inlineStr">
        <is>
          <t>Cage door</t>
        </is>
      </c>
      <c r="F15" t="inlineStr">
        <is>
          <t>Card + PIN</t>
        </is>
      </c>
      <c r="G15" t="inlineStr">
        <is>
          <t>CUST-1202</t>
        </is>
      </c>
    </row>
    <row r="16">
      <c r="A16" t="inlineStr">
        <is>
          <t>MH-DC-002-DR-01</t>
        </is>
      </c>
      <c r="B16" t="inlineStr">
        <is>
          <t>MH-DC-002</t>
        </is>
      </c>
      <c r="C16" t="inlineStr">
        <is>
          <t>Main entrance · mantrap</t>
        </is>
      </c>
      <c r="E16" t="inlineStr">
        <is>
          <t>Building entry</t>
        </is>
      </c>
      <c r="F16" t="inlineStr">
        <is>
          <t>Card + biometric</t>
        </is>
      </c>
    </row>
    <row r="17">
      <c r="A17" t="inlineStr">
        <is>
          <t>MH-DC-002-DR-02</t>
        </is>
      </c>
      <c r="B17" t="inlineStr">
        <is>
          <t>MH-DC-002</t>
        </is>
      </c>
      <c r="C17" t="inlineStr">
        <is>
          <t>Meet-me room door</t>
        </is>
      </c>
      <c r="D17" t="inlineStr">
        <is>
          <t>MH-DC-002-F0-R1</t>
        </is>
      </c>
      <c r="E17" t="inlineStr">
        <is>
          <t>Meet-me room door</t>
        </is>
      </c>
      <c r="F17" t="inlineStr">
        <is>
          <t>Card + biometric</t>
        </is>
      </c>
    </row>
    <row r="18">
      <c r="A18" t="inlineStr">
        <is>
          <t>MH-DC-002-DR-03</t>
        </is>
      </c>
      <c r="B18" t="inlineStr">
        <is>
          <t>MH-DC-002</t>
        </is>
      </c>
      <c r="C18" t="inlineStr">
        <is>
          <t>Hall A door</t>
        </is>
      </c>
      <c r="D18" t="inlineStr">
        <is>
          <t>MH-DC-002-F0-R2</t>
        </is>
      </c>
      <c r="E18" t="inlineStr">
        <is>
          <t>Data hall door</t>
        </is>
      </c>
      <c r="F18" t="inlineStr">
        <is>
          <t>Card + biometric</t>
        </is>
      </c>
    </row>
    <row r="19">
      <c r="A19" t="inlineStr">
        <is>
          <t>MH-DC-002-DR-04</t>
        </is>
      </c>
      <c r="B19" t="inlineStr">
        <is>
          <t>MH-DC-002</t>
        </is>
      </c>
      <c r="C19" t="inlineStr">
        <is>
          <t>Hall B door</t>
        </is>
      </c>
      <c r="D19" t="inlineStr">
        <is>
          <t>MH-DC-002-F1-R1</t>
        </is>
      </c>
      <c r="E19" t="inlineStr">
        <is>
          <t>Data hall door</t>
        </is>
      </c>
      <c r="F19" t="inlineStr">
        <is>
          <t>Card + biometric</t>
        </is>
      </c>
    </row>
    <row r="20">
      <c r="A20" t="inlineStr">
        <is>
          <t>MH-DC-002-DR-05</t>
        </is>
      </c>
      <c r="B20" t="inlineStr">
        <is>
          <t>MH-DC-002</t>
        </is>
      </c>
      <c r="C20" t="inlineStr">
        <is>
          <t>Hall C door</t>
        </is>
      </c>
      <c r="D20" t="inlineStr">
        <is>
          <t>MH-DC-002-F1-R2</t>
        </is>
      </c>
      <c r="E20" t="inlineStr">
        <is>
          <t>Data hall door</t>
        </is>
      </c>
      <c r="F20" t="inlineStr">
        <is>
          <t>Card + biometric</t>
        </is>
      </c>
    </row>
    <row r="21">
      <c r="A21" t="inlineStr">
        <is>
          <t>MH-DC-002-DR-06</t>
        </is>
      </c>
      <c r="B21" t="inlineStr">
        <is>
          <t>MH-DC-002</t>
        </is>
      </c>
      <c r="C21" t="inlineStr">
        <is>
          <t>Cage · Logistics Partners</t>
        </is>
      </c>
      <c r="D21" t="inlineStr">
        <is>
          <t>MH-DC-002-F0-R1</t>
        </is>
      </c>
      <c r="E21" t="inlineStr">
        <is>
          <t>Cage door</t>
        </is>
      </c>
      <c r="F21" t="inlineStr">
        <is>
          <t>Card + PIN</t>
        </is>
      </c>
      <c r="G21" t="inlineStr">
        <is>
          <t>CUST-7349</t>
        </is>
      </c>
    </row>
    <row r="22">
      <c r="A22" t="inlineStr">
        <is>
          <t>MH-DC-002-DR-07</t>
        </is>
      </c>
      <c r="B22" t="inlineStr">
        <is>
          <t>MH-DC-002</t>
        </is>
      </c>
      <c r="C22" t="inlineStr">
        <is>
          <t>Cage · Research Institute</t>
        </is>
      </c>
      <c r="D22" t="inlineStr">
        <is>
          <t>MH-DC-002-F0-R2</t>
        </is>
      </c>
      <c r="E22" t="inlineStr">
        <is>
          <t>Cage door</t>
        </is>
      </c>
      <c r="F22" t="inlineStr">
        <is>
          <t>Card + PIN</t>
        </is>
      </c>
      <c r="G22" t="inlineStr">
        <is>
          <t>CUST-8220</t>
        </is>
      </c>
    </row>
    <row r="23">
      <c r="A23" t="inlineStr">
        <is>
          <t>MH-DC-002-DR-08</t>
        </is>
      </c>
      <c r="B23" t="inlineStr">
        <is>
          <t>MH-DC-002</t>
        </is>
      </c>
      <c r="C23" t="inlineStr">
        <is>
          <t>Cage · Telecom Provider</t>
        </is>
      </c>
      <c r="D23" t="inlineStr">
        <is>
          <t>MH-DC-002-F0-R2</t>
        </is>
      </c>
      <c r="E23" t="inlineStr">
        <is>
          <t>Cage door</t>
        </is>
      </c>
      <c r="F23" t="inlineStr">
        <is>
          <t>Card + PIN</t>
        </is>
      </c>
      <c r="G23" t="inlineStr">
        <is>
          <t>CUST-4716</t>
        </is>
      </c>
    </row>
    <row r="24">
      <c r="A24" t="inlineStr">
        <is>
          <t>MH-DC-002-DR-09</t>
        </is>
      </c>
      <c r="B24" t="inlineStr">
        <is>
          <t>MH-DC-002</t>
        </is>
      </c>
      <c r="C24" t="inlineStr">
        <is>
          <t>Cage · Cloud Exchange</t>
        </is>
      </c>
      <c r="D24" t="inlineStr">
        <is>
          <t>MH-DC-002-F1-R1</t>
        </is>
      </c>
      <c r="E24" t="inlineStr">
        <is>
          <t>Cage door</t>
        </is>
      </c>
      <c r="F24" t="inlineStr">
        <is>
          <t>Card + PIN</t>
        </is>
      </c>
      <c r="G24" t="inlineStr">
        <is>
          <t>CUST-2954</t>
        </is>
      </c>
    </row>
    <row r="25">
      <c r="A25" t="inlineStr">
        <is>
          <t>MH-DC-002-DR-10</t>
        </is>
      </c>
      <c r="B25" t="inlineStr">
        <is>
          <t>MH-DC-002</t>
        </is>
      </c>
      <c r="C25" t="inlineStr">
        <is>
          <t>Cage · Hyperscale Cloud East</t>
        </is>
      </c>
      <c r="D25" t="inlineStr">
        <is>
          <t>MH-DC-002-F1-R1</t>
        </is>
      </c>
      <c r="E25" t="inlineStr">
        <is>
          <t>Cage door</t>
        </is>
      </c>
      <c r="F25" t="inlineStr">
        <is>
          <t>Card + PIN</t>
        </is>
      </c>
      <c r="G25" t="inlineStr">
        <is>
          <t>CUST-1202</t>
        </is>
      </c>
    </row>
  </sheetData>
  <autoFilter ref="A1:G25"/>
  <dataValidations count="2">
    <dataValidation sqref="E2:E2000" showDropDown="0" showInputMessage="0" showErrorMessage="1" allowBlank="1" errorTitle="Not an allowed value" error="Pick a value from the list (Lookups → door_kind)." type="list">
      <formula1>=L_door_kind</formula1>
    </dataValidation>
    <dataValidation sqref="F2:F2000" showDropDown="0" showInputMessage="0" showErrorMessage="1" allowBlank="1" errorTitle="Not an allowed value" error="Pick a value from the list (Lookups → reader)." type="list">
      <formula1>=L_reader</formula1>
    </dataValidation>
  </dataValidations>
  <pageMargins left="0.75" right="0.75" top="1" bottom="1" header="0.5" footer="0.5"/>
  <legacyDrawing xmlns:r="http://schemas.openxmlformats.org/officeDocument/2006/relationships" r:id="anysvml"/>
</worksheet>
</file>

<file path=xl/worksheets/sheet32.xml><?xml version="1.0" encoding="utf-8"?>
<worksheet xmlns="http://schemas.openxmlformats.org/spreadsheetml/2006/main">
  <sheetPr>
    <tabColor rgb="002E6BD9"/>
    <outlinePr summaryBelow="1" summaryRight="1"/>
    <pageSetUpPr/>
  </sheetPr>
  <dimension ref="A1:F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12" customWidth="1" min="3" max="3"/>
    <col width="10" customWidth="1" min="4" max="4"/>
    <col width="10" customWidth="1" min="5" max="5"/>
    <col width="12" customWidth="1" min="6" max="6"/>
  </cols>
  <sheetData>
    <row r="1" ht="30" customHeight="1">
      <c r="A1" s="16" t="inlineStr">
        <is>
          <t>contract_id *</t>
        </is>
      </c>
      <c r="B1" s="16" t="inlineStr">
        <is>
          <t>site_id *</t>
        </is>
      </c>
      <c r="C1" s="16" t="inlineStr">
        <is>
          <t>vendor *</t>
        </is>
      </c>
      <c r="D1" s="16" t="inlineStr">
        <is>
          <t>level *</t>
        </is>
      </c>
      <c r="E1" s="17" t="inlineStr">
        <is>
          <t>start</t>
        </is>
      </c>
      <c r="F1" s="16" t="inlineStr">
        <is>
          <t>expires *</t>
        </is>
      </c>
    </row>
    <row r="2">
      <c r="A2" t="inlineStr">
        <is>
          <t>AMC-MH-94990</t>
        </is>
      </c>
      <c r="B2" t="inlineStr">
        <is>
          <t>MH-DC-001</t>
        </is>
      </c>
      <c r="C2" t="inlineStr">
        <is>
          <t>JUNIPER</t>
        </is>
      </c>
      <c r="D2" t="inlineStr">
        <is>
          <t>24×7×4</t>
        </is>
      </c>
      <c r="E2" s="18" t="n"/>
      <c r="F2" s="18" t="n">
        <v>46788</v>
      </c>
    </row>
    <row r="3">
      <c r="A3" t="inlineStr">
        <is>
          <t>AMC-MH-43694</t>
        </is>
      </c>
      <c r="B3" t="inlineStr">
        <is>
          <t>MH-DC-001</t>
        </is>
      </c>
      <c r="C3" t="inlineStr">
        <is>
          <t>CISCO</t>
        </is>
      </c>
      <c r="D3" t="inlineStr">
        <is>
          <t>24×7×4</t>
        </is>
      </c>
      <c r="E3" s="18" t="n"/>
      <c r="F3" s="18" t="n">
        <v>46390</v>
      </c>
    </row>
    <row r="4">
      <c r="A4" t="inlineStr">
        <is>
          <t>AMC-MH-45067</t>
        </is>
      </c>
      <c r="B4" t="inlineStr">
        <is>
          <t>MH-DC-001</t>
        </is>
      </c>
      <c r="C4" t="inlineStr">
        <is>
          <t>NOKIA</t>
        </is>
      </c>
      <c r="D4" t="inlineStr">
        <is>
          <t>24×7×4</t>
        </is>
      </c>
      <c r="E4" s="18" t="n"/>
      <c r="F4" s="18" t="n">
        <v>46340</v>
      </c>
    </row>
    <row r="5">
      <c r="A5" t="inlineStr">
        <is>
          <t>AMC-MH-60459</t>
        </is>
      </c>
      <c r="B5" t="inlineStr">
        <is>
          <t>MH-DC-001</t>
        </is>
      </c>
      <c r="C5" t="inlineStr">
        <is>
          <t>CISCO</t>
        </is>
      </c>
      <c r="D5" t="inlineStr">
        <is>
          <t>8×5 NBD</t>
        </is>
      </c>
      <c r="E5" s="18" t="n"/>
      <c r="F5" s="18" t="n">
        <v>46810</v>
      </c>
    </row>
    <row r="6">
      <c r="A6" t="inlineStr">
        <is>
          <t>AMC-MH-71915</t>
        </is>
      </c>
      <c r="B6" t="inlineStr">
        <is>
          <t>MH-DC-001</t>
        </is>
      </c>
      <c r="C6" t="inlineStr">
        <is>
          <t>JUNIPER</t>
        </is>
      </c>
      <c r="D6" t="inlineStr">
        <is>
          <t>8×5 NBD</t>
        </is>
      </c>
      <c r="E6" s="18" t="n"/>
      <c r="F6" s="18" t="n">
        <v>46902</v>
      </c>
    </row>
    <row r="7">
      <c r="A7" t="inlineStr">
        <is>
          <t>AMC-MH-33776</t>
        </is>
      </c>
      <c r="B7" t="inlineStr">
        <is>
          <t>MH-DC-001</t>
        </is>
      </c>
      <c r="C7" t="inlineStr">
        <is>
          <t>ARISTA</t>
        </is>
      </c>
      <c r="D7" t="inlineStr">
        <is>
          <t>8×5 NBD</t>
        </is>
      </c>
      <c r="E7" s="18" t="n"/>
      <c r="F7" s="18" t="n">
        <v>46799</v>
      </c>
    </row>
    <row r="8">
      <c r="A8" t="inlineStr">
        <is>
          <t>AMC-MH-31357</t>
        </is>
      </c>
      <c r="B8" t="inlineStr">
        <is>
          <t>MH-DC-001</t>
        </is>
      </c>
      <c r="C8" t="inlineStr">
        <is>
          <t>DELL</t>
        </is>
      </c>
      <c r="D8" t="inlineStr">
        <is>
          <t>NBD</t>
        </is>
      </c>
      <c r="E8" s="18" t="n"/>
      <c r="F8" s="18" t="n">
        <v>46410</v>
      </c>
    </row>
    <row r="9">
      <c r="A9" t="inlineStr">
        <is>
          <t>AMC-MH-94491</t>
        </is>
      </c>
      <c r="B9" t="inlineStr">
        <is>
          <t>MH-DC-001</t>
        </is>
      </c>
      <c r="C9" t="inlineStr">
        <is>
          <t>SUPERMICRO</t>
        </is>
      </c>
      <c r="D9" t="inlineStr">
        <is>
          <t>NBD</t>
        </is>
      </c>
      <c r="E9" s="18" t="n"/>
      <c r="F9" s="18" t="n">
        <v>46428</v>
      </c>
    </row>
    <row r="10">
      <c r="A10" t="inlineStr">
        <is>
          <t>AMC-MH-91907</t>
        </is>
      </c>
      <c r="B10" t="inlineStr">
        <is>
          <t>MH-DC-001</t>
        </is>
      </c>
      <c r="C10" t="inlineStr">
        <is>
          <t>HPE</t>
        </is>
      </c>
      <c r="D10" t="inlineStr">
        <is>
          <t>NBD</t>
        </is>
      </c>
      <c r="E10" s="18" t="n"/>
      <c r="F10" s="18" t="n">
        <v>46430</v>
      </c>
    </row>
    <row r="11">
      <c r="A11" t="inlineStr">
        <is>
          <t>AMC-MH-57371</t>
        </is>
      </c>
      <c r="B11" t="inlineStr">
        <is>
          <t>MH-DC-002</t>
        </is>
      </c>
      <c r="C11" t="inlineStr">
        <is>
          <t>JUNIPER</t>
        </is>
      </c>
      <c r="D11" t="inlineStr">
        <is>
          <t>24×7×4</t>
        </is>
      </c>
      <c r="E11" s="18" t="n"/>
      <c r="F11" s="18" t="n">
        <v>46456</v>
      </c>
    </row>
    <row r="12">
      <c r="A12" t="inlineStr">
        <is>
          <t>AMC-MH-96075</t>
        </is>
      </c>
      <c r="B12" t="inlineStr">
        <is>
          <t>MH-DC-002</t>
        </is>
      </c>
      <c r="C12" t="inlineStr">
        <is>
          <t>CISCO</t>
        </is>
      </c>
      <c r="D12" t="inlineStr">
        <is>
          <t>24×7×4</t>
        </is>
      </c>
      <c r="E12" s="18" t="n"/>
      <c r="F12" s="18" t="n">
        <v>46565</v>
      </c>
    </row>
    <row r="13">
      <c r="A13" t="inlineStr">
        <is>
          <t>AMC-MH-82686</t>
        </is>
      </c>
      <c r="B13" t="inlineStr">
        <is>
          <t>MH-DC-002</t>
        </is>
      </c>
      <c r="C13" t="inlineStr">
        <is>
          <t>NOKIA</t>
        </is>
      </c>
      <c r="D13" t="inlineStr">
        <is>
          <t>24×7×4</t>
        </is>
      </c>
      <c r="E13" s="18" t="n"/>
      <c r="F13" s="18" t="n">
        <v>46894</v>
      </c>
    </row>
    <row r="14">
      <c r="A14" t="inlineStr">
        <is>
          <t>AMC-MH-19534</t>
        </is>
      </c>
      <c r="B14" t="inlineStr">
        <is>
          <t>MH-DC-002</t>
        </is>
      </c>
      <c r="C14" t="inlineStr">
        <is>
          <t>JUNIPER</t>
        </is>
      </c>
      <c r="D14" t="inlineStr">
        <is>
          <t>8×5 NBD</t>
        </is>
      </c>
      <c r="E14" s="18" t="n"/>
      <c r="F14" s="18" t="n">
        <v>46329</v>
      </c>
    </row>
    <row r="15">
      <c r="A15" t="inlineStr">
        <is>
          <t>AMC-MH-98078</t>
        </is>
      </c>
      <c r="B15" t="inlineStr">
        <is>
          <t>MH-DC-002</t>
        </is>
      </c>
      <c r="C15" t="inlineStr">
        <is>
          <t>CISCO</t>
        </is>
      </c>
      <c r="D15" t="inlineStr">
        <is>
          <t>8×5 NBD</t>
        </is>
      </c>
      <c r="E15" s="18" t="n"/>
      <c r="F15" s="18" t="n">
        <v>46498</v>
      </c>
    </row>
    <row r="16">
      <c r="A16" t="inlineStr">
        <is>
          <t>AMC-MH-42110</t>
        </is>
      </c>
      <c r="B16" t="inlineStr">
        <is>
          <t>MH-DC-002</t>
        </is>
      </c>
      <c r="C16" t="inlineStr">
        <is>
          <t>SUPERMICRO</t>
        </is>
      </c>
      <c r="D16" t="inlineStr">
        <is>
          <t>NBD</t>
        </is>
      </c>
      <c r="E16" s="18" t="n"/>
      <c r="F16" s="18" t="n">
        <v>46484</v>
      </c>
    </row>
    <row r="17">
      <c r="A17" t="inlineStr">
        <is>
          <t>AMC-MH-98500</t>
        </is>
      </c>
      <c r="B17" t="inlineStr">
        <is>
          <t>MH-DC-002</t>
        </is>
      </c>
      <c r="C17" t="inlineStr">
        <is>
          <t>DELL</t>
        </is>
      </c>
      <c r="D17" t="inlineStr">
        <is>
          <t>NBD</t>
        </is>
      </c>
      <c r="E17" s="18" t="n"/>
      <c r="F17" s="18" t="n">
        <v>46289</v>
      </c>
    </row>
    <row r="18">
      <c r="A18" t="inlineStr">
        <is>
          <t>AMC-MH-39526</t>
        </is>
      </c>
      <c r="B18" t="inlineStr">
        <is>
          <t>MH-DC-002</t>
        </is>
      </c>
      <c r="C18" t="inlineStr">
        <is>
          <t>HPE</t>
        </is>
      </c>
      <c r="D18" t="inlineStr">
        <is>
          <t>NBD</t>
        </is>
      </c>
      <c r="E18" s="18" t="n"/>
      <c r="F18" s="18" t="n">
        <v>46347</v>
      </c>
    </row>
  </sheetData>
  <autoFilter ref="A1:F18"/>
  <dataValidations count="1">
    <dataValidation sqref="D2:D2000" showDropDown="0" showInputMessage="0" showErrorMessage="1" allowBlank="1" errorTitle="Not an allowed value" error="Pick a value from the list (Lookups → support_level)." type="list">
      <formula1>=L_support_level</formula1>
    </dataValidation>
  </dataValidations>
  <pageMargins left="0.75" right="0.75" top="1" bottom="1" header="0.5" footer="0.5"/>
  <legacyDrawing xmlns:r="http://schemas.openxmlformats.org/officeDocument/2006/relationships" r:id="anysvml"/>
</worksheet>
</file>

<file path=xl/worksheets/sheet33.xml><?xml version="1.0" encoding="utf-8"?>
<worksheet xmlns="http://schemas.openxmlformats.org/spreadsheetml/2006/main">
  <sheetPr>
    <tabColor rgb="002E6BD9"/>
    <outlinePr summaryBelow="1" summaryRight="1"/>
    <pageSetUpPr/>
  </sheetPr>
  <dimension ref="A1:D6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1" customWidth="1" min="1" max="1"/>
    <col width="14" customWidth="1" min="2" max="2"/>
    <col width="17" customWidth="1" min="3" max="3"/>
    <col width="16" customWidth="1" min="4" max="4"/>
  </cols>
  <sheetData>
    <row r="1" ht="30" customHeight="1">
      <c r="A1" s="16" t="inlineStr">
        <is>
          <t>device_id *</t>
        </is>
      </c>
      <c r="B1" s="16" t="inlineStr">
        <is>
          <t>installed *</t>
        </is>
      </c>
      <c r="C1" s="16" t="inlineStr">
        <is>
          <t>warranty_end *</t>
        </is>
      </c>
      <c r="D1" s="17" t="inlineStr">
        <is>
          <t>contract_id</t>
        </is>
      </c>
    </row>
    <row r="2">
      <c r="A2" t="inlineStr">
        <is>
          <t>MH-DC-001-PE-T4-01</t>
        </is>
      </c>
      <c r="B2" s="18" t="n">
        <v>45497</v>
      </c>
      <c r="C2" s="18" t="n">
        <v>47322</v>
      </c>
      <c r="D2" t="inlineStr">
        <is>
          <t>AMC-MH-94990</t>
        </is>
      </c>
    </row>
    <row r="3">
      <c r="A3" t="inlineStr">
        <is>
          <t>MH-DC-001-PE-T4-02</t>
        </is>
      </c>
      <c r="B3" s="18" t="n">
        <v>45997</v>
      </c>
      <c r="C3" s="18" t="n">
        <v>47092</v>
      </c>
      <c r="D3" t="inlineStr">
        <is>
          <t>AMC-MH-94990</t>
        </is>
      </c>
    </row>
    <row r="4">
      <c r="A4" t="inlineStr">
        <is>
          <t>MH-DC-001-PE-T4-03</t>
        </is>
      </c>
      <c r="B4" s="18" t="n">
        <v>44164</v>
      </c>
      <c r="C4" s="18" t="n">
        <v>45989</v>
      </c>
      <c r="D4" t="inlineStr">
        <is>
          <t>AMC-MH-43694</t>
        </is>
      </c>
    </row>
    <row r="5">
      <c r="A5" t="inlineStr">
        <is>
          <t>MH-DC-001-PE-T4-04</t>
        </is>
      </c>
      <c r="B5" s="18" t="n">
        <v>43921</v>
      </c>
      <c r="C5" s="18" t="n">
        <v>45016</v>
      </c>
      <c r="D5" t="inlineStr">
        <is>
          <t>AMC-MH-43694</t>
        </is>
      </c>
    </row>
    <row r="6">
      <c r="A6" t="inlineStr">
        <is>
          <t>MH-DC-001-FW-01</t>
        </is>
      </c>
      <c r="B6" s="18" t="n">
        <v>44379</v>
      </c>
      <c r="C6" s="18" t="n">
        <v>46204</v>
      </c>
    </row>
    <row r="7">
      <c r="A7" t="inlineStr">
        <is>
          <t>MH-DC-001-FW-02</t>
        </is>
      </c>
      <c r="B7" s="18" t="n">
        <v>44171</v>
      </c>
      <c r="C7" s="18" t="n">
        <v>45266</v>
      </c>
    </row>
    <row r="8">
      <c r="A8" t="inlineStr">
        <is>
          <t>MH-DC-001-OLA-01</t>
        </is>
      </c>
      <c r="B8" s="18" t="n">
        <v>46061</v>
      </c>
      <c r="C8" s="18" t="n">
        <v>47156</v>
      </c>
      <c r="D8" t="inlineStr">
        <is>
          <t>AMC-MH-45067</t>
        </is>
      </c>
    </row>
    <row r="9">
      <c r="A9" t="inlineStr">
        <is>
          <t>MH-DC-001-OLA-02</t>
        </is>
      </c>
      <c r="B9" s="18" t="n">
        <v>46141</v>
      </c>
      <c r="C9" s="18" t="n">
        <v>47966</v>
      </c>
      <c r="D9" t="inlineStr">
        <is>
          <t>AMC-MH-45067</t>
        </is>
      </c>
    </row>
    <row r="10">
      <c r="A10" t="inlineStr">
        <is>
          <t>MH-DC-001-AGG-R01</t>
        </is>
      </c>
      <c r="B10" s="18" t="n">
        <v>46093</v>
      </c>
      <c r="C10" s="18" t="n">
        <v>47188</v>
      </c>
      <c r="D10" t="inlineStr">
        <is>
          <t>AMC-MH-94990</t>
        </is>
      </c>
    </row>
    <row r="11">
      <c r="A11" t="inlineStr">
        <is>
          <t>MH-DC-001-AGG-R02</t>
        </is>
      </c>
      <c r="B11" s="18" t="n">
        <v>46186</v>
      </c>
      <c r="C11" s="18" t="n">
        <v>48011</v>
      </c>
      <c r="D11" t="inlineStr">
        <is>
          <t>AMC-MH-94990</t>
        </is>
      </c>
    </row>
    <row r="12">
      <c r="A12" t="inlineStr">
        <is>
          <t>MH-DC-001-AGG-R03</t>
        </is>
      </c>
      <c r="B12" s="18" t="n">
        <v>46244</v>
      </c>
      <c r="C12" s="18" t="n">
        <v>47339</v>
      </c>
      <c r="D12" t="inlineStr">
        <is>
          <t>AMC-MH-94990</t>
        </is>
      </c>
    </row>
    <row r="13">
      <c r="A13" t="inlineStr">
        <is>
          <t>MH-DC-001-MMR-SW-01</t>
        </is>
      </c>
      <c r="B13" s="18" t="n">
        <v>43719</v>
      </c>
      <c r="C13" s="18" t="n">
        <v>44814</v>
      </c>
    </row>
    <row r="14">
      <c r="A14" t="inlineStr">
        <is>
          <t>MH-DC-001-MMR-SW-02</t>
        </is>
      </c>
      <c r="B14" s="18" t="n">
        <v>45757</v>
      </c>
      <c r="C14" s="18" t="n">
        <v>46852</v>
      </c>
      <c r="D14" t="inlineStr">
        <is>
          <t>AMC-MH-60459</t>
        </is>
      </c>
    </row>
    <row r="15">
      <c r="A15" t="inlineStr">
        <is>
          <t>MH-DC-001-MMR-SW-03</t>
        </is>
      </c>
      <c r="B15" s="18" t="n">
        <v>46187</v>
      </c>
      <c r="C15" s="18" t="n">
        <v>47282</v>
      </c>
      <c r="D15" t="inlineStr">
        <is>
          <t>AMC-MH-60459</t>
        </is>
      </c>
    </row>
    <row r="16">
      <c r="A16" t="inlineStr">
        <is>
          <t>MH-DC-001-MMR-SW-04</t>
        </is>
      </c>
      <c r="B16" s="18" t="n">
        <v>46095</v>
      </c>
      <c r="C16" s="18" t="n">
        <v>47190</v>
      </c>
      <c r="D16" t="inlineStr">
        <is>
          <t>AMC-MH-60459</t>
        </is>
      </c>
    </row>
    <row r="17">
      <c r="A17" t="inlineStr">
        <is>
          <t>MH-DC-001-MMR-SW-05</t>
        </is>
      </c>
      <c r="B17" s="18" t="n">
        <v>46109</v>
      </c>
      <c r="C17" s="18" t="n">
        <v>47934</v>
      </c>
      <c r="D17" t="inlineStr">
        <is>
          <t>AMC-MH-71915</t>
        </is>
      </c>
    </row>
    <row r="18">
      <c r="A18" t="inlineStr">
        <is>
          <t>MH-DC-001-MMR-SW-06</t>
        </is>
      </c>
      <c r="B18" s="18" t="n">
        <v>46250</v>
      </c>
      <c r="C18" s="18" t="n">
        <v>47345</v>
      </c>
      <c r="D18" t="inlineStr">
        <is>
          <t>AMC-MH-60459</t>
        </is>
      </c>
    </row>
    <row r="19">
      <c r="A19" t="inlineStr">
        <is>
          <t>MH-DC-001-MMR-SW-07</t>
        </is>
      </c>
      <c r="B19" s="18" t="n">
        <v>46095</v>
      </c>
      <c r="C19" s="18" t="n">
        <v>47190</v>
      </c>
      <c r="D19" t="inlineStr">
        <is>
          <t>AMC-MH-60459</t>
        </is>
      </c>
    </row>
    <row r="20">
      <c r="A20" t="inlineStr">
        <is>
          <t>MH-DC-001-MMR-SW-08</t>
        </is>
      </c>
      <c r="B20" s="18" t="n">
        <v>46151</v>
      </c>
      <c r="C20" s="18" t="n">
        <v>47246</v>
      </c>
      <c r="D20" t="inlineStr">
        <is>
          <t>AMC-MH-60459</t>
        </is>
      </c>
    </row>
    <row r="21">
      <c r="A21" t="inlineStr">
        <is>
          <t>MH-DC-001-MMR-SW-09</t>
        </is>
      </c>
      <c r="B21" s="18" t="n">
        <v>46025</v>
      </c>
      <c r="C21" s="18" t="n">
        <v>47120</v>
      </c>
      <c r="D21" t="inlineStr">
        <is>
          <t>AMC-MH-33776</t>
        </is>
      </c>
    </row>
    <row r="22">
      <c r="A22" t="inlineStr">
        <is>
          <t>MH-DC-001-TOR-001</t>
        </is>
      </c>
      <c r="B22" s="18" t="n">
        <v>44265</v>
      </c>
      <c r="C22" s="18" t="n">
        <v>45360</v>
      </c>
    </row>
    <row r="23">
      <c r="A23" t="inlineStr">
        <is>
          <t>MH-DC-001-TOR-002</t>
        </is>
      </c>
      <c r="B23" s="18" t="n">
        <v>46205</v>
      </c>
      <c r="C23" s="18" t="n">
        <v>47300</v>
      </c>
      <c r="D23" t="inlineStr">
        <is>
          <t>AMC-MH-60459</t>
        </is>
      </c>
    </row>
    <row r="24">
      <c r="A24" t="inlineStr">
        <is>
          <t>MH-DC-001-TOR-003</t>
        </is>
      </c>
      <c r="B24" s="18" t="n">
        <v>45098</v>
      </c>
      <c r="C24" s="18" t="n">
        <v>46923</v>
      </c>
      <c r="D24" t="inlineStr">
        <is>
          <t>AMC-MH-71915</t>
        </is>
      </c>
    </row>
    <row r="25">
      <c r="A25" t="inlineStr">
        <is>
          <t>MH-DC-001-TOR-004</t>
        </is>
      </c>
      <c r="B25" s="18" t="n">
        <v>44709</v>
      </c>
      <c r="C25" s="18" t="n">
        <v>46534</v>
      </c>
      <c r="D25" t="inlineStr">
        <is>
          <t>AMC-MH-60459</t>
        </is>
      </c>
    </row>
    <row r="26">
      <c r="A26" t="inlineStr">
        <is>
          <t>MH-DC-001-TOR-005</t>
        </is>
      </c>
      <c r="B26" s="18" t="n">
        <v>45018</v>
      </c>
      <c r="C26" s="18" t="n">
        <v>46113</v>
      </c>
      <c r="D26" t="inlineStr">
        <is>
          <t>AMC-MH-71915</t>
        </is>
      </c>
    </row>
    <row r="27">
      <c r="A27" t="inlineStr">
        <is>
          <t>MH-DC-001-TOR-006</t>
        </is>
      </c>
      <c r="B27" s="18" t="n">
        <v>46044</v>
      </c>
      <c r="C27" s="18" t="n">
        <v>47869</v>
      </c>
      <c r="D27" t="inlineStr">
        <is>
          <t>AMC-MH-33776</t>
        </is>
      </c>
    </row>
    <row r="28">
      <c r="A28" t="inlineStr">
        <is>
          <t>MH-DC-001-BMS-01</t>
        </is>
      </c>
      <c r="B28" s="18" t="n">
        <v>44060</v>
      </c>
      <c r="C28" s="18" t="n">
        <v>45155</v>
      </c>
      <c r="D28" t="inlineStr">
        <is>
          <t>AMC-MH-31357</t>
        </is>
      </c>
    </row>
    <row r="29">
      <c r="A29" t="inlineStr">
        <is>
          <t>MH-DC-001-BMS-02</t>
        </is>
      </c>
      <c r="B29" s="18" t="n">
        <v>44225</v>
      </c>
      <c r="C29" s="18" t="n">
        <v>45320</v>
      </c>
    </row>
    <row r="30">
      <c r="A30" t="inlineStr">
        <is>
          <t>MH-DC-001-ACS-01</t>
        </is>
      </c>
      <c r="B30" s="18" t="n">
        <v>46024</v>
      </c>
      <c r="C30" s="18" t="n">
        <v>47849</v>
      </c>
      <c r="D30" t="inlineStr">
        <is>
          <t>AMC-MH-94491</t>
        </is>
      </c>
    </row>
    <row r="31">
      <c r="A31" t="inlineStr">
        <is>
          <t>MH-DC-001-NVR-01</t>
        </is>
      </c>
      <c r="B31" s="18" t="n">
        <v>46118</v>
      </c>
      <c r="C31" s="18" t="n">
        <v>47213</v>
      </c>
      <c r="D31" t="inlineStr">
        <is>
          <t>AMC-MH-91907</t>
        </is>
      </c>
    </row>
    <row r="32">
      <c r="A32" t="inlineStr">
        <is>
          <t>MH-DC-001-NVR-02</t>
        </is>
      </c>
      <c r="B32" s="18" t="n">
        <v>46223</v>
      </c>
      <c r="C32" s="18" t="n">
        <v>47318</v>
      </c>
      <c r="D32" t="inlineStr">
        <is>
          <t>AMC-MH-94491</t>
        </is>
      </c>
    </row>
    <row r="33">
      <c r="A33" t="inlineStr">
        <is>
          <t>MH-DC-001-JMP-01</t>
        </is>
      </c>
      <c r="B33" s="18" t="n">
        <v>46205</v>
      </c>
      <c r="C33" s="18" t="n">
        <v>48030</v>
      </c>
      <c r="D33" t="inlineStr">
        <is>
          <t>AMC-MH-94491</t>
        </is>
      </c>
    </row>
    <row r="34">
      <c r="A34" t="inlineStr">
        <is>
          <t>MH-DC-001-JMP-02</t>
        </is>
      </c>
      <c r="B34" s="18" t="n">
        <v>45108</v>
      </c>
      <c r="C34" s="18" t="n">
        <v>46203</v>
      </c>
      <c r="D34" t="inlineStr">
        <is>
          <t>AMC-MH-91907</t>
        </is>
      </c>
    </row>
    <row r="35">
      <c r="A35" t="inlineStr">
        <is>
          <t>MH-DC-001-BKP-01</t>
        </is>
      </c>
      <c r="B35" s="18" t="n">
        <v>46262</v>
      </c>
      <c r="C35" s="18" t="n">
        <v>47357</v>
      </c>
      <c r="D35" t="inlineStr">
        <is>
          <t>AMC-MH-31357</t>
        </is>
      </c>
    </row>
    <row r="36">
      <c r="A36" t="inlineStr">
        <is>
          <t>MH-DC-001-DCIM-01</t>
        </is>
      </c>
      <c r="B36" s="18" t="n">
        <v>46074</v>
      </c>
      <c r="C36" s="18" t="n">
        <v>47169</v>
      </c>
      <c r="D36" t="inlineStr">
        <is>
          <t>AMC-MH-94491</t>
        </is>
      </c>
    </row>
    <row r="37">
      <c r="A37" t="inlineStr">
        <is>
          <t>MH-DC-001-DCIM-02</t>
        </is>
      </c>
      <c r="B37" s="18" t="n">
        <v>46190</v>
      </c>
      <c r="C37" s="18" t="n">
        <v>48015</v>
      </c>
      <c r="D37" t="inlineStr">
        <is>
          <t>AMC-MH-94491</t>
        </is>
      </c>
    </row>
    <row r="38">
      <c r="A38" t="inlineStr">
        <is>
          <t>MH-DC-001-MON-01</t>
        </is>
      </c>
      <c r="B38" s="18" t="n">
        <v>46151</v>
      </c>
      <c r="C38" s="18" t="n">
        <v>47246</v>
      </c>
      <c r="D38" t="inlineStr">
        <is>
          <t>AMC-MH-91907</t>
        </is>
      </c>
    </row>
    <row r="39">
      <c r="A39" t="inlineStr">
        <is>
          <t>MH-DC-001-MON-02</t>
        </is>
      </c>
      <c r="B39" s="18" t="n">
        <v>46056</v>
      </c>
      <c r="C39" s="18" t="n">
        <v>47881</v>
      </c>
      <c r="D39" t="inlineStr">
        <is>
          <t>AMC-MH-31357</t>
        </is>
      </c>
    </row>
    <row r="40">
      <c r="A40" t="inlineStr">
        <is>
          <t>MH-DC-002-PE-T4-01</t>
        </is>
      </c>
      <c r="B40" s="18" t="n">
        <v>46097</v>
      </c>
      <c r="C40" s="18" t="n">
        <v>47192</v>
      </c>
      <c r="D40" t="inlineStr">
        <is>
          <t>AMC-MH-57371</t>
        </is>
      </c>
    </row>
    <row r="41">
      <c r="A41" t="inlineStr">
        <is>
          <t>MH-DC-002-PE-T4-02</t>
        </is>
      </c>
      <c r="B41" s="18" t="n">
        <v>45489</v>
      </c>
      <c r="C41" s="18" t="n">
        <v>47314</v>
      </c>
      <c r="D41" t="inlineStr">
        <is>
          <t>AMC-MH-57371</t>
        </is>
      </c>
    </row>
    <row r="42">
      <c r="A42" t="inlineStr">
        <is>
          <t>MH-DC-002-PE-T4-03</t>
        </is>
      </c>
      <c r="B42" s="18" t="n">
        <v>44303</v>
      </c>
      <c r="C42" s="18" t="n">
        <v>46128</v>
      </c>
      <c r="D42" t="inlineStr">
        <is>
          <t>AMC-MH-96075</t>
        </is>
      </c>
    </row>
    <row r="43">
      <c r="A43" t="inlineStr">
        <is>
          <t>MH-DC-002-PE-T4-04</t>
        </is>
      </c>
      <c r="B43" s="18" t="n">
        <v>43940</v>
      </c>
      <c r="C43" s="18" t="n">
        <v>45765</v>
      </c>
      <c r="D43" t="inlineStr">
        <is>
          <t>AMC-MH-96075</t>
        </is>
      </c>
    </row>
    <row r="44">
      <c r="A44" t="inlineStr">
        <is>
          <t>MH-DC-002-FW-01</t>
        </is>
      </c>
      <c r="B44" s="18" t="n">
        <v>43969</v>
      </c>
      <c r="C44" s="18" t="n">
        <v>45064</v>
      </c>
    </row>
    <row r="45">
      <c r="A45" t="inlineStr">
        <is>
          <t>MH-DC-002-OLA-01</t>
        </is>
      </c>
      <c r="B45" s="18" t="n">
        <v>46139</v>
      </c>
      <c r="C45" s="18" t="n">
        <v>47234</v>
      </c>
      <c r="D45" t="inlineStr">
        <is>
          <t>AMC-MH-82686</t>
        </is>
      </c>
    </row>
    <row r="46">
      <c r="A46" t="inlineStr">
        <is>
          <t>MH-DC-002-AGG-R01</t>
        </is>
      </c>
      <c r="B46" s="18" t="n">
        <v>45351</v>
      </c>
      <c r="C46" s="18" t="n">
        <v>46446</v>
      </c>
      <c r="D46" t="inlineStr">
        <is>
          <t>AMC-MH-57371</t>
        </is>
      </c>
    </row>
    <row r="47">
      <c r="A47" t="inlineStr">
        <is>
          <t>MH-DC-002-AGG-R02</t>
        </is>
      </c>
      <c r="B47" s="18" t="n">
        <v>45875</v>
      </c>
      <c r="C47" s="18" t="n">
        <v>46970</v>
      </c>
      <c r="D47" t="inlineStr">
        <is>
          <t>AMC-MH-57371</t>
        </is>
      </c>
    </row>
    <row r="48">
      <c r="A48" t="inlineStr">
        <is>
          <t>MH-DC-002-MMR-SW-01</t>
        </is>
      </c>
      <c r="B48" s="18" t="n">
        <v>44271</v>
      </c>
      <c r="C48" s="18" t="n">
        <v>45366</v>
      </c>
    </row>
    <row r="49">
      <c r="A49" t="inlineStr">
        <is>
          <t>MH-DC-002-MMR-SW-02</t>
        </is>
      </c>
      <c r="B49" s="18" t="n">
        <v>44959</v>
      </c>
      <c r="C49" s="18" t="n">
        <v>46054</v>
      </c>
      <c r="D49" t="inlineStr">
        <is>
          <t>AMC-MH-19534</t>
        </is>
      </c>
    </row>
    <row r="50">
      <c r="A50" t="inlineStr">
        <is>
          <t>MH-DC-002-MMR-SW-03</t>
        </is>
      </c>
      <c r="B50" s="18" t="n">
        <v>44724</v>
      </c>
      <c r="C50" s="18" t="n">
        <v>45819</v>
      </c>
      <c r="D50" t="inlineStr">
        <is>
          <t>AMC-MH-98078</t>
        </is>
      </c>
    </row>
    <row r="51">
      <c r="A51" t="inlineStr">
        <is>
          <t>MH-DC-002-MMR-SW-04</t>
        </is>
      </c>
      <c r="B51" s="18" t="n">
        <v>45076</v>
      </c>
      <c r="C51" s="18" t="n">
        <v>46171</v>
      </c>
      <c r="D51" t="inlineStr">
        <is>
          <t>AMC-MH-98078</t>
        </is>
      </c>
    </row>
    <row r="52">
      <c r="A52" t="inlineStr">
        <is>
          <t>MH-DC-002-TOR-001</t>
        </is>
      </c>
      <c r="B52" s="18" t="n">
        <v>45706</v>
      </c>
      <c r="C52" s="18" t="n">
        <v>46801</v>
      </c>
      <c r="D52" t="inlineStr">
        <is>
          <t>AMC-MH-19534</t>
        </is>
      </c>
    </row>
    <row r="53">
      <c r="A53" t="inlineStr">
        <is>
          <t>MH-DC-002-TOR-002</t>
        </is>
      </c>
      <c r="B53" s="18" t="n">
        <v>45640</v>
      </c>
      <c r="C53" s="18" t="n">
        <v>46735</v>
      </c>
      <c r="D53" t="inlineStr">
        <is>
          <t>AMC-MH-19534</t>
        </is>
      </c>
    </row>
    <row r="54">
      <c r="A54" t="inlineStr">
        <is>
          <t>MH-DC-002-TOR-003</t>
        </is>
      </c>
      <c r="B54" s="18" t="n">
        <v>44940</v>
      </c>
      <c r="C54" s="18" t="n">
        <v>46035</v>
      </c>
      <c r="D54" t="inlineStr">
        <is>
          <t>AMC-MH-98078</t>
        </is>
      </c>
    </row>
    <row r="55">
      <c r="A55" t="inlineStr">
        <is>
          <t>MH-DC-002-BMS-01</t>
        </is>
      </c>
      <c r="B55" s="18" t="n">
        <v>44427</v>
      </c>
      <c r="C55" s="18" t="n">
        <v>45522</v>
      </c>
      <c r="D55" t="inlineStr">
        <is>
          <t>AMC-MH-42110</t>
        </is>
      </c>
    </row>
    <row r="56">
      <c r="A56" t="inlineStr">
        <is>
          <t>MH-DC-002-BMS-02</t>
        </is>
      </c>
      <c r="B56" s="18" t="n">
        <v>44318</v>
      </c>
      <c r="C56" s="18" t="n">
        <v>45413</v>
      </c>
    </row>
    <row r="57">
      <c r="A57" t="inlineStr">
        <is>
          <t>MH-DC-002-ACS-01</t>
        </is>
      </c>
      <c r="B57" s="18" t="n">
        <v>44153</v>
      </c>
      <c r="C57" s="18" t="n">
        <v>45248</v>
      </c>
      <c r="D57" t="inlineStr">
        <is>
          <t>AMC-MH-42110</t>
        </is>
      </c>
    </row>
    <row r="58">
      <c r="A58" t="inlineStr">
        <is>
          <t>MH-DC-002-NVR-01</t>
        </is>
      </c>
      <c r="B58" s="18" t="n">
        <v>46262</v>
      </c>
      <c r="C58" s="18" t="n">
        <v>47357</v>
      </c>
      <c r="D58" t="inlineStr">
        <is>
          <t>AMC-MH-98500</t>
        </is>
      </c>
    </row>
    <row r="59">
      <c r="A59" t="inlineStr">
        <is>
          <t>MH-DC-002-JMP-01</t>
        </is>
      </c>
      <c r="B59" s="18" t="n">
        <v>46240</v>
      </c>
      <c r="C59" s="18" t="n">
        <v>47335</v>
      </c>
      <c r="D59" t="inlineStr">
        <is>
          <t>AMC-MH-39526</t>
        </is>
      </c>
    </row>
    <row r="60">
      <c r="A60" t="inlineStr">
        <is>
          <t>MH-DC-002-BKP-01</t>
        </is>
      </c>
      <c r="B60" s="18" t="n">
        <v>44809</v>
      </c>
      <c r="C60" s="18" t="n">
        <v>45904</v>
      </c>
      <c r="D60" t="inlineStr">
        <is>
          <t>AMC-MH-39526</t>
        </is>
      </c>
    </row>
    <row r="61">
      <c r="A61" t="inlineStr">
        <is>
          <t>MH-DC-002-DCIM-01</t>
        </is>
      </c>
      <c r="B61" s="18" t="n">
        <v>45350</v>
      </c>
      <c r="C61" s="18" t="n">
        <v>46445</v>
      </c>
      <c r="D61" t="inlineStr">
        <is>
          <t>AMC-MH-39526</t>
        </is>
      </c>
    </row>
    <row r="62">
      <c r="A62" t="inlineStr">
        <is>
          <t>MH-DC-002-DCIM-02</t>
        </is>
      </c>
      <c r="B62" s="18" t="n">
        <v>45417</v>
      </c>
      <c r="C62" s="18" t="n">
        <v>46512</v>
      </c>
      <c r="D62" t="inlineStr">
        <is>
          <t>AMC-MH-42110</t>
        </is>
      </c>
    </row>
    <row r="63">
      <c r="A63" t="inlineStr">
        <is>
          <t>MH-DC-002-MON-01</t>
        </is>
      </c>
      <c r="B63" s="18" t="n">
        <v>46136</v>
      </c>
      <c r="C63" s="18" t="n">
        <v>47961</v>
      </c>
      <c r="D63" t="inlineStr">
        <is>
          <t>AMC-MH-42110</t>
        </is>
      </c>
    </row>
    <row r="64">
      <c r="A64" t="inlineStr">
        <is>
          <t>MH-DC-002-MON-02</t>
        </is>
      </c>
      <c r="B64" s="18" t="n">
        <v>44718</v>
      </c>
      <c r="C64" s="18" t="n">
        <v>46543</v>
      </c>
      <c r="D64" t="inlineStr">
        <is>
          <t>AMC-MH-98500</t>
        </is>
      </c>
    </row>
  </sheetData>
  <autoFilter ref="A1:D64"/>
  <pageMargins left="0.75" right="0.75" top="1" bottom="1" header="0.5" footer="0.5"/>
  <legacyDrawing xmlns:r="http://schemas.openxmlformats.org/officeDocument/2006/relationships" r:id="anysvml"/>
</worksheet>
</file>

<file path=xl/worksheets/sheet34.xml><?xml version="1.0" encoding="utf-8"?>
<worksheet xmlns="http://schemas.openxmlformats.org/spreadsheetml/2006/main">
  <sheetPr>
    <tabColor rgb="002E6BD9"/>
    <outlinePr summaryBelow="1" summaryRight="1"/>
    <pageSetUpPr/>
  </sheetPr>
  <dimension ref="A1:D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16" customWidth="1" min="3" max="3"/>
    <col width="19" customWidth="1" min="4" max="4"/>
  </cols>
  <sheetData>
    <row r="1" ht="30" customHeight="1">
      <c r="A1" s="16" t="inlineStr">
        <is>
          <t>vendor *</t>
        </is>
      </c>
      <c r="B1" s="16" t="inlineStr">
        <is>
          <t>model *</t>
        </is>
      </c>
      <c r="C1" s="16" t="inlineStr">
        <is>
          <t>end_of_sale *</t>
        </is>
      </c>
      <c r="D1" s="16" t="inlineStr">
        <is>
          <t>end_of_support *</t>
        </is>
      </c>
    </row>
    <row r="2">
      <c r="A2" t="inlineStr">
        <is>
          <t>JUNIPER</t>
        </is>
      </c>
      <c r="B2" t="inlineStr">
        <is>
          <t>MX204</t>
        </is>
      </c>
      <c r="C2" s="18" t="n">
        <v>47669</v>
      </c>
      <c r="D2" s="18" t="n">
        <v>49494</v>
      </c>
    </row>
    <row r="3">
      <c r="A3" t="inlineStr">
        <is>
          <t>CISCO</t>
        </is>
      </c>
      <c r="B3" t="inlineStr">
        <is>
          <t>ASR 9006</t>
        </is>
      </c>
      <c r="C3" s="18" t="n">
        <v>44796</v>
      </c>
      <c r="D3" s="18" t="n">
        <v>46621</v>
      </c>
    </row>
    <row r="4">
      <c r="A4" t="inlineStr">
        <is>
          <t>FORTINET</t>
        </is>
      </c>
      <c r="B4" t="inlineStr">
        <is>
          <t>FortiGate 3700F</t>
        </is>
      </c>
      <c r="C4" s="18" t="n">
        <v>44286</v>
      </c>
      <c r="D4" s="18" t="n">
        <v>46111</v>
      </c>
    </row>
    <row r="5">
      <c r="A5" t="inlineStr">
        <is>
          <t>NOKIA</t>
        </is>
      </c>
      <c r="B5" t="inlineStr">
        <is>
          <t>1830 PSS-16II</t>
        </is>
      </c>
      <c r="C5" s="18" t="n">
        <v>47449</v>
      </c>
      <c r="D5" s="18" t="n">
        <v>49274</v>
      </c>
    </row>
    <row r="6">
      <c r="A6" t="inlineStr">
        <is>
          <t>JUNIPER</t>
        </is>
      </c>
      <c r="B6" t="inlineStr">
        <is>
          <t>MX480</t>
        </is>
      </c>
      <c r="C6" s="18" t="n">
        <v>47493</v>
      </c>
      <c r="D6" s="18" t="n">
        <v>49318</v>
      </c>
    </row>
    <row r="7">
      <c r="A7" t="inlineStr">
        <is>
          <t>JUNIPER</t>
        </is>
      </c>
      <c r="B7" t="inlineStr">
        <is>
          <t>QFX5100-48S</t>
        </is>
      </c>
      <c r="C7" s="18" t="n">
        <v>44396</v>
      </c>
      <c r="D7" s="18" t="n">
        <v>46146</v>
      </c>
    </row>
    <row r="8">
      <c r="A8" t="inlineStr">
        <is>
          <t>CISCO</t>
        </is>
      </c>
      <c r="B8" t="inlineStr">
        <is>
          <t>Nexus 93180YC</t>
        </is>
      </c>
      <c r="C8" s="18" t="n">
        <v>47433</v>
      </c>
      <c r="D8" s="18" t="n">
        <v>49258</v>
      </c>
    </row>
    <row r="9">
      <c r="A9" t="inlineStr">
        <is>
          <t>JUNIPER</t>
        </is>
      </c>
      <c r="B9" t="inlineStr">
        <is>
          <t>QFX5120-48Y</t>
        </is>
      </c>
      <c r="C9" s="18" t="n">
        <v>47839</v>
      </c>
      <c r="D9" s="18" t="n">
        <v>49664</v>
      </c>
    </row>
    <row r="10">
      <c r="A10" t="inlineStr">
        <is>
          <t>ARISTA</t>
        </is>
      </c>
      <c r="B10" t="inlineStr">
        <is>
          <t>7050SX3-48YC</t>
        </is>
      </c>
      <c r="C10" s="18" t="n">
        <v>47774</v>
      </c>
      <c r="D10" s="18" t="n">
        <v>49599</v>
      </c>
    </row>
    <row r="11">
      <c r="A11" t="inlineStr">
        <is>
          <t>CISCO</t>
        </is>
      </c>
      <c r="B11" t="inlineStr">
        <is>
          <t>Nexus 3172PQ</t>
        </is>
      </c>
      <c r="C11" s="18" t="n">
        <v>43896</v>
      </c>
      <c r="D11" s="18" t="n">
        <v>45726</v>
      </c>
    </row>
    <row r="12">
      <c r="A12" t="inlineStr">
        <is>
          <t>DELL</t>
        </is>
      </c>
      <c r="B12" t="inlineStr">
        <is>
          <t>PowerEdge R640</t>
        </is>
      </c>
      <c r="C12" s="18" t="n">
        <v>45196</v>
      </c>
      <c r="D12" s="18" t="n">
        <v>46996</v>
      </c>
    </row>
    <row r="13">
      <c r="A13" t="inlineStr">
        <is>
          <t>SUPERMICRO</t>
        </is>
      </c>
      <c r="B13" t="inlineStr">
        <is>
          <t>SYS-121H</t>
        </is>
      </c>
      <c r="C13" s="18" t="n">
        <v>47660</v>
      </c>
      <c r="D13" s="18" t="n">
        <v>49485</v>
      </c>
    </row>
    <row r="14">
      <c r="A14" t="inlineStr">
        <is>
          <t>HPE</t>
        </is>
      </c>
      <c r="B14" t="inlineStr">
        <is>
          <t>ProLiant DL380 Gen11</t>
        </is>
      </c>
      <c r="C14" s="18" t="n">
        <v>47336</v>
      </c>
      <c r="D14" s="18" t="n">
        <v>49161</v>
      </c>
    </row>
    <row r="15">
      <c r="A15" t="inlineStr">
        <is>
          <t>DELL</t>
        </is>
      </c>
      <c r="B15" t="inlineStr">
        <is>
          <t>PowerEdge R760</t>
        </is>
      </c>
      <c r="C15" s="18" t="n">
        <v>47778</v>
      </c>
      <c r="D15" s="18" t="n">
        <v>49603</v>
      </c>
    </row>
    <row r="16">
      <c r="A16" t="inlineStr">
        <is>
          <t>ARISTA</t>
        </is>
      </c>
      <c r="B16" t="inlineStr">
        <is>
          <t>7050QX-32S</t>
        </is>
      </c>
      <c r="C16" s="18" t="n">
        <v>43996</v>
      </c>
      <c r="D16" s="18" t="n">
        <v>45796</v>
      </c>
    </row>
    <row r="17">
      <c r="A17" t="inlineStr">
        <is>
          <t>SUPERMICRO</t>
        </is>
      </c>
      <c r="B17" t="inlineStr">
        <is>
          <t>SYS-120U-TNR</t>
        </is>
      </c>
      <c r="C17" s="18" t="n">
        <v>45696</v>
      </c>
      <c r="D17" s="18" t="n">
        <v>47316</v>
      </c>
    </row>
  </sheetData>
  <autoFilter ref="A1:D17"/>
  <pageMargins left="0.75" right="0.75" top="1" bottom="1" header="0.5" footer="0.5"/>
  <legacyDrawing xmlns:r="http://schemas.openxmlformats.org/officeDocument/2006/relationships" r:id="anysvml"/>
</worksheet>
</file>

<file path=xl/worksheets/sheet35.xml><?xml version="1.0" encoding="utf-8"?>
<worksheet xmlns="http://schemas.openxmlformats.org/spreadsheetml/2006/main">
  <sheetPr>
    <tabColor rgb="002E6BD9"/>
    <outlinePr summaryBelow="1" summaryRight="1"/>
    <pageSetUpPr/>
  </sheetPr>
  <dimension ref="A1:E3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25" customWidth="1" min="2" max="2"/>
    <col width="20" customWidth="1" min="3" max="3"/>
    <col width="12" customWidth="1" min="4" max="4"/>
    <col width="14" customWidth="1" min="5" max="5"/>
  </cols>
  <sheetData>
    <row r="1" ht="30" customHeight="1">
      <c r="A1" s="16" t="inlineStr">
        <is>
          <t>site_id *</t>
        </is>
      </c>
      <c r="B1" s="16" t="inlineStr">
        <is>
          <t>part *</t>
        </is>
      </c>
      <c r="C1" s="17" t="inlineStr">
        <is>
          <t>fits</t>
        </is>
      </c>
      <c r="D1" s="16" t="inlineStr">
        <is>
          <t>on_hand *</t>
        </is>
      </c>
      <c r="E1" s="16" t="inlineStr">
        <is>
          <t>min_level *</t>
        </is>
      </c>
    </row>
    <row r="2">
      <c r="A2" t="inlineStr">
        <is>
          <t>MH-DC-001</t>
        </is>
      </c>
      <c r="B2" t="inlineStr">
        <is>
          <t>NOKIA fan module</t>
        </is>
      </c>
      <c r="C2" t="inlineStr">
        <is>
          <t>NOKIA</t>
        </is>
      </c>
      <c r="D2" t="n">
        <v>0</v>
      </c>
      <c r="E2" t="n">
        <v>1</v>
      </c>
    </row>
    <row r="3">
      <c r="A3" t="inlineStr">
        <is>
          <t>MH-DC-001</t>
        </is>
      </c>
      <c r="B3" t="inlineStr">
        <is>
          <t>ARISTA fan module</t>
        </is>
      </c>
      <c r="C3" t="inlineStr">
        <is>
          <t>ARISTA</t>
        </is>
      </c>
      <c r="D3" t="n">
        <v>3</v>
      </c>
      <c r="E3" t="n">
        <v>1</v>
      </c>
    </row>
    <row r="4">
      <c r="A4" t="inlineStr">
        <is>
          <t>MH-DC-001</t>
        </is>
      </c>
      <c r="B4" t="inlineStr">
        <is>
          <t>ARISTA power supply</t>
        </is>
      </c>
      <c r="C4" t="inlineStr">
        <is>
          <t>ARISTA network</t>
        </is>
      </c>
      <c r="D4" t="n">
        <v>1</v>
      </c>
      <c r="E4" t="n">
        <v>1</v>
      </c>
    </row>
    <row r="5">
      <c r="A5" t="inlineStr">
        <is>
          <t>MH-DC-001</t>
        </is>
      </c>
      <c r="B5" t="inlineStr">
        <is>
          <t>CISCO fan module</t>
        </is>
      </c>
      <c r="C5" t="inlineStr">
        <is>
          <t>CISCO</t>
        </is>
      </c>
      <c r="D5" t="n">
        <v>3</v>
      </c>
      <c r="E5" t="n">
        <v>1</v>
      </c>
    </row>
    <row r="6">
      <c r="A6" t="inlineStr">
        <is>
          <t>MH-DC-001</t>
        </is>
      </c>
      <c r="B6" t="inlineStr">
        <is>
          <t>CISCO power supply</t>
        </is>
      </c>
      <c r="C6" t="inlineStr">
        <is>
          <t>CISCO network</t>
        </is>
      </c>
      <c r="D6" t="n">
        <v>2</v>
      </c>
      <c r="E6" t="n">
        <v>1</v>
      </c>
    </row>
    <row r="7">
      <c r="A7" t="inlineStr">
        <is>
          <t>MH-DC-001</t>
        </is>
      </c>
      <c r="B7" t="inlineStr">
        <is>
          <t>DELL fan module</t>
        </is>
      </c>
      <c r="C7" t="inlineStr">
        <is>
          <t>DELL</t>
        </is>
      </c>
      <c r="D7" t="n">
        <v>3</v>
      </c>
      <c r="E7" t="n">
        <v>1</v>
      </c>
    </row>
    <row r="8">
      <c r="A8" t="inlineStr">
        <is>
          <t>MH-DC-001</t>
        </is>
      </c>
      <c r="B8" t="inlineStr">
        <is>
          <t>DELL power supply</t>
        </is>
      </c>
      <c r="C8" t="inlineStr">
        <is>
          <t>DELL servers</t>
        </is>
      </c>
      <c r="D8" t="n">
        <v>5</v>
      </c>
      <c r="E8" t="n">
        <v>1</v>
      </c>
    </row>
    <row r="9">
      <c r="A9" t="inlineStr">
        <is>
          <t>MH-DC-001</t>
        </is>
      </c>
      <c r="B9" t="inlineStr">
        <is>
          <t>FORTINET fan module</t>
        </is>
      </c>
      <c r="C9" t="inlineStr">
        <is>
          <t>FORTINET</t>
        </is>
      </c>
      <c r="D9" t="n">
        <v>4</v>
      </c>
      <c r="E9" t="n">
        <v>1</v>
      </c>
    </row>
    <row r="10">
      <c r="A10" t="inlineStr">
        <is>
          <t>MH-DC-001</t>
        </is>
      </c>
      <c r="B10" t="inlineStr">
        <is>
          <t>FORTINET power supply</t>
        </is>
      </c>
      <c r="C10" t="inlineStr">
        <is>
          <t>FORTINET network</t>
        </is>
      </c>
      <c r="D10" t="n">
        <v>4</v>
      </c>
      <c r="E10" t="n">
        <v>1</v>
      </c>
    </row>
    <row r="11">
      <c r="A11" t="inlineStr">
        <is>
          <t>MH-DC-001</t>
        </is>
      </c>
      <c r="B11" t="inlineStr">
        <is>
          <t>HPE fan module</t>
        </is>
      </c>
      <c r="C11" t="inlineStr">
        <is>
          <t>HPE</t>
        </is>
      </c>
      <c r="D11" t="n">
        <v>2</v>
      </c>
      <c r="E11" t="n">
        <v>1</v>
      </c>
    </row>
    <row r="12">
      <c r="A12" t="inlineStr">
        <is>
          <t>MH-DC-001</t>
        </is>
      </c>
      <c r="B12" t="inlineStr">
        <is>
          <t>HPE power supply</t>
        </is>
      </c>
      <c r="C12" t="inlineStr">
        <is>
          <t>HPE servers</t>
        </is>
      </c>
      <c r="D12" t="n">
        <v>1</v>
      </c>
      <c r="E12" t="n">
        <v>1</v>
      </c>
    </row>
    <row r="13">
      <c r="A13" t="inlineStr">
        <is>
          <t>MH-DC-001</t>
        </is>
      </c>
      <c r="B13" t="inlineStr">
        <is>
          <t>JUNIPER fan module</t>
        </is>
      </c>
      <c r="C13" t="inlineStr">
        <is>
          <t>JUNIPER</t>
        </is>
      </c>
      <c r="D13" t="n">
        <v>2</v>
      </c>
      <c r="E13" t="n">
        <v>1</v>
      </c>
    </row>
    <row r="14">
      <c r="A14" t="inlineStr">
        <is>
          <t>MH-DC-001</t>
        </is>
      </c>
      <c r="B14" t="inlineStr">
        <is>
          <t>JUNIPER power supply</t>
        </is>
      </c>
      <c r="C14" t="inlineStr">
        <is>
          <t>JUNIPER network</t>
        </is>
      </c>
      <c r="D14" t="n">
        <v>1</v>
      </c>
      <c r="E14" t="n">
        <v>1</v>
      </c>
    </row>
    <row r="15">
      <c r="A15" t="inlineStr">
        <is>
          <t>MH-DC-001</t>
        </is>
      </c>
      <c r="B15" t="inlineStr">
        <is>
          <t>NOKIA power supply</t>
        </is>
      </c>
      <c r="C15" t="inlineStr">
        <is>
          <t>NOKIA network</t>
        </is>
      </c>
      <c r="D15" t="n">
        <v>5</v>
      </c>
      <c r="E15" t="n">
        <v>1</v>
      </c>
    </row>
    <row r="16">
      <c r="A16" t="inlineStr">
        <is>
          <t>MH-DC-001</t>
        </is>
      </c>
      <c r="B16" t="inlineStr">
        <is>
          <t>NVMe 3.84 TB</t>
        </is>
      </c>
      <c r="C16" t="inlineStr">
        <is>
          <t>servers</t>
        </is>
      </c>
      <c r="D16" t="n">
        <v>3</v>
      </c>
      <c r="E16" t="n">
        <v>2</v>
      </c>
    </row>
    <row r="17">
      <c r="A17" t="inlineStr">
        <is>
          <t>MH-DC-001</t>
        </is>
      </c>
      <c r="B17" t="inlineStr">
        <is>
          <t>QSFP28-100G-LR4</t>
        </is>
      </c>
      <c r="C17" t="inlineStr">
        <is>
          <t>optics</t>
        </is>
      </c>
      <c r="D17" t="n">
        <v>3</v>
      </c>
      <c r="E17" t="n">
        <v>1</v>
      </c>
    </row>
    <row r="18">
      <c r="A18" t="inlineStr">
        <is>
          <t>MH-DC-001</t>
        </is>
      </c>
      <c r="B18" t="inlineStr">
        <is>
          <t>SFP-10G-LR</t>
        </is>
      </c>
      <c r="C18" t="inlineStr">
        <is>
          <t>optics</t>
        </is>
      </c>
      <c r="D18" t="n">
        <v>5</v>
      </c>
      <c r="E18" t="n">
        <v>3</v>
      </c>
    </row>
    <row r="19">
      <c r="A19" t="inlineStr">
        <is>
          <t>MH-DC-001</t>
        </is>
      </c>
      <c r="B19" t="inlineStr">
        <is>
          <t>SUPERMICRO fan module</t>
        </is>
      </c>
      <c r="C19" t="inlineStr">
        <is>
          <t>SUPERMICRO</t>
        </is>
      </c>
      <c r="D19" t="n">
        <v>5</v>
      </c>
      <c r="E19" t="n">
        <v>1</v>
      </c>
    </row>
    <row r="20">
      <c r="A20" t="inlineStr">
        <is>
          <t>MH-DC-001</t>
        </is>
      </c>
      <c r="B20" t="inlineStr">
        <is>
          <t>SUPERMICRO power supply</t>
        </is>
      </c>
      <c r="C20" t="inlineStr">
        <is>
          <t>SUPERMICRO servers</t>
        </is>
      </c>
      <c r="D20" t="n">
        <v>1</v>
      </c>
      <c r="E20" t="n">
        <v>1</v>
      </c>
    </row>
    <row r="21">
      <c r="A21" t="inlineStr">
        <is>
          <t>MH-DC-002</t>
        </is>
      </c>
      <c r="B21" t="inlineStr">
        <is>
          <t>ARISTA fan module</t>
        </is>
      </c>
      <c r="C21" t="inlineStr">
        <is>
          <t>ARISTA</t>
        </is>
      </c>
      <c r="D21" t="n">
        <v>2</v>
      </c>
      <c r="E21" t="n">
        <v>1</v>
      </c>
    </row>
    <row r="22">
      <c r="A22" t="inlineStr">
        <is>
          <t>MH-DC-002</t>
        </is>
      </c>
      <c r="B22" t="inlineStr">
        <is>
          <t>ARISTA power supply</t>
        </is>
      </c>
      <c r="C22" t="inlineStr">
        <is>
          <t>ARISTA network</t>
        </is>
      </c>
      <c r="D22" t="n">
        <v>2</v>
      </c>
      <c r="E22" t="n">
        <v>1</v>
      </c>
    </row>
    <row r="23">
      <c r="A23" t="inlineStr">
        <is>
          <t>MH-DC-002</t>
        </is>
      </c>
      <c r="B23" t="inlineStr">
        <is>
          <t>CISCO fan module</t>
        </is>
      </c>
      <c r="C23" t="inlineStr">
        <is>
          <t>CISCO</t>
        </is>
      </c>
      <c r="D23" t="n">
        <v>5</v>
      </c>
      <c r="E23" t="n">
        <v>1</v>
      </c>
    </row>
    <row r="24">
      <c r="A24" t="inlineStr">
        <is>
          <t>MH-DC-002</t>
        </is>
      </c>
      <c r="B24" t="inlineStr">
        <is>
          <t>CISCO power supply</t>
        </is>
      </c>
      <c r="C24" t="inlineStr">
        <is>
          <t>CISCO network</t>
        </is>
      </c>
      <c r="D24" t="n">
        <v>3</v>
      </c>
      <c r="E24" t="n">
        <v>1</v>
      </c>
    </row>
    <row r="25">
      <c r="A25" t="inlineStr">
        <is>
          <t>MH-DC-002</t>
        </is>
      </c>
      <c r="B25" t="inlineStr">
        <is>
          <t>DELL fan module</t>
        </is>
      </c>
      <c r="C25" t="inlineStr">
        <is>
          <t>DELL</t>
        </is>
      </c>
      <c r="D25" t="n">
        <v>1</v>
      </c>
      <c r="E25" t="n">
        <v>1</v>
      </c>
    </row>
    <row r="26">
      <c r="A26" t="inlineStr">
        <is>
          <t>MH-DC-002</t>
        </is>
      </c>
      <c r="B26" t="inlineStr">
        <is>
          <t>DELL power supply</t>
        </is>
      </c>
      <c r="C26" t="inlineStr">
        <is>
          <t>DELL servers</t>
        </is>
      </c>
      <c r="D26" t="n">
        <v>4</v>
      </c>
      <c r="E26" t="n">
        <v>1</v>
      </c>
    </row>
    <row r="27">
      <c r="A27" t="inlineStr">
        <is>
          <t>MH-DC-002</t>
        </is>
      </c>
      <c r="B27" t="inlineStr">
        <is>
          <t>FORTINET fan module</t>
        </is>
      </c>
      <c r="C27" t="inlineStr">
        <is>
          <t>FORTINET</t>
        </is>
      </c>
      <c r="D27" t="n">
        <v>5</v>
      </c>
      <c r="E27" t="n">
        <v>1</v>
      </c>
    </row>
    <row r="28">
      <c r="A28" t="inlineStr">
        <is>
          <t>MH-DC-002</t>
        </is>
      </c>
      <c r="B28" t="inlineStr">
        <is>
          <t>FORTINET power supply</t>
        </is>
      </c>
      <c r="C28" t="inlineStr">
        <is>
          <t>FORTINET network</t>
        </is>
      </c>
      <c r="D28" t="n">
        <v>2</v>
      </c>
      <c r="E28" t="n">
        <v>1</v>
      </c>
    </row>
    <row r="29">
      <c r="A29" t="inlineStr">
        <is>
          <t>MH-DC-002</t>
        </is>
      </c>
      <c r="B29" t="inlineStr">
        <is>
          <t>HPE fan module</t>
        </is>
      </c>
      <c r="C29" t="inlineStr">
        <is>
          <t>HPE</t>
        </is>
      </c>
      <c r="D29" t="n">
        <v>4</v>
      </c>
      <c r="E29" t="n">
        <v>1</v>
      </c>
    </row>
    <row r="30">
      <c r="A30" t="inlineStr">
        <is>
          <t>MH-DC-002</t>
        </is>
      </c>
      <c r="B30" t="inlineStr">
        <is>
          <t>HPE power supply</t>
        </is>
      </c>
      <c r="C30" t="inlineStr">
        <is>
          <t>HPE servers</t>
        </is>
      </c>
      <c r="D30" t="n">
        <v>4</v>
      </c>
      <c r="E30" t="n">
        <v>1</v>
      </c>
    </row>
    <row r="31">
      <c r="A31" t="inlineStr">
        <is>
          <t>MH-DC-002</t>
        </is>
      </c>
      <c r="B31" t="inlineStr">
        <is>
          <t>JUNIPER fan module</t>
        </is>
      </c>
      <c r="C31" t="inlineStr">
        <is>
          <t>JUNIPER</t>
        </is>
      </c>
      <c r="D31" t="n">
        <v>2</v>
      </c>
      <c r="E31" t="n">
        <v>1</v>
      </c>
    </row>
    <row r="32">
      <c r="A32" t="inlineStr">
        <is>
          <t>MH-DC-002</t>
        </is>
      </c>
      <c r="B32" t="inlineStr">
        <is>
          <t>JUNIPER power supply</t>
        </is>
      </c>
      <c r="C32" t="inlineStr">
        <is>
          <t>JUNIPER network</t>
        </is>
      </c>
      <c r="D32" t="n">
        <v>1</v>
      </c>
      <c r="E32" t="n">
        <v>1</v>
      </c>
    </row>
    <row r="33">
      <c r="A33" t="inlineStr">
        <is>
          <t>MH-DC-002</t>
        </is>
      </c>
      <c r="B33" t="inlineStr">
        <is>
          <t>NOKIA fan module</t>
        </is>
      </c>
      <c r="C33" t="inlineStr">
        <is>
          <t>NOKIA</t>
        </is>
      </c>
      <c r="D33" t="n">
        <v>4</v>
      </c>
      <c r="E33" t="n">
        <v>1</v>
      </c>
    </row>
    <row r="34">
      <c r="A34" t="inlineStr">
        <is>
          <t>MH-DC-002</t>
        </is>
      </c>
      <c r="B34" t="inlineStr">
        <is>
          <t>NOKIA power supply</t>
        </is>
      </c>
      <c r="C34" t="inlineStr">
        <is>
          <t>NOKIA network</t>
        </is>
      </c>
      <c r="D34" t="n">
        <v>4</v>
      </c>
      <c r="E34" t="n">
        <v>1</v>
      </c>
    </row>
    <row r="35">
      <c r="A35" t="inlineStr">
        <is>
          <t>MH-DC-002</t>
        </is>
      </c>
      <c r="B35" t="inlineStr">
        <is>
          <t>NVMe 3.84 TB</t>
        </is>
      </c>
      <c r="C35" t="inlineStr">
        <is>
          <t>servers</t>
        </is>
      </c>
      <c r="D35" t="n">
        <v>5</v>
      </c>
      <c r="E35" t="n">
        <v>1</v>
      </c>
    </row>
    <row r="36">
      <c r="A36" t="inlineStr">
        <is>
          <t>MH-DC-002</t>
        </is>
      </c>
      <c r="B36" t="inlineStr">
        <is>
          <t>QSFP28-100G-LR4</t>
        </is>
      </c>
      <c r="C36" t="inlineStr">
        <is>
          <t>optics</t>
        </is>
      </c>
      <c r="D36" t="n">
        <v>3</v>
      </c>
      <c r="E36" t="n">
        <v>1</v>
      </c>
    </row>
    <row r="37">
      <c r="A37" t="inlineStr">
        <is>
          <t>MH-DC-002</t>
        </is>
      </c>
      <c r="B37" t="inlineStr">
        <is>
          <t>SFP-10G-LR</t>
        </is>
      </c>
      <c r="C37" t="inlineStr">
        <is>
          <t>optics</t>
        </is>
      </c>
      <c r="D37" t="n">
        <v>4</v>
      </c>
      <c r="E37" t="n">
        <v>2</v>
      </c>
    </row>
    <row r="38">
      <c r="A38" t="inlineStr">
        <is>
          <t>MH-DC-002</t>
        </is>
      </c>
      <c r="B38" t="inlineStr">
        <is>
          <t>SUPERMICRO fan module</t>
        </is>
      </c>
      <c r="C38" t="inlineStr">
        <is>
          <t>SUPERMICRO</t>
        </is>
      </c>
      <c r="D38" t="n">
        <v>2</v>
      </c>
      <c r="E38" t="n">
        <v>1</v>
      </c>
    </row>
    <row r="39">
      <c r="A39" t="inlineStr">
        <is>
          <t>MH-DC-002</t>
        </is>
      </c>
      <c r="B39" t="inlineStr">
        <is>
          <t>SUPERMICRO power supply</t>
        </is>
      </c>
      <c r="C39" t="inlineStr">
        <is>
          <t>SUPERMICRO servers</t>
        </is>
      </c>
      <c r="D39" t="n">
        <v>2</v>
      </c>
      <c r="E39" t="n">
        <v>1</v>
      </c>
    </row>
  </sheetData>
  <autoFilter ref="A1:E39"/>
  <pageMargins left="0.75" right="0.75" top="1" bottom="1" header="0.5" footer="0.5"/>
  <legacyDrawing xmlns:r="http://schemas.openxmlformats.org/officeDocument/2006/relationships" r:id="anysvml"/>
</worksheet>
</file>

<file path=xl/worksheets/sheet36.xml><?xml version="1.0" encoding="utf-8"?>
<worksheet xmlns="http://schemas.openxmlformats.org/spreadsheetml/2006/main">
  <sheetPr>
    <tabColor rgb="002E6BD9"/>
    <outlinePr summaryBelow="1" summaryRight="1"/>
    <pageSetUpPr/>
  </sheetPr>
  <dimension ref="A1:H5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2" customWidth="1" min="2" max="2"/>
    <col width="19" customWidth="1" min="3" max="3"/>
    <col width="12" customWidth="1" min="4" max="4"/>
    <col width="48" customWidth="1" min="5" max="5"/>
    <col width="18" customWidth="1" min="6" max="6"/>
    <col width="14" customWidth="1" min="7" max="7"/>
    <col width="17" customWidth="1" min="8" max="8"/>
  </cols>
  <sheetData>
    <row r="1" ht="30" customHeight="1">
      <c r="A1" s="16" t="inlineStr">
        <is>
          <t>task_id *</t>
        </is>
      </c>
      <c r="B1" s="16" t="inlineStr">
        <is>
          <t>site_id *</t>
        </is>
      </c>
      <c r="C1" s="16" t="inlineStr">
        <is>
          <t>asset_id *</t>
        </is>
      </c>
      <c r="D1" s="16" t="inlineStr">
        <is>
          <t>kind *</t>
        </is>
      </c>
      <c r="E1" s="16" t="inlineStr">
        <is>
          <t>task *</t>
        </is>
      </c>
      <c r="F1" s="16" t="inlineStr">
        <is>
          <t>interval_days *</t>
        </is>
      </c>
      <c r="G1" s="16" t="inlineStr">
        <is>
          <t>last_done *</t>
        </is>
      </c>
      <c r="H1" s="17" t="inlineStr">
        <is>
          <t>owner</t>
        </is>
      </c>
    </row>
    <row r="2">
      <c r="A2" t="inlineStr">
        <is>
          <t>MH-DC-001-PM-024</t>
        </is>
      </c>
      <c r="B2" t="inlineStr">
        <is>
          <t>MH-DC-001</t>
        </is>
      </c>
      <c r="C2" t="inlineStr">
        <is>
          <t>MH-DC-001-LV</t>
        </is>
      </c>
      <c r="D2" t="inlineStr">
        <is>
          <t>Electrical</t>
        </is>
      </c>
      <c r="E2" t="inlineStr">
        <is>
          <t>Annual thermography and ATS transfer test</t>
        </is>
      </c>
      <c r="F2" t="n">
        <v>365</v>
      </c>
      <c r="G2" s="18" t="n">
        <v>45832</v>
      </c>
      <c r="H2" t="inlineStr">
        <is>
          <t>Sarah Chen</t>
        </is>
      </c>
    </row>
    <row r="3">
      <c r="A3" t="inlineStr">
        <is>
          <t>MH-DC-001-PM-001</t>
        </is>
      </c>
      <c r="B3" t="inlineStr">
        <is>
          <t>MH-DC-001</t>
        </is>
      </c>
      <c r="C3" t="inlineStr">
        <is>
          <t>MH-DC-001-UPS-1</t>
        </is>
      </c>
      <c r="D3" t="inlineStr">
        <is>
          <t>UPS</t>
        </is>
      </c>
      <c r="E3" t="inlineStr">
        <is>
          <t>Quarterly inspection and thermal scan</t>
        </is>
      </c>
      <c r="F3" t="n">
        <v>91</v>
      </c>
      <c r="G3" s="18" t="n">
        <v>46183</v>
      </c>
      <c r="H3" t="inlineStr">
        <is>
          <t>Anil Kulkarni</t>
        </is>
      </c>
    </row>
    <row r="4">
      <c r="A4" t="inlineStr">
        <is>
          <t>MH-DC-001-PM-009</t>
        </is>
      </c>
      <c r="B4" t="inlineStr">
        <is>
          <t>MH-DC-001</t>
        </is>
      </c>
      <c r="C4" t="inlineStr">
        <is>
          <t>MH-DC-001-DG</t>
        </is>
      </c>
      <c r="D4" t="inlineStr">
        <is>
          <t>Generator</t>
        </is>
      </c>
      <c r="E4" t="inlineStr">
        <is>
          <t>Monthly on-load run</t>
        </is>
      </c>
      <c r="F4" t="n">
        <v>30</v>
      </c>
      <c r="G4" s="18" t="n">
        <v>46261</v>
      </c>
      <c r="H4" t="inlineStr">
        <is>
          <t>Sarah Chen</t>
        </is>
      </c>
    </row>
    <row r="5">
      <c r="A5" t="inlineStr">
        <is>
          <t>MH-DC-001-PM-023</t>
        </is>
      </c>
      <c r="B5" t="inlineStr">
        <is>
          <t>MH-DC-001</t>
        </is>
      </c>
      <c r="C5" t="inlineStr">
        <is>
          <t>MH-DC-001-FZ-04</t>
        </is>
      </c>
      <c r="D5" t="inlineStr">
        <is>
          <t>Fire</t>
        </is>
      </c>
      <c r="E5" t="inlineStr">
        <is>
          <t>Gas suppression inspection</t>
        </is>
      </c>
      <c r="F5" t="n">
        <v>91</v>
      </c>
      <c r="G5" s="18" t="n">
        <v>46203</v>
      </c>
      <c r="H5" t="inlineStr">
        <is>
          <t>Rahul Deshpande</t>
        </is>
      </c>
    </row>
    <row r="6">
      <c r="A6" t="inlineStr">
        <is>
          <t>MH-DC-001-PM-010</t>
        </is>
      </c>
      <c r="B6" t="inlineStr">
        <is>
          <t>MH-DC-001</t>
        </is>
      </c>
      <c r="C6" t="inlineStr">
        <is>
          <t>MH-DC-001-DG</t>
        </is>
      </c>
      <c r="D6" t="inlineStr">
        <is>
          <t>Generator</t>
        </is>
      </c>
      <c r="E6" t="inlineStr">
        <is>
          <t>DG load-bank test — 125 kVA set (booked in place of: annual load-bank test)</t>
        </is>
      </c>
      <c r="F6" t="n">
        <v>365</v>
      </c>
      <c r="G6" s="18" t="n">
        <v>46195</v>
      </c>
      <c r="H6" t="inlineStr">
        <is>
          <t>Anil Kulkarni</t>
        </is>
      </c>
    </row>
    <row r="7">
      <c r="A7" t="inlineStr">
        <is>
          <t>MH-DC-001-PM-014</t>
        </is>
      </c>
      <c r="B7" t="inlineStr">
        <is>
          <t>MH-DC-001</t>
        </is>
      </c>
      <c r="C7" t="inlineStr">
        <is>
          <t>MH-DC-001-CRAH-13</t>
        </is>
      </c>
      <c r="D7" t="inlineStr">
        <is>
          <t>Cooling</t>
        </is>
      </c>
      <c r="E7" t="inlineStr">
        <is>
          <t>Filter change and coil clean</t>
        </is>
      </c>
      <c r="F7" t="n">
        <v>91</v>
      </c>
      <c r="G7" s="18" t="n">
        <v>46218</v>
      </c>
      <c r="H7" t="inlineStr">
        <is>
          <t>Sarah Chen</t>
        </is>
      </c>
    </row>
    <row r="8">
      <c r="A8" t="inlineStr">
        <is>
          <t>MH-DC-001-PM-007</t>
        </is>
      </c>
      <c r="B8" t="inlineStr">
        <is>
          <t>MH-DC-001</t>
        </is>
      </c>
      <c r="C8" t="inlineStr">
        <is>
          <t>MH-DC-001-UPS-4</t>
        </is>
      </c>
      <c r="D8" t="inlineStr">
        <is>
          <t>UPS</t>
        </is>
      </c>
      <c r="E8" t="inlineStr">
        <is>
          <t>Quarterly inspection and thermal scan</t>
        </is>
      </c>
      <c r="F8" t="n">
        <v>91</v>
      </c>
      <c r="G8" s="18" t="n">
        <v>46220</v>
      </c>
      <c r="H8" t="inlineStr">
        <is>
          <t>David Kim</t>
        </is>
      </c>
    </row>
    <row r="9">
      <c r="A9" t="inlineStr">
        <is>
          <t>MH-DC-001-PM-005</t>
        </is>
      </c>
      <c r="B9" t="inlineStr">
        <is>
          <t>MH-DC-001</t>
        </is>
      </c>
      <c r="C9" t="inlineStr">
        <is>
          <t>MH-DC-001-UPS-3</t>
        </is>
      </c>
      <c r="D9" t="inlineStr">
        <is>
          <t>UPS</t>
        </is>
      </c>
      <c r="E9" t="inlineStr">
        <is>
          <t>Quarterly inspection and thermal scan</t>
        </is>
      </c>
      <c r="F9" t="n">
        <v>91</v>
      </c>
      <c r="G9" s="18" t="n">
        <v>46223</v>
      </c>
      <c r="H9" t="inlineStr">
        <is>
          <t>David Kim</t>
        </is>
      </c>
    </row>
    <row r="10">
      <c r="A10" t="inlineStr">
        <is>
          <t>MH-DC-001-PM-012</t>
        </is>
      </c>
      <c r="B10" t="inlineStr">
        <is>
          <t>MH-DC-001</t>
        </is>
      </c>
      <c r="C10" t="inlineStr">
        <is>
          <t>MH-DC-001-CRAH-11</t>
        </is>
      </c>
      <c r="D10" t="inlineStr">
        <is>
          <t>Cooling</t>
        </is>
      </c>
      <c r="E10" t="inlineStr">
        <is>
          <t>Filter change and coil clean</t>
        </is>
      </c>
      <c r="F10" t="n">
        <v>91</v>
      </c>
      <c r="G10" s="18" t="n">
        <v>46224</v>
      </c>
      <c r="H10" t="inlineStr">
        <is>
          <t>Anil Kulkarni</t>
        </is>
      </c>
    </row>
    <row r="11">
      <c r="A11" t="inlineStr">
        <is>
          <t>MH-DC-001-PM-020</t>
        </is>
      </c>
      <c r="B11" t="inlineStr">
        <is>
          <t>MH-DC-001</t>
        </is>
      </c>
      <c r="C11" t="inlineStr">
        <is>
          <t>MH-DC-001-FZ-01</t>
        </is>
      </c>
      <c r="D11" t="inlineStr">
        <is>
          <t>Fire</t>
        </is>
      </c>
      <c r="E11" t="inlineStr">
        <is>
          <t>Gas suppression inspection</t>
        </is>
      </c>
      <c r="F11" t="n">
        <v>91</v>
      </c>
      <c r="G11" s="18" t="n">
        <v>46232</v>
      </c>
      <c r="H11" t="inlineStr">
        <is>
          <t>Vikram Singh</t>
        </is>
      </c>
    </row>
    <row r="12">
      <c r="A12" t="inlineStr">
        <is>
          <t>MH-DC-001-PM-019</t>
        </is>
      </c>
      <c r="B12" t="inlineStr">
        <is>
          <t>MH-DC-001</t>
        </is>
      </c>
      <c r="C12" t="inlineStr">
        <is>
          <t>MH-DC-001-CRAH-18</t>
        </is>
      </c>
      <c r="D12" t="inlineStr">
        <is>
          <t>Cooling</t>
        </is>
      </c>
      <c r="E12" t="inlineStr">
        <is>
          <t>Filter change and coil clean</t>
        </is>
      </c>
      <c r="F12" t="n">
        <v>91</v>
      </c>
      <c r="G12" s="18" t="n">
        <v>46233</v>
      </c>
      <c r="H12" t="inlineStr">
        <is>
          <t>Sneha Patil</t>
        </is>
      </c>
    </row>
    <row r="13">
      <c r="A13" t="inlineStr">
        <is>
          <t>MH-DC-001-PM-022</t>
        </is>
      </c>
      <c r="B13" t="inlineStr">
        <is>
          <t>MH-DC-001</t>
        </is>
      </c>
      <c r="C13" t="inlineStr">
        <is>
          <t>MH-DC-001-FZ-03</t>
        </is>
      </c>
      <c r="D13" t="inlineStr">
        <is>
          <t>Fire</t>
        </is>
      </c>
      <c r="E13" t="inlineStr">
        <is>
          <t>Gas suppression inspection</t>
        </is>
      </c>
      <c r="F13" t="n">
        <v>91</v>
      </c>
      <c r="G13" s="18" t="n">
        <v>46235</v>
      </c>
      <c r="H13" t="inlineStr">
        <is>
          <t>Mike Johnson</t>
        </is>
      </c>
    </row>
    <row r="14">
      <c r="A14" t="inlineStr">
        <is>
          <t>MH-DC-001-PM-003</t>
        </is>
      </c>
      <c r="B14" t="inlineStr">
        <is>
          <t>MH-DC-001</t>
        </is>
      </c>
      <c r="C14" t="inlineStr">
        <is>
          <t>MH-DC-001-UPS-2</t>
        </is>
      </c>
      <c r="D14" t="inlineStr">
        <is>
          <t>UPS</t>
        </is>
      </c>
      <c r="E14" t="inlineStr">
        <is>
          <t>Quarterly inspection and thermal scan</t>
        </is>
      </c>
      <c r="F14" t="n">
        <v>91</v>
      </c>
      <c r="G14" s="18" t="n">
        <v>46246</v>
      </c>
      <c r="H14" t="inlineStr">
        <is>
          <t>James Wilson</t>
        </is>
      </c>
    </row>
    <row r="15">
      <c r="A15" t="inlineStr">
        <is>
          <t>MH-DC-001-PM-015</t>
        </is>
      </c>
      <c r="B15" t="inlineStr">
        <is>
          <t>MH-DC-001</t>
        </is>
      </c>
      <c r="C15" t="inlineStr">
        <is>
          <t>MH-DC-001-CRAH-14</t>
        </is>
      </c>
      <c r="D15" t="inlineStr">
        <is>
          <t>Cooling</t>
        </is>
      </c>
      <c r="E15" t="inlineStr">
        <is>
          <t>Filter change and coil clean</t>
        </is>
      </c>
      <c r="F15" t="n">
        <v>91</v>
      </c>
      <c r="G15" s="18" t="n">
        <v>46251</v>
      </c>
      <c r="H15" t="inlineStr">
        <is>
          <t>Priya Nair</t>
        </is>
      </c>
    </row>
    <row r="16">
      <c r="A16" t="inlineStr">
        <is>
          <t>MH-DC-001-PM-018</t>
        </is>
      </c>
      <c r="B16" t="inlineStr">
        <is>
          <t>MH-DC-001</t>
        </is>
      </c>
      <c r="C16" t="inlineStr">
        <is>
          <t>MH-DC-001-CRAH-17</t>
        </is>
      </c>
      <c r="D16" t="inlineStr">
        <is>
          <t>Cooling</t>
        </is>
      </c>
      <c r="E16" t="inlineStr">
        <is>
          <t>Filter change and coil clean</t>
        </is>
      </c>
      <c r="F16" t="n">
        <v>91</v>
      </c>
      <c r="G16" s="18" t="n">
        <v>46252</v>
      </c>
      <c r="H16" t="inlineStr">
        <is>
          <t>Priya Nair</t>
        </is>
      </c>
    </row>
    <row r="17">
      <c r="A17" t="inlineStr">
        <is>
          <t>MH-DC-001-PM-008</t>
        </is>
      </c>
      <c r="B17" t="inlineStr">
        <is>
          <t>MH-DC-001</t>
        </is>
      </c>
      <c r="C17" t="inlineStr">
        <is>
          <t>MH-DC-001-UPS-4</t>
        </is>
      </c>
      <c r="D17" t="inlineStr">
        <is>
          <t>Battery</t>
        </is>
      </c>
      <c r="E17" t="inlineStr">
        <is>
          <t>Battery string impedance test</t>
        </is>
      </c>
      <c r="F17" t="n">
        <v>182</v>
      </c>
      <c r="G17" s="18" t="n">
        <v>46165</v>
      </c>
      <c r="H17" t="inlineStr">
        <is>
          <t>Priya Nair</t>
        </is>
      </c>
    </row>
    <row r="18">
      <c r="A18" t="inlineStr">
        <is>
          <t>MH-DC-001-PM-013</t>
        </is>
      </c>
      <c r="B18" t="inlineStr">
        <is>
          <t>MH-DC-001</t>
        </is>
      </c>
      <c r="C18" t="inlineStr">
        <is>
          <t>MH-DC-001-CRAH-12</t>
        </is>
      </c>
      <c r="D18" t="inlineStr">
        <is>
          <t>Cooling</t>
        </is>
      </c>
      <c r="E18" t="inlineStr">
        <is>
          <t>Filter change and coil clean</t>
        </is>
      </c>
      <c r="F18" t="n">
        <v>91</v>
      </c>
      <c r="G18" s="18" t="n">
        <v>46257</v>
      </c>
      <c r="H18" t="inlineStr">
        <is>
          <t>James Wilson</t>
        </is>
      </c>
    </row>
    <row r="19">
      <c r="A19" t="inlineStr">
        <is>
          <t>MH-DC-001-PM-021</t>
        </is>
      </c>
      <c r="B19" t="inlineStr">
        <is>
          <t>MH-DC-001</t>
        </is>
      </c>
      <c r="C19" t="inlineStr">
        <is>
          <t>MH-DC-001-FZ-02</t>
        </is>
      </c>
      <c r="D19" t="inlineStr">
        <is>
          <t>Fire</t>
        </is>
      </c>
      <c r="E19" t="inlineStr">
        <is>
          <t>Gas suppression inspection</t>
        </is>
      </c>
      <c r="F19" t="n">
        <v>91</v>
      </c>
      <c r="G19" s="18" t="n">
        <v>46258</v>
      </c>
      <c r="H19" t="inlineStr">
        <is>
          <t>Meera Iyer</t>
        </is>
      </c>
    </row>
    <row r="20">
      <c r="A20" t="inlineStr">
        <is>
          <t>MH-DC-001-PM-016</t>
        </is>
      </c>
      <c r="B20" t="inlineStr">
        <is>
          <t>MH-DC-001</t>
        </is>
      </c>
      <c r="C20" t="inlineStr">
        <is>
          <t>MH-DC-001-CRAH-15</t>
        </is>
      </c>
      <c r="D20" t="inlineStr">
        <is>
          <t>Cooling</t>
        </is>
      </c>
      <c r="E20" t="inlineStr">
        <is>
          <t>Filter change and coil clean</t>
        </is>
      </c>
      <c r="F20" t="n">
        <v>91</v>
      </c>
      <c r="G20" s="18" t="n">
        <v>46276</v>
      </c>
      <c r="H20" t="inlineStr">
        <is>
          <t>Sneha Patil</t>
        </is>
      </c>
    </row>
    <row r="21">
      <c r="A21" t="inlineStr">
        <is>
          <t>MH-DC-001-PM-017</t>
        </is>
      </c>
      <c r="B21" t="inlineStr">
        <is>
          <t>MH-DC-001</t>
        </is>
      </c>
      <c r="C21" t="inlineStr">
        <is>
          <t>MH-DC-001-CRAH-16</t>
        </is>
      </c>
      <c r="D21" t="inlineStr">
        <is>
          <t>Cooling</t>
        </is>
      </c>
      <c r="E21" t="inlineStr">
        <is>
          <t>Filter change and coil clean</t>
        </is>
      </c>
      <c r="F21" t="n">
        <v>91</v>
      </c>
      <c r="G21" s="18" t="n">
        <v>46286</v>
      </c>
      <c r="H21" t="inlineStr">
        <is>
          <t>James Wilson</t>
        </is>
      </c>
    </row>
    <row r="22">
      <c r="A22" t="inlineStr">
        <is>
          <t>MH-DC-001-PM-004</t>
        </is>
      </c>
      <c r="B22" t="inlineStr">
        <is>
          <t>MH-DC-001</t>
        </is>
      </c>
      <c r="C22" t="inlineStr">
        <is>
          <t>MH-DC-001-UPS-2</t>
        </is>
      </c>
      <c r="D22" t="inlineStr">
        <is>
          <t>Battery</t>
        </is>
      </c>
      <c r="E22" t="inlineStr">
        <is>
          <t>Battery string impedance test</t>
        </is>
      </c>
      <c r="F22" t="n">
        <v>182</v>
      </c>
      <c r="G22" s="18" t="n">
        <v>46205</v>
      </c>
      <c r="H22" t="inlineStr">
        <is>
          <t>David Kim</t>
        </is>
      </c>
    </row>
    <row r="23">
      <c r="A23" t="inlineStr">
        <is>
          <t>MH-DC-001-PM-002</t>
        </is>
      </c>
      <c r="B23" t="inlineStr">
        <is>
          <t>MH-DC-001</t>
        </is>
      </c>
      <c r="C23" t="inlineStr">
        <is>
          <t>MH-DC-001-UPS-1</t>
        </is>
      </c>
      <c r="D23" t="inlineStr">
        <is>
          <t>Battery</t>
        </is>
      </c>
      <c r="E23" t="inlineStr">
        <is>
          <t>Battery string impedance test</t>
        </is>
      </c>
      <c r="F23" t="n">
        <v>182</v>
      </c>
      <c r="G23" s="18" t="n">
        <v>46237</v>
      </c>
      <c r="H23" t="inlineStr">
        <is>
          <t>Rahul Deshpande</t>
        </is>
      </c>
    </row>
    <row r="24">
      <c r="A24" t="inlineStr">
        <is>
          <t>MH-DC-001-PM-006</t>
        </is>
      </c>
      <c r="B24" t="inlineStr">
        <is>
          <t>MH-DC-001</t>
        </is>
      </c>
      <c r="C24" t="inlineStr">
        <is>
          <t>MH-DC-001-UPS-3</t>
        </is>
      </c>
      <c r="D24" t="inlineStr">
        <is>
          <t>Battery</t>
        </is>
      </c>
      <c r="E24" t="inlineStr">
        <is>
          <t>Battery string impedance test</t>
        </is>
      </c>
      <c r="F24" t="n">
        <v>182</v>
      </c>
      <c r="G24" s="18" t="n">
        <v>46249</v>
      </c>
      <c r="H24" t="inlineStr">
        <is>
          <t>Mike Johnson</t>
        </is>
      </c>
    </row>
    <row r="25">
      <c r="A25" t="inlineStr">
        <is>
          <t>MH-DC-001-PM-011</t>
        </is>
      </c>
      <c r="B25" t="inlineStr">
        <is>
          <t>MH-DC-001</t>
        </is>
      </c>
      <c r="C25" t="inlineStr">
        <is>
          <t>MH-DC-001-BATT-01</t>
        </is>
      </c>
      <c r="D25" t="inlineStr">
        <is>
          <t>Battery</t>
        </is>
      </c>
      <c r="E25" t="inlineStr">
        <is>
          <t>Discharge test (−48 V plant)</t>
        </is>
      </c>
      <c r="F25" t="n">
        <v>182</v>
      </c>
      <c r="G25" s="18" t="n">
        <v>46256</v>
      </c>
      <c r="H25" t="inlineStr">
        <is>
          <t>Meera Iyer</t>
        </is>
      </c>
    </row>
    <row r="26">
      <c r="A26" t="inlineStr">
        <is>
          <t>MH-DC-001-PM-025</t>
        </is>
      </c>
      <c r="B26" t="inlineStr">
        <is>
          <t>MH-DC-001</t>
        </is>
      </c>
      <c r="C26" t="inlineStr">
        <is>
          <t>MH-DC-001-PDU</t>
        </is>
      </c>
      <c r="D26" t="inlineStr">
        <is>
          <t>Electrical</t>
        </is>
      </c>
      <c r="E26" t="inlineStr">
        <is>
          <t>Annual PDU thermography</t>
        </is>
      </c>
      <c r="F26" t="n">
        <v>365</v>
      </c>
      <c r="G26" s="18" t="n">
        <v>46124</v>
      </c>
      <c r="H26" t="inlineStr">
        <is>
          <t>David Kim</t>
        </is>
      </c>
    </row>
    <row r="27">
      <c r="A27" t="inlineStr">
        <is>
          <t>MH-DC-002-PM-012</t>
        </is>
      </c>
      <c r="B27" t="inlineStr">
        <is>
          <t>MH-DC-002</t>
        </is>
      </c>
      <c r="C27" t="inlineStr">
        <is>
          <t>MH-DC-002-CRAH-11</t>
        </is>
      </c>
      <c r="D27" t="inlineStr">
        <is>
          <t>Cooling</t>
        </is>
      </c>
      <c r="E27" t="inlineStr">
        <is>
          <t>Filter change and coil clean</t>
        </is>
      </c>
      <c r="F27" t="n">
        <v>91</v>
      </c>
      <c r="G27" s="18" t="n">
        <v>46182</v>
      </c>
      <c r="H27" t="inlineStr">
        <is>
          <t>Sarah Chen</t>
        </is>
      </c>
    </row>
    <row r="28">
      <c r="A28" t="inlineStr">
        <is>
          <t>MH-DC-002-PM-024</t>
        </is>
      </c>
      <c r="B28" t="inlineStr">
        <is>
          <t>MH-DC-002</t>
        </is>
      </c>
      <c r="C28" t="inlineStr">
        <is>
          <t>MH-DC-002-FZ-04</t>
        </is>
      </c>
      <c r="D28" t="inlineStr">
        <is>
          <t>Fire</t>
        </is>
      </c>
      <c r="E28" t="inlineStr">
        <is>
          <t>Gas suppression inspection</t>
        </is>
      </c>
      <c r="F28" t="n">
        <v>91</v>
      </c>
      <c r="G28" s="18" t="n">
        <v>46216</v>
      </c>
      <c r="H28" t="inlineStr">
        <is>
          <t>Mike Johnson</t>
        </is>
      </c>
    </row>
    <row r="29">
      <c r="A29" t="inlineStr">
        <is>
          <t>MH-DC-002-PM-013</t>
        </is>
      </c>
      <c r="B29" t="inlineStr">
        <is>
          <t>MH-DC-002</t>
        </is>
      </c>
      <c r="C29" t="inlineStr">
        <is>
          <t>MH-DC-002-CRAH-12</t>
        </is>
      </c>
      <c r="D29" t="inlineStr">
        <is>
          <t>Cooling</t>
        </is>
      </c>
      <c r="E29" t="inlineStr">
        <is>
          <t>Filter change and coil clean</t>
        </is>
      </c>
      <c r="F29" t="n">
        <v>91</v>
      </c>
      <c r="G29" s="18" t="n">
        <v>46218</v>
      </c>
      <c r="H29" t="inlineStr">
        <is>
          <t>Kavita Rao</t>
        </is>
      </c>
    </row>
    <row r="30">
      <c r="A30" t="inlineStr">
        <is>
          <t>MH-DC-002-PM-002</t>
        </is>
      </c>
      <c r="B30" t="inlineStr">
        <is>
          <t>MH-DC-002</t>
        </is>
      </c>
      <c r="C30" t="inlineStr">
        <is>
          <t>MH-DC-002-UPS-1</t>
        </is>
      </c>
      <c r="D30" t="inlineStr">
        <is>
          <t>Battery</t>
        </is>
      </c>
      <c r="E30" t="inlineStr">
        <is>
          <t>Battery string impedance test</t>
        </is>
      </c>
      <c r="F30" t="n">
        <v>182</v>
      </c>
      <c r="G30" s="18" t="n">
        <v>46129</v>
      </c>
      <c r="H30" t="inlineStr">
        <is>
          <t>Mike Johnson</t>
        </is>
      </c>
    </row>
    <row r="31">
      <c r="A31" t="inlineStr">
        <is>
          <t>MH-DC-002-PM-009</t>
        </is>
      </c>
      <c r="B31" t="inlineStr">
        <is>
          <t>MH-DC-002</t>
        </is>
      </c>
      <c r="C31" t="inlineStr">
        <is>
          <t>MH-DC-002-DG</t>
        </is>
      </c>
      <c r="D31" t="inlineStr">
        <is>
          <t>Generator</t>
        </is>
      </c>
      <c r="E31" t="inlineStr">
        <is>
          <t>Monthly on-load run</t>
        </is>
      </c>
      <c r="F31" t="n">
        <v>30</v>
      </c>
      <c r="G31" s="18" t="n">
        <v>46282</v>
      </c>
      <c r="H31" t="inlineStr">
        <is>
          <t>Vikram Singh</t>
        </is>
      </c>
    </row>
    <row r="32">
      <c r="A32" t="inlineStr">
        <is>
          <t>MH-DC-002-PM-016</t>
        </is>
      </c>
      <c r="B32" t="inlineStr">
        <is>
          <t>MH-DC-002</t>
        </is>
      </c>
      <c r="C32" t="inlineStr">
        <is>
          <t>MH-DC-002-CRAH-15</t>
        </is>
      </c>
      <c r="D32" t="inlineStr">
        <is>
          <t>Cooling</t>
        </is>
      </c>
      <c r="E32" t="inlineStr">
        <is>
          <t>Filter change and coil clean</t>
        </is>
      </c>
      <c r="F32" t="n">
        <v>91</v>
      </c>
      <c r="G32" s="18" t="n">
        <v>46232</v>
      </c>
      <c r="H32" t="inlineStr">
        <is>
          <t>Vikram Singh</t>
        </is>
      </c>
    </row>
    <row r="33">
      <c r="A33" t="inlineStr">
        <is>
          <t>MH-DC-002-PM-001</t>
        </is>
      </c>
      <c r="B33" t="inlineStr">
        <is>
          <t>MH-DC-002</t>
        </is>
      </c>
      <c r="C33" t="inlineStr">
        <is>
          <t>MH-DC-002-UPS-1</t>
        </is>
      </c>
      <c r="D33" t="inlineStr">
        <is>
          <t>UPS</t>
        </is>
      </c>
      <c r="E33" t="inlineStr">
        <is>
          <t>Quarterly inspection and thermal scan</t>
        </is>
      </c>
      <c r="F33" t="n">
        <v>91</v>
      </c>
      <c r="G33" s="18" t="n">
        <v>46233</v>
      </c>
      <c r="H33" t="inlineStr">
        <is>
          <t>Rahul Deshpande</t>
        </is>
      </c>
    </row>
    <row r="34">
      <c r="A34" t="inlineStr">
        <is>
          <t>MH-DC-002-PM-020</t>
        </is>
      </c>
      <c r="B34" t="inlineStr">
        <is>
          <t>MH-DC-002</t>
        </is>
      </c>
      <c r="C34" t="inlineStr">
        <is>
          <t>MH-DC-002-CDU-1</t>
        </is>
      </c>
      <c r="D34" t="inlineStr">
        <is>
          <t>CDU</t>
        </is>
      </c>
      <c r="E34" t="inlineStr">
        <is>
          <t>Coolant quality and filter change</t>
        </is>
      </c>
      <c r="F34" t="n">
        <v>91</v>
      </c>
      <c r="G34" s="18" t="n">
        <v>46239</v>
      </c>
      <c r="H34" t="inlineStr">
        <is>
          <t>Anil Kulkarni</t>
        </is>
      </c>
    </row>
    <row r="35">
      <c r="A35" t="inlineStr">
        <is>
          <t>MH-DC-002-PM-022</t>
        </is>
      </c>
      <c r="B35" t="inlineStr">
        <is>
          <t>MH-DC-002</t>
        </is>
      </c>
      <c r="C35" t="inlineStr">
        <is>
          <t>MH-DC-002-FZ-02</t>
        </is>
      </c>
      <c r="D35" t="inlineStr">
        <is>
          <t>Fire</t>
        </is>
      </c>
      <c r="E35" t="inlineStr">
        <is>
          <t>Gas suppression inspection</t>
        </is>
      </c>
      <c r="F35" t="n">
        <v>91</v>
      </c>
      <c r="G35" s="18" t="n">
        <v>46241</v>
      </c>
      <c r="H35" t="inlineStr">
        <is>
          <t>Meera Iyer</t>
        </is>
      </c>
    </row>
    <row r="36">
      <c r="A36" t="inlineStr">
        <is>
          <t>MH-DC-002-PM-014</t>
        </is>
      </c>
      <c r="B36" t="inlineStr">
        <is>
          <t>MH-DC-002</t>
        </is>
      </c>
      <c r="C36" t="inlineStr">
        <is>
          <t>MH-DC-002-CRAH-13</t>
        </is>
      </c>
      <c r="D36" t="inlineStr">
        <is>
          <t>Cooling</t>
        </is>
      </c>
      <c r="E36" t="inlineStr">
        <is>
          <t>Filter change and coil clean</t>
        </is>
      </c>
      <c r="F36" t="n">
        <v>91</v>
      </c>
      <c r="G36" s="18" t="n">
        <v>46242</v>
      </c>
      <c r="H36" t="inlineStr">
        <is>
          <t>James Wilson</t>
        </is>
      </c>
    </row>
    <row r="37">
      <c r="A37" t="inlineStr">
        <is>
          <t>MH-DC-002-PM-018</t>
        </is>
      </c>
      <c r="B37" t="inlineStr">
        <is>
          <t>MH-DC-002</t>
        </is>
      </c>
      <c r="C37" t="inlineStr">
        <is>
          <t>MH-DC-002-CRAH-17</t>
        </is>
      </c>
      <c r="D37" t="inlineStr">
        <is>
          <t>Cooling</t>
        </is>
      </c>
      <c r="E37" t="inlineStr">
        <is>
          <t>Filter change and coil clean</t>
        </is>
      </c>
      <c r="F37" t="n">
        <v>91</v>
      </c>
      <c r="G37" s="18" t="n">
        <v>46244</v>
      </c>
      <c r="H37" t="inlineStr">
        <is>
          <t>Arjun Mehta</t>
        </is>
      </c>
    </row>
    <row r="38">
      <c r="A38" t="inlineStr">
        <is>
          <t>MH-DC-002-PM-004</t>
        </is>
      </c>
      <c r="B38" t="inlineStr">
        <is>
          <t>MH-DC-002</t>
        </is>
      </c>
      <c r="C38" t="inlineStr">
        <is>
          <t>MH-DC-002-UPS-2</t>
        </is>
      </c>
      <c r="D38" t="inlineStr">
        <is>
          <t>Battery</t>
        </is>
      </c>
      <c r="E38" t="inlineStr">
        <is>
          <t>Battery string impedance test</t>
        </is>
      </c>
      <c r="F38" t="n">
        <v>182</v>
      </c>
      <c r="G38" s="18" t="n">
        <v>46156</v>
      </c>
      <c r="H38" t="inlineStr">
        <is>
          <t>Sneha Patil</t>
        </is>
      </c>
    </row>
    <row r="39">
      <c r="A39" t="inlineStr">
        <is>
          <t>MH-DC-002-PM-023</t>
        </is>
      </c>
      <c r="B39" t="inlineStr">
        <is>
          <t>MH-DC-002</t>
        </is>
      </c>
      <c r="C39" t="inlineStr">
        <is>
          <t>MH-DC-002-FZ-03</t>
        </is>
      </c>
      <c r="D39" t="inlineStr">
        <is>
          <t>Fire</t>
        </is>
      </c>
      <c r="E39" t="inlineStr">
        <is>
          <t>Gas suppression inspection</t>
        </is>
      </c>
      <c r="F39" t="n">
        <v>91</v>
      </c>
      <c r="G39" s="18" t="n">
        <v>46259</v>
      </c>
      <c r="H39" t="inlineStr">
        <is>
          <t>Mike Johnson</t>
        </is>
      </c>
    </row>
    <row r="40">
      <c r="A40" t="inlineStr">
        <is>
          <t>MH-DC-002-PM-003</t>
        </is>
      </c>
      <c r="B40" t="inlineStr">
        <is>
          <t>MH-DC-002</t>
        </is>
      </c>
      <c r="C40" t="inlineStr">
        <is>
          <t>MH-DC-002-UPS-2</t>
        </is>
      </c>
      <c r="D40" t="inlineStr">
        <is>
          <t>UPS</t>
        </is>
      </c>
      <c r="E40" t="inlineStr">
        <is>
          <t>Quarterly inspection and thermal scan</t>
        </is>
      </c>
      <c r="F40" t="n">
        <v>91</v>
      </c>
      <c r="G40" s="18" t="n">
        <v>46262</v>
      </c>
      <c r="H40" t="inlineStr">
        <is>
          <t>Priya Nair</t>
        </is>
      </c>
    </row>
    <row r="41">
      <c r="A41" t="inlineStr">
        <is>
          <t>MH-DC-002-PM-007</t>
        </is>
      </c>
      <c r="B41" t="inlineStr">
        <is>
          <t>MH-DC-002</t>
        </is>
      </c>
      <c r="C41" t="inlineStr">
        <is>
          <t>MH-DC-002-UPS-4</t>
        </is>
      </c>
      <c r="D41" t="inlineStr">
        <is>
          <t>UPS</t>
        </is>
      </c>
      <c r="E41" t="inlineStr">
        <is>
          <t>Quarterly inspection and thermal scan</t>
        </is>
      </c>
      <c r="F41" t="n">
        <v>91</v>
      </c>
      <c r="G41" s="18" t="n">
        <v>46263</v>
      </c>
      <c r="H41" t="inlineStr">
        <is>
          <t>Meera Iyer</t>
        </is>
      </c>
    </row>
    <row r="42">
      <c r="A42" t="inlineStr">
        <is>
          <t>MH-DC-002-PM-005</t>
        </is>
      </c>
      <c r="B42" t="inlineStr">
        <is>
          <t>MH-DC-002</t>
        </is>
      </c>
      <c r="C42" t="inlineStr">
        <is>
          <t>MH-DC-002-UPS-3</t>
        </is>
      </c>
      <c r="D42" t="inlineStr">
        <is>
          <t>UPS</t>
        </is>
      </c>
      <c r="E42" t="inlineStr">
        <is>
          <t>Quarterly inspection and thermal scan</t>
        </is>
      </c>
      <c r="F42" t="n">
        <v>91</v>
      </c>
      <c r="G42" s="18" t="n">
        <v>46268</v>
      </c>
      <c r="H42" t="inlineStr">
        <is>
          <t>Meera Iyer</t>
        </is>
      </c>
    </row>
    <row r="43">
      <c r="A43" t="inlineStr">
        <is>
          <t>MH-DC-002-PM-017</t>
        </is>
      </c>
      <c r="B43" t="inlineStr">
        <is>
          <t>MH-DC-002</t>
        </is>
      </c>
      <c r="C43" t="inlineStr">
        <is>
          <t>MH-DC-002-CRAH-16</t>
        </is>
      </c>
      <c r="D43" t="inlineStr">
        <is>
          <t>Cooling</t>
        </is>
      </c>
      <c r="E43" t="inlineStr">
        <is>
          <t>Filter change and coil clean</t>
        </is>
      </c>
      <c r="F43" t="n">
        <v>91</v>
      </c>
      <c r="G43" s="18" t="n">
        <v>46277</v>
      </c>
      <c r="H43" t="inlineStr">
        <is>
          <t>Sneha Patil</t>
        </is>
      </c>
    </row>
    <row r="44">
      <c r="A44" t="inlineStr">
        <is>
          <t>MH-DC-002-PM-015</t>
        </is>
      </c>
      <c r="B44" t="inlineStr">
        <is>
          <t>MH-DC-002</t>
        </is>
      </c>
      <c r="C44" t="inlineStr">
        <is>
          <t>MH-DC-002-CRAH-14</t>
        </is>
      </c>
      <c r="D44" t="inlineStr">
        <is>
          <t>Cooling</t>
        </is>
      </c>
      <c r="E44" t="inlineStr">
        <is>
          <t>Filter change and coil clean</t>
        </is>
      </c>
      <c r="F44" t="n">
        <v>91</v>
      </c>
      <c r="G44" s="18" t="n">
        <v>46280</v>
      </c>
      <c r="H44" t="inlineStr">
        <is>
          <t>Vikram Singh</t>
        </is>
      </c>
    </row>
    <row r="45">
      <c r="A45" t="inlineStr">
        <is>
          <t>MH-DC-002-PM-006</t>
        </is>
      </c>
      <c r="B45" t="inlineStr">
        <is>
          <t>MH-DC-002</t>
        </is>
      </c>
      <c r="C45" t="inlineStr">
        <is>
          <t>MH-DC-002-UPS-3</t>
        </is>
      </c>
      <c r="D45" t="inlineStr">
        <is>
          <t>Battery</t>
        </is>
      </c>
      <c r="E45" t="inlineStr">
        <is>
          <t>Battery string impedance test</t>
        </is>
      </c>
      <c r="F45" t="n">
        <v>182</v>
      </c>
      <c r="G45" s="18" t="n">
        <v>46192</v>
      </c>
      <c r="H45" t="inlineStr">
        <is>
          <t>Mike Johnson</t>
        </is>
      </c>
    </row>
    <row r="46">
      <c r="A46" t="inlineStr">
        <is>
          <t>MH-DC-002-PM-019</t>
        </is>
      </c>
      <c r="B46" t="inlineStr">
        <is>
          <t>MH-DC-002</t>
        </is>
      </c>
      <c r="C46" t="inlineStr">
        <is>
          <t>MH-DC-002-CRAH-18</t>
        </is>
      </c>
      <c r="D46" t="inlineStr">
        <is>
          <t>Cooling</t>
        </is>
      </c>
      <c r="E46" t="inlineStr">
        <is>
          <t>Filter change and coil clean</t>
        </is>
      </c>
      <c r="F46" t="n">
        <v>91</v>
      </c>
      <c r="G46" s="18" t="n">
        <v>46283</v>
      </c>
      <c r="H46" t="inlineStr">
        <is>
          <t>Sarah Chen</t>
        </is>
      </c>
    </row>
    <row r="47">
      <c r="A47" t="inlineStr">
        <is>
          <t>MH-DC-002-PM-021</t>
        </is>
      </c>
      <c r="B47" t="inlineStr">
        <is>
          <t>MH-DC-002</t>
        </is>
      </c>
      <c r="C47" t="inlineStr">
        <is>
          <t>MH-DC-002-FZ-01</t>
        </is>
      </c>
      <c r="D47" t="inlineStr">
        <is>
          <t>Fire</t>
        </is>
      </c>
      <c r="E47" t="inlineStr">
        <is>
          <t>Gas suppression inspection</t>
        </is>
      </c>
      <c r="F47" t="n">
        <v>91</v>
      </c>
      <c r="G47" s="18" t="n">
        <v>46283</v>
      </c>
      <c r="H47" t="inlineStr">
        <is>
          <t>Arjun Mehta</t>
        </is>
      </c>
    </row>
    <row r="48">
      <c r="A48" t="inlineStr">
        <is>
          <t>MH-DC-002-PM-025</t>
        </is>
      </c>
      <c r="B48" t="inlineStr">
        <is>
          <t>MH-DC-002</t>
        </is>
      </c>
      <c r="C48" t="inlineStr">
        <is>
          <t>MH-DC-002-LV</t>
        </is>
      </c>
      <c r="D48" t="inlineStr">
        <is>
          <t>Electrical</t>
        </is>
      </c>
      <c r="E48" t="inlineStr">
        <is>
          <t>Annual thermography and ATS transfer test</t>
        </is>
      </c>
      <c r="F48" t="n">
        <v>365</v>
      </c>
      <c r="G48" s="18" t="n">
        <v>46024</v>
      </c>
      <c r="H48" t="inlineStr">
        <is>
          <t>Sneha Patil</t>
        </is>
      </c>
    </row>
    <row r="49">
      <c r="A49" t="inlineStr">
        <is>
          <t>MH-DC-002-PM-011</t>
        </is>
      </c>
      <c r="B49" t="inlineStr">
        <is>
          <t>MH-DC-002</t>
        </is>
      </c>
      <c r="C49" t="inlineStr">
        <is>
          <t>MH-DC-002-BATT-01</t>
        </is>
      </c>
      <c r="D49" t="inlineStr">
        <is>
          <t>Battery</t>
        </is>
      </c>
      <c r="E49" t="inlineStr">
        <is>
          <t>Discharge test (−48 V plant)</t>
        </is>
      </c>
      <c r="F49" t="n">
        <v>182</v>
      </c>
      <c r="G49" s="18" t="n">
        <v>46229</v>
      </c>
      <c r="H49" t="inlineStr">
        <is>
          <t>Anil Kulkarni</t>
        </is>
      </c>
    </row>
    <row r="50">
      <c r="A50" t="inlineStr">
        <is>
          <t>MH-DC-002-PM-008</t>
        </is>
      </c>
      <c r="B50" t="inlineStr">
        <is>
          <t>MH-DC-002</t>
        </is>
      </c>
      <c r="C50" t="inlineStr">
        <is>
          <t>MH-DC-002-UPS-4</t>
        </is>
      </c>
      <c r="D50" t="inlineStr">
        <is>
          <t>Battery</t>
        </is>
      </c>
      <c r="E50" t="inlineStr">
        <is>
          <t>Battery string impedance test</t>
        </is>
      </c>
      <c r="F50" t="n">
        <v>182</v>
      </c>
      <c r="G50" s="18" t="n">
        <v>46240</v>
      </c>
      <c r="H50" t="inlineStr">
        <is>
          <t>Kavita Rao</t>
        </is>
      </c>
    </row>
    <row r="51">
      <c r="A51" t="inlineStr">
        <is>
          <t>MH-DC-002-PM-010</t>
        </is>
      </c>
      <c r="B51" t="inlineStr">
        <is>
          <t>MH-DC-002</t>
        </is>
      </c>
      <c r="C51" t="inlineStr">
        <is>
          <t>MH-DC-002-DG</t>
        </is>
      </c>
      <c r="D51" t="inlineStr">
        <is>
          <t>Generator</t>
        </is>
      </c>
      <c r="E51" t="inlineStr">
        <is>
          <t>Annual load-bank test</t>
        </is>
      </c>
      <c r="F51" t="n">
        <v>365</v>
      </c>
      <c r="G51" s="18" t="n">
        <v>46059</v>
      </c>
      <c r="H51" t="inlineStr">
        <is>
          <t>Kavita Rao</t>
        </is>
      </c>
    </row>
    <row r="52">
      <c r="A52" t="inlineStr">
        <is>
          <t>MH-DC-002-PM-026</t>
        </is>
      </c>
      <c r="B52" t="inlineStr">
        <is>
          <t>MH-DC-002</t>
        </is>
      </c>
      <c r="C52" t="inlineStr">
        <is>
          <t>MH-DC-002-PDU</t>
        </is>
      </c>
      <c r="D52" t="inlineStr">
        <is>
          <t>Electrical</t>
        </is>
      </c>
      <c r="E52" t="inlineStr">
        <is>
          <t>Annual PDU thermography</t>
        </is>
      </c>
      <c r="F52" t="n">
        <v>365</v>
      </c>
      <c r="G52" s="18" t="n">
        <v>46212</v>
      </c>
      <c r="H52" t="inlineStr">
        <is>
          <t>Meera Iyer</t>
        </is>
      </c>
    </row>
  </sheetData>
  <autoFilter ref="A1:H52"/>
  <dataValidations count="1">
    <dataValidation sqref="D2:D2000" showDropDown="0" showInputMessage="0" showErrorMessage="1" allowBlank="1" errorTitle="Not an allowed value" error="Pick a value from the list (Lookups → pm_kind)." type="list">
      <formula1>=L_pm_kind</formula1>
    </dataValidation>
  </dataValidations>
  <pageMargins left="0.75" right="0.75" top="1" bottom="1" header="0.5" footer="0.5"/>
  <legacyDrawing xmlns:r="http://schemas.openxmlformats.org/officeDocument/2006/relationships" r:id="anysvml"/>
</worksheet>
</file>

<file path=xl/worksheets/sheet37.xml><?xml version="1.0" encoding="utf-8"?>
<worksheet xmlns="http://schemas.openxmlformats.org/spreadsheetml/2006/main">
  <sheetPr>
    <tabColor rgb="002E6BD9"/>
    <outlinePr summaryBelow="1" summaryRight="1"/>
    <pageSetUpPr/>
  </sheetPr>
  <dimension ref="A1:F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9" customWidth="1" min="2" max="2"/>
    <col width="14" customWidth="1" min="3" max="3"/>
    <col width="10" customWidth="1" min="4" max="4"/>
    <col width="23" customWidth="1" min="5" max="5"/>
    <col width="10" customWidth="1" min="6" max="6"/>
  </cols>
  <sheetData>
    <row r="1" ht="30" customHeight="1">
      <c r="A1" s="16" t="inlineStr">
        <is>
          <t>region *</t>
        </is>
      </c>
      <c r="B1" s="16" t="inlineStr">
        <is>
          <t>role *</t>
        </is>
      </c>
      <c r="C1" s="16" t="inlineStr">
        <is>
          <t>name *</t>
        </is>
      </c>
      <c r="D1" s="16" t="inlineStr">
        <is>
          <t>tier *</t>
        </is>
      </c>
      <c r="E1" s="16" t="inlineStr">
        <is>
          <t>escalate_after_min *</t>
        </is>
      </c>
      <c r="F1" s="17" t="inlineStr">
        <is>
          <t>phone</t>
        </is>
      </c>
    </row>
    <row r="2">
      <c r="A2" t="inlineStr">
        <is>
          <t>West</t>
        </is>
      </c>
      <c r="B2" t="inlineStr">
        <is>
          <t>NOC shift lead</t>
        </is>
      </c>
      <c r="C2" t="inlineStr">
        <is>
          <t>Sarah Chen</t>
        </is>
      </c>
      <c r="D2" t="n">
        <v>1</v>
      </c>
      <c r="E2" t="n">
        <v>15</v>
      </c>
    </row>
    <row r="3">
      <c r="A3" t="inlineStr">
        <is>
          <t>West</t>
        </is>
      </c>
      <c r="B3" t="inlineStr">
        <is>
          <t>Network engineer</t>
        </is>
      </c>
      <c r="C3" t="inlineStr">
        <is>
          <t>Meera Iyer</t>
        </is>
      </c>
      <c r="D3" t="n">
        <v>2</v>
      </c>
      <c r="E3" t="n">
        <v>30</v>
      </c>
    </row>
    <row r="4">
      <c r="A4" t="inlineStr">
        <is>
          <t>West</t>
        </is>
      </c>
      <c r="B4" t="inlineStr">
        <is>
          <t>Facility engineer</t>
        </is>
      </c>
      <c r="C4" t="inlineStr">
        <is>
          <t>Priya Nair</t>
        </is>
      </c>
      <c r="D4" t="n">
        <v>2</v>
      </c>
      <c r="E4" t="n">
        <v>30</v>
      </c>
    </row>
    <row r="5">
      <c r="A5" t="inlineStr">
        <is>
          <t>West</t>
        </is>
      </c>
      <c r="B5" t="inlineStr">
        <is>
          <t>Field technician</t>
        </is>
      </c>
      <c r="C5" t="inlineStr">
        <is>
          <t>David Kim</t>
        </is>
      </c>
      <c r="D5" t="n">
        <v>2</v>
      </c>
      <c r="E5" t="n">
        <v>60</v>
      </c>
    </row>
    <row r="6">
      <c r="A6" t="inlineStr">
        <is>
          <t>West</t>
        </is>
      </c>
      <c r="B6" t="inlineStr">
        <is>
          <t>Duty manager</t>
        </is>
      </c>
      <c r="C6" t="inlineStr">
        <is>
          <t>Vikram Singh</t>
        </is>
      </c>
      <c r="D6" t="n">
        <v>3</v>
      </c>
      <c r="E6" t="n">
        <v>60</v>
      </c>
    </row>
  </sheetData>
  <autoFilter ref="A1:F6"/>
  <dataValidations count="1">
    <dataValidation sqref="B2:B2000" showDropDown="0" showInputMessage="0" showErrorMessage="1" allowBlank="1" errorTitle="Not an allowed value" error="Pick a value from the list (Lookups → oncall_role)." type="list">
      <formula1>=L_oncall_role</formula1>
    </dataValidation>
  </dataValidations>
  <pageMargins left="0.75" right="0.75" top="1" bottom="1" header="0.5" footer="0.5"/>
  <legacyDrawing xmlns:r="http://schemas.openxmlformats.org/officeDocument/2006/relationships" r:id="anysvml"/>
</worksheet>
</file>

<file path=xl/worksheets/sheet38.xml><?xml version="1.0" encoding="utf-8"?>
<worksheet xmlns="http://schemas.openxmlformats.org/spreadsheetml/2006/main">
  <sheetPr>
    <tabColor rgb="002E6BD9"/>
    <outlinePr summaryBelow="1" summaryRight="1"/>
    <pageSetUpPr/>
  </sheetPr>
  <dimension ref="A1:M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2" customWidth="1" min="2" max="2"/>
    <col width="13" customWidth="1" min="3" max="3"/>
    <col width="14" customWidth="1" min="4" max="4"/>
    <col width="37" customWidth="1" min="5" max="5"/>
    <col width="13" customWidth="1" min="6" max="6"/>
    <col width="13" customWidth="1" min="7" max="7"/>
    <col width="12" customWidth="1" min="8" max="8"/>
    <col width="25" customWidth="1" min="9" max="9"/>
    <col width="20" customWidth="1" min="10" max="10"/>
    <col width="18" customWidth="1" min="11" max="11"/>
    <col width="18" customWidth="1" min="12" max="12"/>
    <col width="16" customWidth="1" min="13" max="13"/>
  </cols>
  <sheetData>
    <row r="1" ht="30" customHeight="1">
      <c r="A1" s="17" t="inlineStr">
        <is>
          <t>alert_id</t>
        </is>
      </c>
      <c r="B1" s="17" t="inlineStr">
        <is>
          <t>site_id</t>
        </is>
      </c>
      <c r="C1" s="17" t="inlineStr">
        <is>
          <t>severity</t>
        </is>
      </c>
      <c r="D1" s="17" t="inlineStr">
        <is>
          <t>state</t>
        </is>
      </c>
      <c r="E1" s="17" t="inlineStr">
        <is>
          <t>title</t>
        </is>
      </c>
      <c r="F1" s="17" t="inlineStr">
        <is>
          <t>source</t>
        </is>
      </c>
      <c r="G1" s="17" t="inlineStr">
        <is>
          <t>category</t>
        </is>
      </c>
      <c r="H1" s="17" t="inlineStr">
        <is>
          <t>scope</t>
        </is>
      </c>
      <c r="I1" s="17" t="inlineStr">
        <is>
          <t>device_or_node</t>
        </is>
      </c>
      <c r="J1" s="17" t="inlineStr">
        <is>
          <t>if_name</t>
        </is>
      </c>
      <c r="K1" s="17" t="inlineStr">
        <is>
          <t>link_or_rack</t>
        </is>
      </c>
      <c r="L1" s="17" t="inlineStr">
        <is>
          <t>raised_at</t>
        </is>
      </c>
      <c r="M1" s="17" t="inlineStr">
        <is>
          <t>incident_id</t>
        </is>
      </c>
    </row>
    <row r="2">
      <c r="A2" t="inlineStr">
        <is>
          <t>ALM-1930</t>
        </is>
      </c>
      <c r="B2" t="inlineStr">
        <is>
          <t>MH-DC-001</t>
        </is>
      </c>
      <c r="C2" t="inlineStr">
        <is>
          <t>critical</t>
        </is>
      </c>
      <c r="D2" t="inlineStr">
        <is>
          <t>active</t>
        </is>
      </c>
      <c r="E2" t="inlineStr">
        <is>
          <t>Interface Flapping Detected</t>
        </is>
      </c>
      <c r="F2" t="inlineStr">
        <is>
          <t>Interface</t>
        </is>
      </c>
      <c r="G2" t="inlineStr">
        <is>
          <t>Network</t>
        </is>
      </c>
      <c r="H2" t="inlineStr">
        <is>
          <t>edge</t>
        </is>
      </c>
      <c r="I2" t="inlineStr">
        <is>
          <t>MH-DC-001-PE-T4-01</t>
        </is>
      </c>
      <c r="J2" t="inlineStr">
        <is>
          <t>xe-0/0/3</t>
        </is>
      </c>
      <c r="L2" t="inlineStr">
        <is>
          <t>2026-10-01 07:07</t>
        </is>
      </c>
      <c r="M2" t="inlineStr">
        <is>
          <t>INC-0001</t>
        </is>
      </c>
    </row>
    <row r="3">
      <c r="A3" t="inlineStr">
        <is>
          <t>ALM-1831</t>
        </is>
      </c>
      <c r="B3" t="inlineStr">
        <is>
          <t>MH-DC-001</t>
        </is>
      </c>
      <c r="C3" t="inlineStr">
        <is>
          <t>major</t>
        </is>
      </c>
      <c r="D3" t="inlineStr">
        <is>
          <t>active</t>
        </is>
      </c>
      <c r="E3" t="inlineStr">
        <is>
          <t>High CPU Utilization</t>
        </is>
      </c>
      <c r="F3" t="inlineStr">
        <is>
          <t>CPU</t>
        </is>
      </c>
      <c r="G3" t="inlineStr">
        <is>
          <t>Performance</t>
        </is>
      </c>
      <c r="H3" t="inlineStr">
        <is>
          <t>site</t>
        </is>
      </c>
      <c r="I3" t="inlineStr">
        <is>
          <t>MH-DC-001-PE-T4-01</t>
        </is>
      </c>
      <c r="L3" t="inlineStr">
        <is>
          <t>2026-10-01 06:52</t>
        </is>
      </c>
      <c r="M3" t="inlineStr">
        <is>
          <t>INC-0001</t>
        </is>
      </c>
    </row>
    <row r="4">
      <c r="A4" t="inlineStr">
        <is>
          <t>ALM-1774</t>
        </is>
      </c>
      <c r="B4" t="inlineStr">
        <is>
          <t>MH-DC-001</t>
        </is>
      </c>
      <c r="C4" t="inlineStr">
        <is>
          <t>major</t>
        </is>
      </c>
      <c r="D4" t="inlineStr">
        <is>
          <t>active</t>
        </is>
      </c>
      <c r="E4" t="inlineStr">
        <is>
          <t>Link Degradation</t>
        </is>
      </c>
      <c r="F4" t="inlineStr">
        <is>
          <t>Link</t>
        </is>
      </c>
      <c r="G4" t="inlineStr">
        <is>
          <t>Performance</t>
        </is>
      </c>
      <c r="H4" t="inlineStr">
        <is>
          <t>edge</t>
        </is>
      </c>
      <c r="I4" t="inlineStr">
        <is>
          <t>MH-DC-001-PE-T4-01</t>
        </is>
      </c>
      <c r="J4" t="inlineStr">
        <is>
          <t>xe-0/0/3</t>
        </is>
      </c>
      <c r="L4" t="inlineStr">
        <is>
          <t>2026-10-01 04:52</t>
        </is>
      </c>
      <c r="M4" t="inlineStr">
        <is>
          <t>INC-0001</t>
        </is>
      </c>
    </row>
    <row r="5">
      <c r="A5" t="inlineStr">
        <is>
          <t>ALM-1702</t>
        </is>
      </c>
      <c r="B5" t="inlineStr">
        <is>
          <t>MH-DC-001</t>
        </is>
      </c>
      <c r="C5" t="inlineStr">
        <is>
          <t>minor</t>
        </is>
      </c>
      <c r="D5" t="inlineStr">
        <is>
          <t>active</t>
        </is>
      </c>
      <c r="E5" t="inlineStr">
        <is>
          <t>Optical Rx Power Low</t>
        </is>
      </c>
      <c r="F5" t="inlineStr">
        <is>
          <t>Interface</t>
        </is>
      </c>
      <c r="G5" t="inlineStr">
        <is>
          <t>Network</t>
        </is>
      </c>
      <c r="H5" t="inlineStr">
        <is>
          <t>edge</t>
        </is>
      </c>
      <c r="I5" t="inlineStr">
        <is>
          <t>MH-DC-001-PE-T4-01</t>
        </is>
      </c>
      <c r="J5" t="inlineStr">
        <is>
          <t>xe-0/0/3</t>
        </is>
      </c>
      <c r="L5" t="inlineStr">
        <is>
          <t>2026-10-01 04:18</t>
        </is>
      </c>
      <c r="M5" t="inlineStr">
        <is>
          <t>INC-0001</t>
        </is>
      </c>
    </row>
    <row r="6">
      <c r="A6" t="inlineStr">
        <is>
          <t>ALM-1655</t>
        </is>
      </c>
      <c r="B6" t="inlineStr">
        <is>
          <t>MH-DC-001</t>
        </is>
      </c>
      <c r="C6" t="inlineStr">
        <is>
          <t>minor</t>
        </is>
      </c>
      <c r="D6" t="inlineStr">
        <is>
          <t>active</t>
        </is>
      </c>
      <c r="E6" t="inlineStr">
        <is>
          <t>BGP Peer Idle</t>
        </is>
      </c>
      <c r="F6" t="inlineStr">
        <is>
          <t>Protocol</t>
        </is>
      </c>
      <c r="G6" t="inlineStr">
        <is>
          <t>Network</t>
        </is>
      </c>
      <c r="H6" t="inlineStr">
        <is>
          <t>site</t>
        </is>
      </c>
      <c r="I6" t="inlineStr">
        <is>
          <t>MH-DC-001-PE-T4-01</t>
        </is>
      </c>
      <c r="L6" t="inlineStr">
        <is>
          <t>2026-10-01 02:45</t>
        </is>
      </c>
    </row>
    <row r="7">
      <c r="A7" t="inlineStr">
        <is>
          <t>ALM-1610</t>
        </is>
      </c>
      <c r="B7" t="inlineStr">
        <is>
          <t>MH-DC-001</t>
        </is>
      </c>
      <c r="C7" t="inlineStr">
        <is>
          <t>minor</t>
        </is>
      </c>
      <c r="D7" t="inlineStr">
        <is>
          <t>active</t>
        </is>
      </c>
      <c r="E7" t="inlineStr">
        <is>
          <t>Temperature Warning</t>
        </is>
      </c>
      <c r="F7" t="inlineStr">
        <is>
          <t>Environment</t>
        </is>
      </c>
      <c r="G7" t="inlineStr">
        <is>
          <t>Device</t>
        </is>
      </c>
      <c r="H7" t="inlineStr">
        <is>
          <t>site</t>
        </is>
      </c>
      <c r="I7" t="inlineStr">
        <is>
          <t>MH-DC-001-PE-T4-01</t>
        </is>
      </c>
      <c r="L7" t="inlineStr">
        <is>
          <t>2026-09-30 05:32</t>
        </is>
      </c>
    </row>
    <row r="8">
      <c r="A8" t="inlineStr">
        <is>
          <t>ALM-1598</t>
        </is>
      </c>
      <c r="B8" t="inlineStr">
        <is>
          <t>MH-DC-001</t>
        </is>
      </c>
      <c r="C8" t="inlineStr">
        <is>
          <t>minor</t>
        </is>
      </c>
      <c r="D8" t="inlineStr">
        <is>
          <t>active</t>
        </is>
      </c>
      <c r="E8" t="inlineStr">
        <is>
          <t>OSPF Neighbour in INIT</t>
        </is>
      </c>
      <c r="F8" t="inlineStr">
        <is>
          <t>Protocol</t>
        </is>
      </c>
      <c r="G8" t="inlineStr">
        <is>
          <t>Network</t>
        </is>
      </c>
      <c r="H8" t="inlineStr">
        <is>
          <t>site</t>
        </is>
      </c>
      <c r="I8" t="inlineStr">
        <is>
          <t>MH-DC-001-PE-T4-01</t>
        </is>
      </c>
      <c r="L8" t="inlineStr">
        <is>
          <t>2026-09-30 17:11</t>
        </is>
      </c>
    </row>
    <row r="9">
      <c r="A9" t="inlineStr">
        <is>
          <t>ALM-1001</t>
        </is>
      </c>
      <c r="B9" t="inlineStr">
        <is>
          <t>MH-DC-001</t>
        </is>
      </c>
      <c r="C9" t="inlineStr">
        <is>
          <t>minor</t>
        </is>
      </c>
      <c r="D9" t="inlineStr">
        <is>
          <t>active</t>
        </is>
      </c>
      <c r="E9" t="inlineStr">
        <is>
          <t>OSPF Neighbour Down</t>
        </is>
      </c>
      <c r="F9" t="inlineStr">
        <is>
          <t>Protocol</t>
        </is>
      </c>
      <c r="G9" t="inlineStr">
        <is>
          <t>Network</t>
        </is>
      </c>
      <c r="H9" t="inlineStr">
        <is>
          <t>site</t>
        </is>
      </c>
      <c r="I9" t="inlineStr">
        <is>
          <t>MH-DC-001-PE-T4-02</t>
        </is>
      </c>
      <c r="K9" t="inlineStr">
        <is>
          <t>LNK-00017</t>
        </is>
      </c>
      <c r="L9" t="inlineStr">
        <is>
          <t>2026-09-30 05:21</t>
        </is>
      </c>
    </row>
    <row r="10">
      <c r="A10" t="inlineStr">
        <is>
          <t>ALM-1021</t>
        </is>
      </c>
      <c r="B10" t="inlineStr">
        <is>
          <t>MH-DC-001</t>
        </is>
      </c>
      <c r="C10" t="inlineStr">
        <is>
          <t>minor</t>
        </is>
      </c>
      <c r="D10" t="inlineStr">
        <is>
          <t>acknowledged</t>
        </is>
      </c>
      <c r="E10" t="inlineStr">
        <is>
          <t>High Memory Utilization</t>
        </is>
      </c>
      <c r="F10" t="inlineStr">
        <is>
          <t>CPU</t>
        </is>
      </c>
      <c r="G10" t="inlineStr">
        <is>
          <t>Performance</t>
        </is>
      </c>
      <c r="H10" t="inlineStr">
        <is>
          <t>site</t>
        </is>
      </c>
      <c r="I10" t="inlineStr">
        <is>
          <t>MH-DC-001-AGG-R02</t>
        </is>
      </c>
      <c r="L10" t="inlineStr">
        <is>
          <t>2026-09-30 15:56</t>
        </is>
      </c>
    </row>
    <row r="11">
      <c r="A11" t="inlineStr">
        <is>
          <t>ALM-1022</t>
        </is>
      </c>
      <c r="B11" t="inlineStr">
        <is>
          <t>MH-DC-001</t>
        </is>
      </c>
      <c r="C11" t="inlineStr">
        <is>
          <t>warning</t>
        </is>
      </c>
      <c r="D11" t="inlineStr">
        <is>
          <t>active</t>
        </is>
      </c>
      <c r="E11" t="inlineStr">
        <is>
          <t>Configuration Drift</t>
        </is>
      </c>
      <c r="F11" t="inlineStr">
        <is>
          <t>Discovery</t>
        </is>
      </c>
      <c r="G11" t="inlineStr">
        <is>
          <t>Device</t>
        </is>
      </c>
      <c r="H11" t="inlineStr">
        <is>
          <t>site</t>
        </is>
      </c>
      <c r="I11" t="inlineStr">
        <is>
          <t>MH-DC-001-AGG-R03</t>
        </is>
      </c>
      <c r="L11" t="inlineStr">
        <is>
          <t>2026-09-28 14:51</t>
        </is>
      </c>
    </row>
    <row r="12">
      <c r="A12" t="inlineStr">
        <is>
          <t>ALM-1042</t>
        </is>
      </c>
      <c r="B12" t="inlineStr">
        <is>
          <t>MH-DC-001</t>
        </is>
      </c>
      <c r="C12" t="inlineStr">
        <is>
          <t>major</t>
        </is>
      </c>
      <c r="D12" t="inlineStr">
        <is>
          <t>active</t>
        </is>
      </c>
      <c r="E12" t="inlineStr">
        <is>
          <t>Collector Stale</t>
        </is>
      </c>
      <c r="F12" t="inlineStr">
        <is>
          <t>Discovery</t>
        </is>
      </c>
      <c r="G12" t="inlineStr">
        <is>
          <t>Network</t>
        </is>
      </c>
      <c r="H12" t="inlineStr">
        <is>
          <t>dependency</t>
        </is>
      </c>
      <c r="L12" t="inlineStr">
        <is>
          <t>2026-10-01 04:38</t>
        </is>
      </c>
      <c r="M12" t="inlineStr">
        <is>
          <t>INC-0010</t>
        </is>
      </c>
    </row>
    <row r="13">
      <c r="A13" t="inlineStr">
        <is>
          <t>ALM-1049</t>
        </is>
      </c>
      <c r="B13" t="inlineStr">
        <is>
          <t>MH-DC-001</t>
        </is>
      </c>
      <c r="C13" t="inlineStr">
        <is>
          <t>minor</t>
        </is>
      </c>
      <c r="D13" t="inlineStr">
        <is>
          <t>active</t>
        </is>
      </c>
      <c r="E13" t="inlineStr">
        <is>
          <t>High CPU Utilization</t>
        </is>
      </c>
      <c r="F13" t="inlineStr">
        <is>
          <t>CPU</t>
        </is>
      </c>
      <c r="G13" t="inlineStr">
        <is>
          <t>Performance</t>
        </is>
      </c>
      <c r="H13" t="inlineStr">
        <is>
          <t>downstream</t>
        </is>
      </c>
      <c r="I13" t="inlineStr">
        <is>
          <t>MH-POP-001-AGG-01</t>
        </is>
      </c>
      <c r="L13" t="inlineStr">
        <is>
          <t>2026-10-01 05:01</t>
        </is>
      </c>
    </row>
    <row r="14">
      <c r="A14" t="inlineStr">
        <is>
          <t>ALM-1050</t>
        </is>
      </c>
      <c r="B14" t="inlineStr">
        <is>
          <t>MH-DC-001</t>
        </is>
      </c>
      <c r="C14" t="inlineStr">
        <is>
          <t>minor</t>
        </is>
      </c>
      <c r="D14" t="inlineStr">
        <is>
          <t>active</t>
        </is>
      </c>
      <c r="E14" t="inlineStr">
        <is>
          <t>High CPU Utilization</t>
        </is>
      </c>
      <c r="F14" t="inlineStr">
        <is>
          <t>CPU</t>
        </is>
      </c>
      <c r="G14" t="inlineStr">
        <is>
          <t>Performance</t>
        </is>
      </c>
      <c r="H14" t="inlineStr">
        <is>
          <t>downstream</t>
        </is>
      </c>
      <c r="I14" t="inlineStr">
        <is>
          <t>MH-POP-002-AGG-01</t>
        </is>
      </c>
      <c r="L14" t="inlineStr">
        <is>
          <t>2026-09-30 17:28</t>
        </is>
      </c>
    </row>
    <row r="15">
      <c r="A15" t="inlineStr">
        <is>
          <t>ALM-1051</t>
        </is>
      </c>
      <c r="B15" t="inlineStr">
        <is>
          <t>MH-DC-002</t>
        </is>
      </c>
      <c r="C15" t="inlineStr">
        <is>
          <t>critical</t>
        </is>
      </c>
      <c r="D15" t="inlineStr">
        <is>
          <t>active</t>
        </is>
      </c>
      <c r="E15" t="inlineStr">
        <is>
          <t>Mains Power Failure</t>
        </is>
      </c>
      <c r="F15" t="inlineStr">
        <is>
          <t>Power</t>
        </is>
      </c>
      <c r="G15" t="inlineStr">
        <is>
          <t>Facility</t>
        </is>
      </c>
      <c r="H15" t="inlineStr">
        <is>
          <t>downstream</t>
        </is>
      </c>
      <c r="I15" t="inlineStr">
        <is>
          <t>MH-POP-001-AGG-01</t>
        </is>
      </c>
      <c r="L15" t="inlineStr">
        <is>
          <t>2026-09-30 18:10</t>
        </is>
      </c>
    </row>
    <row r="16">
      <c r="A16" t="inlineStr">
        <is>
          <t>ALM-1091</t>
        </is>
      </c>
      <c r="B16" t="inlineStr">
        <is>
          <t>MH-DC-001</t>
        </is>
      </c>
      <c r="C16" t="inlineStr">
        <is>
          <t>major</t>
        </is>
      </c>
      <c r="D16" t="inlineStr">
        <is>
          <t>active</t>
        </is>
      </c>
      <c r="E16" t="inlineStr">
        <is>
          <t>Link Down</t>
        </is>
      </c>
      <c r="F16" t="inlineStr">
        <is>
          <t>Link</t>
        </is>
      </c>
      <c r="G16" t="inlineStr">
        <is>
          <t>Network</t>
        </is>
      </c>
      <c r="H16" t="inlineStr">
        <is>
          <t>edge</t>
        </is>
      </c>
      <c r="I16" t="inlineStr">
        <is>
          <t>MH-DC-001-AGG-R01</t>
        </is>
      </c>
      <c r="J16" t="inlineStr">
        <is>
          <t>xe-0/0/15</t>
        </is>
      </c>
      <c r="L16" t="inlineStr">
        <is>
          <t>2026-10-01 06:15</t>
        </is>
      </c>
    </row>
    <row r="17">
      <c r="A17" t="inlineStr">
        <is>
          <t>ALM-1092</t>
        </is>
      </c>
      <c r="B17" t="inlineStr">
        <is>
          <t>MH-DC-001</t>
        </is>
      </c>
      <c r="C17" t="inlineStr">
        <is>
          <t>minor</t>
        </is>
      </c>
      <c r="D17" t="inlineStr">
        <is>
          <t>active</t>
        </is>
      </c>
      <c r="E17" t="inlineStr">
        <is>
          <t>Secondary RADIUS Server Unreachable</t>
        </is>
      </c>
      <c r="F17" t="inlineStr">
        <is>
          <t>Security</t>
        </is>
      </c>
      <c r="G17" t="inlineStr">
        <is>
          <t>Network</t>
        </is>
      </c>
      <c r="H17" t="inlineStr">
        <is>
          <t>dependency</t>
        </is>
      </c>
      <c r="I17" t="inlineStr">
        <is>
          <t>AAA-SRV-02 (10.25.25.6)</t>
        </is>
      </c>
      <c r="L17" t="inlineStr">
        <is>
          <t>2026-10-01 04:50</t>
        </is>
      </c>
    </row>
    <row r="18">
      <c r="A18" t="inlineStr">
        <is>
          <t>ALM-1093</t>
        </is>
      </c>
      <c r="B18" t="inlineStr">
        <is>
          <t>MH-DC-001</t>
        </is>
      </c>
      <c r="C18" t="inlineStr">
        <is>
          <t>major</t>
        </is>
      </c>
      <c r="D18" t="inlineStr">
        <is>
          <t>active</t>
        </is>
      </c>
      <c r="E18" t="inlineStr">
        <is>
          <t>Cabinet PDU-A Breaker Trip</t>
        </is>
      </c>
      <c r="F18" t="inlineStr">
        <is>
          <t>Power</t>
        </is>
      </c>
      <c r="G18" t="inlineStr">
        <is>
          <t>Facility</t>
        </is>
      </c>
      <c r="H18" t="inlineStr">
        <is>
          <t>site</t>
        </is>
      </c>
      <c r="K18" t="inlineStr">
        <is>
          <t>MH-DC-001-RACK-C</t>
        </is>
      </c>
      <c r="L18" t="inlineStr">
        <is>
          <t>2026-10-01 07:12</t>
        </is>
      </c>
    </row>
    <row r="19">
      <c r="A19" t="inlineStr">
        <is>
          <t>ALM-1094</t>
        </is>
      </c>
      <c r="B19" t="inlineStr">
        <is>
          <t>MH-DC-001</t>
        </is>
      </c>
      <c r="C19" t="inlineStr">
        <is>
          <t>critical</t>
        </is>
      </c>
      <c r="D19" t="inlineStr">
        <is>
          <t>active</t>
        </is>
      </c>
      <c r="E19" t="inlineStr">
        <is>
          <t>Cross-connect Loss of Signal</t>
        </is>
      </c>
      <c r="F19" t="inlineStr">
        <is>
          <t>Interface</t>
        </is>
      </c>
      <c r="G19" t="inlineStr">
        <is>
          <t>Network</t>
        </is>
      </c>
      <c r="H19" t="inlineStr">
        <is>
          <t>site</t>
        </is>
      </c>
      <c r="I19" t="inlineStr">
        <is>
          <t>MH-DC-001-MMR-SW-06</t>
        </is>
      </c>
      <c r="J19" t="inlineStr">
        <is>
          <t>MMR panel 11 · P20</t>
        </is>
      </c>
      <c r="L19" t="inlineStr">
        <is>
          <t>2026-10-01 06:46</t>
        </is>
      </c>
    </row>
    <row r="20">
      <c r="A20" t="inlineStr">
        <is>
          <t>ALM-1095</t>
        </is>
      </c>
      <c r="B20" t="inlineStr">
        <is>
          <t>MH-DC-001</t>
        </is>
      </c>
      <c r="C20" t="inlineStr">
        <is>
          <t>minor</t>
        </is>
      </c>
      <c r="D20" t="inlineStr">
        <is>
          <t>active</t>
        </is>
      </c>
      <c r="E20" t="inlineStr">
        <is>
          <t>Cabinet Inlet Temperature High</t>
        </is>
      </c>
      <c r="F20" t="inlineStr">
        <is>
          <t>Environment</t>
        </is>
      </c>
      <c r="G20" t="inlineStr">
        <is>
          <t>Facility</t>
        </is>
      </c>
      <c r="H20" t="inlineStr">
        <is>
          <t>site</t>
        </is>
      </c>
      <c r="K20" t="inlineStr">
        <is>
          <t>MH-DC-001-RACK-F</t>
        </is>
      </c>
      <c r="L20" t="inlineStr">
        <is>
          <t>2026-10-01 05:50</t>
        </is>
      </c>
    </row>
    <row r="21">
      <c r="A21" t="inlineStr">
        <is>
          <t>ALM-1097</t>
        </is>
      </c>
      <c r="B21" t="inlineStr">
        <is>
          <t>MH-DC-002</t>
        </is>
      </c>
      <c r="C21" t="inlineStr">
        <is>
          <t>minor</t>
        </is>
      </c>
      <c r="D21" t="inlineStr">
        <is>
          <t>active</t>
        </is>
      </c>
      <c r="E21" t="inlineStr">
        <is>
          <t>Optical Rx Power Low</t>
        </is>
      </c>
      <c r="F21" t="inlineStr">
        <is>
          <t>Interface</t>
        </is>
      </c>
      <c r="G21" t="inlineStr">
        <is>
          <t>Network</t>
        </is>
      </c>
      <c r="H21" t="inlineStr">
        <is>
          <t>edge</t>
        </is>
      </c>
      <c r="I21" t="inlineStr">
        <is>
          <t>MH-DC-002-PE-T4-02</t>
        </is>
      </c>
      <c r="J21" t="inlineStr">
        <is>
          <t>xe-0/0/2</t>
        </is>
      </c>
      <c r="L21" t="inlineStr">
        <is>
          <t>2026-10-01 01:50</t>
        </is>
      </c>
    </row>
    <row r="22">
      <c r="A22" t="inlineStr">
        <is>
          <t>ALM-1101</t>
        </is>
      </c>
      <c r="B22" t="inlineStr">
        <is>
          <t>MH-DC-001</t>
        </is>
      </c>
      <c r="C22" t="inlineStr">
        <is>
          <t>major</t>
        </is>
      </c>
      <c r="D22" t="inlineStr">
        <is>
          <t>active</t>
        </is>
      </c>
      <c r="E22" t="inlineStr">
        <is>
          <t>Power Supply Fault</t>
        </is>
      </c>
      <c r="F22" t="inlineStr">
        <is>
          <t>Power</t>
        </is>
      </c>
      <c r="G22" t="inlineStr">
        <is>
          <t>Device</t>
        </is>
      </c>
      <c r="H22" t="inlineStr">
        <is>
          <t>site</t>
        </is>
      </c>
      <c r="I22" t="inlineStr">
        <is>
          <t>MH-DC-001-BMS-01</t>
        </is>
      </c>
      <c r="L22" t="inlineStr">
        <is>
          <t>2026-09-30 23:50</t>
        </is>
      </c>
    </row>
    <row r="23">
      <c r="A23" t="inlineStr">
        <is>
          <t>ALM-1102</t>
        </is>
      </c>
      <c r="B23" t="inlineStr">
        <is>
          <t>MH-DC-002</t>
        </is>
      </c>
      <c r="C23" t="inlineStr">
        <is>
          <t>major</t>
        </is>
      </c>
      <c r="D23" t="inlineStr">
        <is>
          <t>active</t>
        </is>
      </c>
      <c r="E23" t="inlineStr">
        <is>
          <t>Power Supply Fault</t>
        </is>
      </c>
      <c r="F23" t="inlineStr">
        <is>
          <t>Power</t>
        </is>
      </c>
      <c r="G23" t="inlineStr">
        <is>
          <t>Device</t>
        </is>
      </c>
      <c r="H23" t="inlineStr">
        <is>
          <t>site</t>
        </is>
      </c>
      <c r="I23" t="inlineStr">
        <is>
          <t>MH-DC-002-BMS-02</t>
        </is>
      </c>
      <c r="L23" t="inlineStr">
        <is>
          <t>2026-10-01 00:55</t>
        </is>
      </c>
    </row>
  </sheetData>
  <autoFilter ref="A1:M23"/>
  <pageMargins left="0.75" right="0.75" top="1" bottom="1" header="0.5" footer="0.5"/>
  <legacyDrawing xmlns:r="http://schemas.openxmlformats.org/officeDocument/2006/relationships" r:id="anysvml"/>
</worksheet>
</file>

<file path=xl/worksheets/sheet39.xml><?xml version="1.0" encoding="utf-8"?>
<worksheet xmlns="http://schemas.openxmlformats.org/spreadsheetml/2006/main">
  <sheetPr>
    <tabColor rgb="002E6BD9"/>
    <outlinePr summaryBelow="1" summaryRight="1"/>
    <pageSetUpPr/>
  </sheetPr>
  <dimension ref="A1:M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13" customWidth="1" min="3" max="3"/>
    <col width="11" customWidth="1" min="4" max="4"/>
    <col width="10" customWidth="1" min="5" max="5"/>
    <col width="48" customWidth="1" min="6" max="6"/>
    <col width="17" customWidth="1" min="7" max="7"/>
    <col width="18" customWidth="1" min="8" max="8"/>
    <col width="18" customWidth="1" min="9" max="9"/>
    <col width="11" customWidth="1" min="10" max="10"/>
    <col width="17" customWidth="1" min="11" max="11"/>
    <col width="18" customWidth="1" min="12" max="12"/>
    <col width="20" customWidth="1" min="13" max="13"/>
  </cols>
  <sheetData>
    <row r="1" ht="30" customHeight="1">
      <c r="A1" s="17" t="inlineStr">
        <is>
          <t>incident_id</t>
        </is>
      </c>
      <c r="B1" s="17" t="inlineStr">
        <is>
          <t>site_id</t>
        </is>
      </c>
      <c r="C1" s="17" t="inlineStr">
        <is>
          <t>severity</t>
        </is>
      </c>
      <c r="D1" s="17" t="inlineStr">
        <is>
          <t>status</t>
        </is>
      </c>
      <c r="E1" s="17" t="inlineStr">
        <is>
          <t>type</t>
        </is>
      </c>
      <c r="F1" s="17" t="inlineStr">
        <is>
          <t>title</t>
        </is>
      </c>
      <c r="G1" s="17" t="inlineStr">
        <is>
          <t>owner</t>
        </is>
      </c>
      <c r="H1" s="17" t="inlineStr">
        <is>
          <t>detected_at</t>
        </is>
      </c>
      <c r="I1" s="17" t="inlineStr">
        <is>
          <t>resolved_at</t>
        </is>
      </c>
      <c r="J1" s="17" t="inlineStr">
        <is>
          <t>alarms</t>
        </is>
      </c>
      <c r="K1" s="17" t="inlineStr">
        <is>
          <t>services_hit</t>
        </is>
      </c>
      <c r="L1" s="17" t="inlineStr">
        <is>
          <t>customers_hit</t>
        </is>
      </c>
      <c r="M1" s="17" t="inlineStr">
        <is>
          <t>revenue_at_risk</t>
        </is>
      </c>
    </row>
    <row r="2">
      <c r="A2" t="inlineStr">
        <is>
          <t>INC-0001</t>
        </is>
      </c>
      <c r="B2" t="inlineStr">
        <is>
          <t>MH-DC-001</t>
        </is>
      </c>
      <c r="C2" t="inlineStr">
        <is>
          <t>High</t>
        </is>
      </c>
      <c r="D2" t="inlineStr">
        <is>
          <t>Open</t>
        </is>
      </c>
      <c r="E2" t="inlineStr">
        <is>
          <t>Network</t>
        </is>
      </c>
      <c r="F2" t="inlineStr">
        <is>
          <t>Optical degradation on PE-T4-01 xe-0/0/3 — backhaul flapping</t>
        </is>
      </c>
      <c r="G2" t="inlineStr">
        <is>
          <t>Mike Johnson</t>
        </is>
      </c>
      <c r="H2" t="inlineStr">
        <is>
          <t>2026-10-01 07:08</t>
        </is>
      </c>
      <c r="J2" t="n">
        <v>4</v>
      </c>
      <c r="K2" t="n">
        <v>0</v>
      </c>
      <c r="L2" t="n">
        <v>0</v>
      </c>
      <c r="M2" t="n">
        <v>0</v>
      </c>
    </row>
    <row r="3">
      <c r="A3" t="inlineStr">
        <is>
          <t>INC-0010</t>
        </is>
      </c>
      <c r="B3" t="inlineStr">
        <is>
          <t>MH-DC-001</t>
        </is>
      </c>
      <c r="C3" t="inlineStr">
        <is>
          <t>Low</t>
        </is>
      </c>
      <c r="D3" t="inlineStr">
        <is>
          <t>Open</t>
        </is>
      </c>
      <c r="E3" t="inlineStr">
        <is>
          <t>Network</t>
        </is>
      </c>
      <c r="F3" t="inlineStr">
        <is>
          <t>Discovery collector stale — MH-DC-001</t>
        </is>
      </c>
      <c r="G3" t="inlineStr">
        <is>
          <t>Arjun Mehta</t>
        </is>
      </c>
      <c r="H3" t="inlineStr">
        <is>
          <t>2026-10-01 04:53</t>
        </is>
      </c>
      <c r="J3" t="n">
        <v>1</v>
      </c>
      <c r="K3" t="n">
        <v>0</v>
      </c>
      <c r="L3" t="n">
        <v>0</v>
      </c>
      <c r="M3" t="n">
        <v>0</v>
      </c>
    </row>
    <row r="4">
      <c r="A4" t="inlineStr">
        <is>
          <t>INC-0012</t>
        </is>
      </c>
      <c r="B4" t="inlineStr">
        <is>
          <t>MH-DC-001</t>
        </is>
      </c>
      <c r="C4" t="inlineStr">
        <is>
          <t>Low</t>
        </is>
      </c>
      <c r="D4" t="inlineStr">
        <is>
          <t>Closed</t>
        </is>
      </c>
      <c r="E4" t="inlineStr">
        <is>
          <t>Capacity</t>
        </is>
      </c>
      <c r="F4" t="inlineStr">
        <is>
          <t>Cross-connect panel ports exhausted — MH-DC-001</t>
        </is>
      </c>
      <c r="G4" t="inlineStr">
        <is>
          <t>Kavita Rao</t>
        </is>
      </c>
      <c r="H4" t="inlineStr">
        <is>
          <t>2026-09-14 23:28</t>
        </is>
      </c>
      <c r="I4" t="inlineStr">
        <is>
          <t>2026-09-15 18:58</t>
        </is>
      </c>
      <c r="J4" t="n">
        <v>0</v>
      </c>
      <c r="K4" t="n">
        <v>0</v>
      </c>
      <c r="L4" t="n">
        <v>4</v>
      </c>
      <c r="M4" t="n">
        <v>0</v>
      </c>
    </row>
    <row r="5">
      <c r="A5" t="inlineStr">
        <is>
          <t>INC-0017</t>
        </is>
      </c>
      <c r="B5" t="inlineStr">
        <is>
          <t>MH-DC-002</t>
        </is>
      </c>
      <c r="C5" t="inlineStr">
        <is>
          <t>Low</t>
        </is>
      </c>
      <c r="D5" t="inlineStr">
        <is>
          <t>Closed</t>
        </is>
      </c>
      <c r="E5" t="inlineStr">
        <is>
          <t>Rack</t>
        </is>
      </c>
      <c r="F5" t="inlineStr">
        <is>
          <t>Tenant cabinet over contracted power — MH-DC-002</t>
        </is>
      </c>
      <c r="G5" t="inlineStr">
        <is>
          <t>Sneha Patil</t>
        </is>
      </c>
      <c r="H5" t="inlineStr">
        <is>
          <t>2026-09-09 19:09</t>
        </is>
      </c>
      <c r="I5" t="inlineStr">
        <is>
          <t>2026-09-10 18:26</t>
        </is>
      </c>
      <c r="J5" t="n">
        <v>0</v>
      </c>
      <c r="K5" t="n">
        <v>0</v>
      </c>
      <c r="L5" t="n">
        <v>2</v>
      </c>
      <c r="M5" t="n">
        <v>0</v>
      </c>
    </row>
    <row r="6">
      <c r="A6" t="inlineStr">
        <is>
          <t>INC-0028</t>
        </is>
      </c>
      <c r="B6" t="inlineStr">
        <is>
          <t>MH-DC-001</t>
        </is>
      </c>
      <c r="C6" t="inlineStr">
        <is>
          <t>Low</t>
        </is>
      </c>
      <c r="D6" t="inlineStr">
        <is>
          <t>Closed</t>
        </is>
      </c>
      <c r="E6" t="inlineStr">
        <is>
          <t>Security</t>
        </is>
      </c>
      <c r="F6" t="inlineStr">
        <is>
          <t>Cage access alarm — badge mismatch — MH-DC-001</t>
        </is>
      </c>
      <c r="G6" t="inlineStr">
        <is>
          <t>Rahul Deshpande</t>
        </is>
      </c>
      <c r="H6" t="inlineStr">
        <is>
          <t>2026-09-11 23:24</t>
        </is>
      </c>
      <c r="I6" t="inlineStr">
        <is>
          <t>2026-09-12 19:37</t>
        </is>
      </c>
      <c r="J6" t="n">
        <v>0</v>
      </c>
      <c r="K6" t="n">
        <v>5</v>
      </c>
      <c r="L6" t="n">
        <v>5</v>
      </c>
      <c r="M6" t="n">
        <v>0</v>
      </c>
    </row>
    <row r="7">
      <c r="A7" t="inlineStr">
        <is>
          <t>INC-0029</t>
        </is>
      </c>
      <c r="B7" t="inlineStr">
        <is>
          <t>MH-DC-002</t>
        </is>
      </c>
      <c r="C7" t="inlineStr">
        <is>
          <t>Medium</t>
        </is>
      </c>
      <c r="D7" t="inlineStr">
        <is>
          <t>Closed</t>
        </is>
      </c>
      <c r="E7" t="inlineStr">
        <is>
          <t>Cooling</t>
        </is>
      </c>
      <c r="F7" t="inlineStr">
        <is>
          <t>Chiller pump fault — MH-DC-002</t>
        </is>
      </c>
      <c r="G7" t="inlineStr">
        <is>
          <t>Anil Kulkarni</t>
        </is>
      </c>
      <c r="H7" t="inlineStr">
        <is>
          <t>2026-09-21 14:41</t>
        </is>
      </c>
      <c r="I7" t="inlineStr">
        <is>
          <t>2026-09-23 00:35</t>
        </is>
      </c>
      <c r="J7" t="n">
        <v>0</v>
      </c>
      <c r="K7" t="n">
        <v>6</v>
      </c>
      <c r="L7" t="n">
        <v>3</v>
      </c>
      <c r="M7" t="n">
        <v>0</v>
      </c>
    </row>
  </sheetData>
  <autoFilter ref="A1:M7"/>
  <pageMargins left="0.75" right="0.75" top="1" bottom="1" header="0.5" footer="0.5"/>
  <legacyDrawing xmlns:r="http://schemas.openxmlformats.org/officeDocument/2006/relationships" r:id="anysvml"/>
</worksheet>
</file>

<file path=xl/worksheets/sheet40.xml><?xml version="1.0" encoding="utf-8"?>
<worksheet xmlns="http://schemas.openxmlformats.org/spreadsheetml/2006/main">
  <sheetPr>
    <tabColor rgb="002E6BD9"/>
    <outlinePr summaryBelow="1" summaryRight="1"/>
    <pageSetUpPr/>
  </sheetPr>
  <dimension ref="A1:K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3" customWidth="1" min="3" max="3"/>
    <col width="48" customWidth="1" min="4" max="4"/>
    <col width="18" customWidth="1" min="5" max="5"/>
    <col width="10" customWidth="1" min="6" max="6"/>
    <col width="18" customWidth="1" min="7" max="7"/>
    <col width="18" customWidth="1" min="8" max="8"/>
    <col width="17" customWidth="1" min="9" max="9"/>
    <col width="13" customWidth="1" min="10" max="10"/>
    <col width="39" customWidth="1" min="11" max="11"/>
  </cols>
  <sheetData>
    <row r="1" ht="30" customHeight="1">
      <c r="A1" s="17" t="inlineStr">
        <is>
          <t>change_id</t>
        </is>
      </c>
      <c r="B1" s="17" t="inlineStr">
        <is>
          <t>site_id</t>
        </is>
      </c>
      <c r="C1" s="17" t="inlineStr">
        <is>
          <t>kind</t>
        </is>
      </c>
      <c r="D1" s="17" t="inlineStr">
        <is>
          <t>title</t>
        </is>
      </c>
      <c r="E1" s="17" t="inlineStr">
        <is>
          <t>status</t>
        </is>
      </c>
      <c r="F1" s="17" t="inlineStr">
        <is>
          <t>risk</t>
        </is>
      </c>
      <c r="G1" s="17" t="inlineStr">
        <is>
          <t>window_start</t>
        </is>
      </c>
      <c r="H1" s="17" t="inlineStr">
        <is>
          <t>window_end</t>
        </is>
      </c>
      <c r="I1" s="17" t="inlineStr">
        <is>
          <t>requester</t>
        </is>
      </c>
      <c r="J1" s="17" t="inlineStr">
        <is>
          <t>approver</t>
        </is>
      </c>
      <c r="K1" s="17" t="inlineStr">
        <is>
          <t>scope</t>
        </is>
      </c>
    </row>
    <row r="2">
      <c r="A2" t="inlineStr">
        <is>
          <t>CHG-2001</t>
        </is>
      </c>
      <c r="B2" t="inlineStr">
        <is>
          <t>MH-DC-001</t>
        </is>
      </c>
      <c r="C2" t="inlineStr">
        <is>
          <t>Change</t>
        </is>
      </c>
      <c r="D2" t="inlineStr">
        <is>
          <t>Re-patch ODF RACK-D core 7 to PE-T4-01 xe-0/0/3 (new backhaul span)</t>
        </is>
      </c>
      <c r="E2" t="inlineStr">
        <is>
          <t>Completed</t>
        </is>
      </c>
      <c r="F2" t="inlineStr">
        <is>
          <t>Medium</t>
        </is>
      </c>
      <c r="G2" t="inlineStr">
        <is>
          <t>2026-09-30 16:30</t>
        </is>
      </c>
      <c r="H2" t="inlineStr">
        <is>
          <t>2026-09-30 17:30</t>
        </is>
      </c>
      <c r="I2" t="inlineStr">
        <is>
          <t>Rahul Deshpande</t>
        </is>
      </c>
      <c r="J2" t="inlineStr">
        <is>
          <t>Priya Nair</t>
        </is>
      </c>
      <c r="K2" t="inlineStr">
        <is>
          <t>MH-DC-001-PE-T4-01</t>
        </is>
      </c>
    </row>
    <row r="3">
      <c r="A3" t="inlineStr">
        <is>
          <t>CHG-2002</t>
        </is>
      </c>
      <c r="B3" t="inlineStr">
        <is>
          <t>MH-DC-001</t>
        </is>
      </c>
      <c r="C3" t="inlineStr">
        <is>
          <t>Change</t>
        </is>
      </c>
      <c r="D3" t="inlineStr">
        <is>
          <t>Junos upgrade 21.4R3-S5.5 → 22.2R3-S2 on MH-DC-001 PE pair</t>
        </is>
      </c>
      <c r="E3" t="inlineStr">
        <is>
          <t>Pending approval</t>
        </is>
      </c>
      <c r="F3" t="inlineStr">
        <is>
          <t>High</t>
        </is>
      </c>
      <c r="G3" t="inlineStr">
        <is>
          <t>2026-10-03 17:50</t>
        </is>
      </c>
      <c r="H3" t="inlineStr">
        <is>
          <t>2026-10-03 21:50</t>
        </is>
      </c>
      <c r="I3" t="inlineStr">
        <is>
          <t>Arjun Mehta</t>
        </is>
      </c>
      <c r="K3" t="inlineStr">
        <is>
          <t>MH-DC-001-PE-T4-01;MH-DC-001-PE-T4-02</t>
        </is>
      </c>
    </row>
    <row r="4">
      <c r="A4" t="inlineStr">
        <is>
          <t>CHG-2003</t>
        </is>
      </c>
      <c r="B4" t="inlineStr">
        <is>
          <t>MH-DC-001</t>
        </is>
      </c>
      <c r="C4" t="inlineStr">
        <is>
          <t>Maintenance</t>
        </is>
      </c>
      <c r="D4" t="inlineStr">
        <is>
          <t>DG load-bank test — 125 kVA set</t>
        </is>
      </c>
      <c r="E4" t="inlineStr">
        <is>
          <t>Approved</t>
        </is>
      </c>
      <c r="F4" t="inlineStr">
        <is>
          <t>Low</t>
        </is>
      </c>
      <c r="G4" t="inlineStr">
        <is>
          <t>2026-10-05 13:50</t>
        </is>
      </c>
      <c r="H4" t="inlineStr">
        <is>
          <t>2026-10-05 15:50</t>
        </is>
      </c>
      <c r="I4" t="inlineStr">
        <is>
          <t>Anil Kulkarni</t>
        </is>
      </c>
      <c r="J4" t="inlineStr">
        <is>
          <t>Kavita Rao</t>
        </is>
      </c>
      <c r="K4" t="inlineStr"/>
    </row>
  </sheetData>
  <autoFilter ref="A1:K4"/>
  <pageMargins left="0.75" right="0.75" top="1" bottom="1" header="0.5" footer="0.5"/>
  <legacyDrawing xmlns:r="http://schemas.openxmlformats.org/officeDocument/2006/relationships" r:id="anysvml"/>
</worksheet>
</file>

<file path=xl/worksheets/sheet41.xml><?xml version="1.0" encoding="utf-8"?>
<worksheet xmlns="http://schemas.openxmlformats.org/spreadsheetml/2006/main">
  <sheetPr>
    <tabColor rgb="002E6BD9"/>
    <outlinePr summaryBelow="1" summaryRight="1"/>
    <pageSetUpPr/>
  </sheetPr>
  <dimension ref="A1:I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18" customWidth="1" min="3" max="3"/>
    <col width="10" customWidth="1" min="4" max="4"/>
    <col width="14" customWidth="1" min="5" max="5"/>
    <col width="16" customWidth="1" min="6" max="6"/>
    <col width="11" customWidth="1" min="7" max="7"/>
    <col width="18" customWidth="1" min="8" max="8"/>
    <col width="18" customWidth="1" min="9" max="9"/>
  </cols>
  <sheetData>
    <row r="1" ht="30" customHeight="1">
      <c r="A1" s="17" t="inlineStr">
        <is>
          <t>rma_id</t>
        </is>
      </c>
      <c r="B1" s="17" t="inlineStr">
        <is>
          <t>site_id</t>
        </is>
      </c>
      <c r="C1" s="17" t="inlineStr">
        <is>
          <t>device_id</t>
        </is>
      </c>
      <c r="D1" s="17" t="inlineStr">
        <is>
          <t>slot</t>
        </is>
      </c>
      <c r="E1" s="17" t="inlineStr">
        <is>
          <t>part</t>
        </is>
      </c>
      <c r="F1" s="17" t="inlineStr">
        <is>
          <t>vendor_case</t>
        </is>
      </c>
      <c r="G1" s="17" t="inlineStr">
        <is>
          <t>status</t>
        </is>
      </c>
      <c r="H1" s="17" t="inlineStr">
        <is>
          <t>opened</t>
        </is>
      </c>
      <c r="I1" s="17" t="inlineStr">
        <is>
          <t>spare_on_site</t>
        </is>
      </c>
    </row>
    <row r="2">
      <c r="A2" t="inlineStr">
        <is>
          <t>RMA-48287</t>
        </is>
      </c>
      <c r="B2" t="inlineStr">
        <is>
          <t>MH-DC-001</t>
        </is>
      </c>
      <c r="C2" t="inlineStr">
        <is>
          <t>MH-DC-001-BMS-01</t>
        </is>
      </c>
      <c r="D2" t="inlineStr">
        <is>
          <t>PSU2</t>
        </is>
      </c>
      <c r="E2" t="inlineStr">
        <is>
          <t>Power supply</t>
        </is>
      </c>
      <c r="F2" t="inlineStr">
        <is>
          <t>DEL-8205146</t>
        </is>
      </c>
      <c r="G2" t="inlineStr">
        <is>
          <t>Opened</t>
        </is>
      </c>
      <c r="H2" t="inlineStr">
        <is>
          <t>2026-09-30 23:50</t>
        </is>
      </c>
      <c r="I2" t="inlineStr">
        <is>
          <t>Y</t>
        </is>
      </c>
    </row>
    <row r="3">
      <c r="A3" t="inlineStr">
        <is>
          <t>RMA-78333</t>
        </is>
      </c>
      <c r="B3" t="inlineStr">
        <is>
          <t>MH-DC-002</t>
        </is>
      </c>
      <c r="C3" t="inlineStr">
        <is>
          <t>MH-DC-002-BMS-02</t>
        </is>
      </c>
      <c r="D3" t="inlineStr">
        <is>
          <t>PSU2</t>
        </is>
      </c>
      <c r="E3" t="inlineStr">
        <is>
          <t>Power supply</t>
        </is>
      </c>
      <c r="F3" t="inlineStr">
        <is>
          <t>SUP-5808864</t>
        </is>
      </c>
      <c r="G3" t="inlineStr">
        <is>
          <t>Opened</t>
        </is>
      </c>
      <c r="H3" t="inlineStr">
        <is>
          <t>2026-09-30 17:50</t>
        </is>
      </c>
      <c r="I3" t="inlineStr">
        <is>
          <t>Y</t>
        </is>
      </c>
    </row>
  </sheetData>
  <autoFilter ref="A1:I3"/>
  <pageMargins left="0.75" right="0.75" top="1" bottom="1" header="0.5" footer="0.5"/>
  <legacyDrawing xmlns:r="http://schemas.openxmlformats.org/officeDocument/2006/relationships" r:id="anysvml"/>
</worksheet>
</file>

<file path=xl/worksheets/sheet42.xml><?xml version="1.0" encoding="utf-8"?>
<worksheet xmlns="http://schemas.openxmlformats.org/spreadsheetml/2006/main">
  <sheetPr>
    <tabColor rgb="002E6BD9"/>
    <outlinePr summaryBelow="1" summaryRight="1"/>
    <pageSetUpPr/>
  </sheetPr>
  <dimension ref="A1:J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38" customWidth="1" min="2" max="2"/>
    <col width="10" customWidth="1" min="3" max="3"/>
    <col width="15" customWidth="1" min="4" max="4"/>
    <col width="48" customWidth="1" min="5" max="5"/>
    <col width="10" customWidth="1" min="6" max="6"/>
    <col width="48" customWidth="1" min="7" max="7"/>
    <col width="48" customWidth="1" min="8" max="8"/>
    <col width="48" customWidth="1" min="9" max="9"/>
    <col width="15" customWidth="1" min="10" max="10"/>
  </cols>
  <sheetData>
    <row r="1" ht="30" customHeight="1">
      <c r="A1" s="17" t="inlineStr">
        <is>
          <t>problem_id</t>
        </is>
      </c>
      <c r="B1" s="17" t="inlineStr">
        <is>
          <t>title</t>
        </is>
      </c>
      <c r="C1" s="17" t="inlineStr">
        <is>
          <t>type</t>
        </is>
      </c>
      <c r="D1" s="17" t="inlineStr">
        <is>
          <t>state</t>
        </is>
      </c>
      <c r="E1" s="17" t="inlineStr">
        <is>
          <t>incidents</t>
        </is>
      </c>
      <c r="F1" s="17" t="inlineStr">
        <is>
          <t>open</t>
        </is>
      </c>
      <c r="G1" s="17" t="inlineStr">
        <is>
          <t>sites</t>
        </is>
      </c>
      <c r="H1" s="17" t="inlineStr">
        <is>
          <t>workaround</t>
        </is>
      </c>
      <c r="I1" s="17" t="inlineStr">
        <is>
          <t>fix</t>
        </is>
      </c>
      <c r="J1" s="17" t="inlineStr">
        <is>
          <t>owner</t>
        </is>
      </c>
    </row>
    <row r="2">
      <c r="A2" t="inlineStr">
        <is>
          <t>PRB-4445</t>
        </is>
      </c>
      <c r="B2" t="inlineStr">
        <is>
          <t>Optic degradation (SFP lot 22B)</t>
        </is>
      </c>
      <c r="C2" t="inlineStr">
        <is>
          <t>Network</t>
        </is>
      </c>
      <c r="D2" t="inlineStr">
        <is>
          <t>Investigating</t>
        </is>
      </c>
      <c r="E2" t="inlineStr">
        <is>
          <t>INC-0001;INC-0024;INC-0034</t>
        </is>
      </c>
      <c r="F2" t="n">
        <v>1</v>
      </c>
      <c r="G2" t="inlineStr">
        <is>
          <t>MH-DC-001;MH-DC-004;WB-DC-017</t>
        </is>
      </c>
      <c r="H2" t="inlineStr">
        <is>
          <t>Move traffic to the parallel span; swap the optic from a spare lot and clean the patch</t>
        </is>
      </c>
      <c r="I2" t="inlineStr">
        <is>
          <t>Replace every optic from the affected lot under a vendor field notice; inspect the ODF jumpers</t>
        </is>
      </c>
      <c r="J2" t="inlineStr">
        <is>
          <t>Sneha Patil</t>
        </is>
      </c>
    </row>
    <row r="3">
      <c r="A3" t="inlineStr">
        <is>
          <t>PRB-7148</t>
        </is>
      </c>
      <c r="B3" t="inlineStr">
        <is>
          <t>Cage access alarm</t>
        </is>
      </c>
      <c r="C3" t="inlineStr">
        <is>
          <t>Security</t>
        </is>
      </c>
      <c r="D3" t="inlineStr">
        <is>
          <t>Known error</t>
        </is>
      </c>
      <c r="E3" t="inlineStr">
        <is>
          <t>INC-0027;INC-0028;INC-0033;INC-0038;INC-0042;INC-0043;INC-0044;INC-0046</t>
        </is>
      </c>
      <c r="F3" t="n">
        <v>0</v>
      </c>
      <c r="G3" t="inlineStr">
        <is>
          <t>WB-DC-017;MH-DC-001;MH-DC-003;UP-DC-005;KA-DC-008;BR-DC-019;DL-DC-009</t>
        </is>
      </c>
      <c r="H3" t="inlineStr">
        <is>
          <t>Follow the runbook for this alarm type</t>
        </is>
      </c>
      <c r="I3" t="inlineStr">
        <is>
          <t>Root cause and permanent fix to be confirmed</t>
        </is>
      </c>
      <c r="J3" t="inlineStr">
        <is>
          <t>James Wilson</t>
        </is>
      </c>
    </row>
    <row r="4">
      <c r="A4" t="inlineStr">
        <is>
          <t>PRB-4629</t>
        </is>
      </c>
      <c r="B4" t="inlineStr">
        <is>
          <t>Chiller pump fault</t>
        </is>
      </c>
      <c r="C4" t="inlineStr">
        <is>
          <t>Cooling</t>
        </is>
      </c>
      <c r="D4" t="inlineStr">
        <is>
          <t>Known error</t>
        </is>
      </c>
      <c r="E4" t="inlineStr">
        <is>
          <t>INC-0011;INC-0022;INC-0029;INC-0035;INC-0045</t>
        </is>
      </c>
      <c r="F4" t="n">
        <v>0</v>
      </c>
      <c r="G4" t="inlineStr">
        <is>
          <t>MP-DC-014;KA-DC-020;MH-DC-002;RJ-DC-015;KL-DC-024</t>
        </is>
      </c>
      <c r="H4" t="inlineStr">
        <is>
          <t>Keep the spare unit running; portable cooling on standby</t>
        </is>
      </c>
      <c r="I4" t="inlineStr">
        <is>
          <t>Repair the unit and review the maintenance interval</t>
        </is>
      </c>
      <c r="J4" t="inlineStr">
        <is>
          <t>James Wilson</t>
        </is>
      </c>
    </row>
    <row r="5">
      <c r="A5" t="inlineStr">
        <is>
          <t>PRB-3034</t>
        </is>
      </c>
      <c r="B5" t="inlineStr">
        <is>
          <t>Tenant cabinet over contracted power</t>
        </is>
      </c>
      <c r="C5" t="inlineStr">
        <is>
          <t>Rack</t>
        </is>
      </c>
      <c r="D5" t="inlineStr">
        <is>
          <t>Known error</t>
        </is>
      </c>
      <c r="E5" t="inlineStr">
        <is>
          <t>INC-0016;INC-0017;INC-0020;INC-0026;INC-0048</t>
        </is>
      </c>
      <c r="F5" t="n">
        <v>0</v>
      </c>
      <c r="G5" t="inlineStr">
        <is>
          <t>WB-DC-017;MH-DC-002;UP-DC-005;BR-DC-019;RJ-DC-015</t>
        </is>
      </c>
      <c r="H5" t="inlineStr">
        <is>
          <t>Follow the runbook for this alarm type</t>
        </is>
      </c>
      <c r="I5" t="inlineStr">
        <is>
          <t>Root cause and permanent fix to be confirmed</t>
        </is>
      </c>
      <c r="J5" t="inlineStr">
        <is>
          <t>Anil Kulkarni</t>
        </is>
      </c>
    </row>
    <row r="6">
      <c r="A6" t="inlineStr">
        <is>
          <t>PRB-6635</t>
        </is>
      </c>
      <c r="B6" t="inlineStr">
        <is>
          <t>Cross-connect panel ports exhausted</t>
        </is>
      </c>
      <c r="C6" t="inlineStr">
        <is>
          <t>Capacity</t>
        </is>
      </c>
      <c r="D6" t="inlineStr">
        <is>
          <t>Known error</t>
        </is>
      </c>
      <c r="E6" t="inlineStr">
        <is>
          <t>INC-0012;INC-0013</t>
        </is>
      </c>
      <c r="F6" t="n">
        <v>0</v>
      </c>
      <c r="G6" t="inlineStr">
        <is>
          <t>MH-DC-001;AP-DC-010</t>
        </is>
      </c>
      <c r="H6" t="inlineStr">
        <is>
          <t>Re-balance traffic onto parallel spans or free ports</t>
        </is>
      </c>
      <c r="I6" t="inlineStr">
        <is>
          <t>Add capacity (upgrade or new span / leaf) before the forecast threshold</t>
        </is>
      </c>
      <c r="J6" t="inlineStr">
        <is>
          <t>Sneha Patil</t>
        </is>
      </c>
    </row>
  </sheetData>
  <autoFilter ref="A1:J6"/>
  <pageMargins left="0.75" right="0.75" top="1" bottom="1" header="0.5" footer="0.5"/>
  <legacyDrawing xmlns:r="http://schemas.openxmlformats.org/officeDocument/2006/relationships" r:id="anysvml"/>
</worksheet>
</file>

<file path=xl/worksheets/sheet43.xml><?xml version="1.0" encoding="utf-8"?>
<worksheet xmlns="http://schemas.openxmlformats.org/spreadsheetml/2006/main">
  <sheetPr>
    <tabColor rgb="002E6BD9"/>
    <outlinePr summaryBelow="1" summaryRight="1"/>
    <pageSetUpPr/>
  </sheetPr>
  <dimension ref="A1:H4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5" customWidth="1" min="2" max="2"/>
    <col width="12" customWidth="1" min="3" max="3"/>
    <col width="16" customWidth="1" min="4" max="4"/>
    <col width="48" customWidth="1" min="5" max="5"/>
    <col width="13" customWidth="1" min="6" max="6"/>
    <col width="18" customWidth="1" min="7" max="7"/>
    <col width="19" customWidth="1" min="8" max="8"/>
  </cols>
  <sheetData>
    <row r="1" ht="30" customHeight="1">
      <c r="A1" s="17" t="inlineStr">
        <is>
          <t>order_id</t>
        </is>
      </c>
      <c r="B1" s="17" t="inlineStr">
        <is>
          <t>kind</t>
        </is>
      </c>
      <c r="C1" s="17" t="inlineStr">
        <is>
          <t>site_id</t>
        </is>
      </c>
      <c r="D1" s="17" t="inlineStr">
        <is>
          <t>customer_id</t>
        </is>
      </c>
      <c r="E1" s="17" t="inlineStr">
        <is>
          <t>detail</t>
        </is>
      </c>
      <c r="F1" s="17" t="inlineStr">
        <is>
          <t>state</t>
        </is>
      </c>
      <c r="G1" s="17" t="inlineStr">
        <is>
          <t>opened</t>
        </is>
      </c>
      <c r="H1" s="17" t="inlineStr">
        <is>
          <t>due_or_minutes</t>
        </is>
      </c>
    </row>
    <row r="2">
      <c r="A2" t="inlineStr">
        <is>
          <t>XC-76071</t>
        </is>
      </c>
      <c r="B2" t="inlineStr">
        <is>
          <t>Cross-connect</t>
        </is>
      </c>
      <c r="C2" t="inlineStr">
        <is>
          <t>MH-DC-001</t>
        </is>
      </c>
      <c r="D2" t="inlineStr">
        <is>
          <t>CUST-8230</t>
        </is>
      </c>
      <c r="E2" t="inlineStr">
        <is>
          <t>RACK-J (tenant cabinet) → Carrier POP · MMR panel 3</t>
        </is>
      </c>
      <c r="F2" t="inlineStr">
        <is>
          <t>Approved</t>
        </is>
      </c>
      <c r="G2" t="inlineStr">
        <is>
          <t>2026-09-24 07:50</t>
        </is>
      </c>
      <c r="H2" s="18" t="n">
        <v>46294</v>
      </c>
    </row>
    <row r="3">
      <c r="A3" t="inlineStr">
        <is>
          <t>XC-85767</t>
        </is>
      </c>
      <c r="B3" t="inlineStr">
        <is>
          <t>Cross-connect</t>
        </is>
      </c>
      <c r="C3" t="inlineStr">
        <is>
          <t>MH-DC-002</t>
        </is>
      </c>
      <c r="D3" t="inlineStr">
        <is>
          <t>CUST-4716</t>
        </is>
      </c>
      <c r="E3" t="inlineStr">
        <is>
          <t>RACK-E (tenant cabinet) → Carrier POP · MMR panel 3</t>
        </is>
      </c>
      <c r="F3" t="inlineStr">
        <is>
          <t>Approved</t>
        </is>
      </c>
      <c r="G3" t="inlineStr">
        <is>
          <t>2026-09-23 07:50</t>
        </is>
      </c>
      <c r="H3" s="18" t="n">
        <v>46293</v>
      </c>
    </row>
    <row r="4">
      <c r="A4" t="inlineStr">
        <is>
          <t>XC-97323</t>
        </is>
      </c>
      <c r="B4" t="inlineStr">
        <is>
          <t>Cross-connect</t>
        </is>
      </c>
      <c r="C4" t="inlineStr">
        <is>
          <t>MH-DC-001</t>
        </is>
      </c>
      <c r="D4" t="inlineStr">
        <is>
          <t>CUST-2063</t>
        </is>
      </c>
      <c r="E4" t="inlineStr">
        <is>
          <t>RACK-I (tenant cabinet) → Peering fabric · MMR panel 2</t>
        </is>
      </c>
      <c r="F4" t="inlineStr">
        <is>
          <t>Patched</t>
        </is>
      </c>
      <c r="G4" t="inlineStr">
        <is>
          <t>2026-09-30 07:50</t>
        </is>
      </c>
      <c r="H4" s="18" t="n">
        <v>46300</v>
      </c>
    </row>
    <row r="5">
      <c r="A5" t="inlineStr">
        <is>
          <t>XC-80289</t>
        </is>
      </c>
      <c r="B5" t="inlineStr">
        <is>
          <t>Cross-connect</t>
        </is>
      </c>
      <c r="C5" t="inlineStr">
        <is>
          <t>MH-DC-002</t>
        </is>
      </c>
      <c r="D5" t="inlineStr">
        <is>
          <t>CUST-2954</t>
        </is>
      </c>
      <c r="E5" t="inlineStr">
        <is>
          <t>RACK-F (tenant cabinet) → Other tenant · cage cross-connect</t>
        </is>
      </c>
      <c r="F5" t="inlineStr">
        <is>
          <t>Patched</t>
        </is>
      </c>
      <c r="G5" t="inlineStr">
        <is>
          <t>2026-09-30 07:50</t>
        </is>
      </c>
      <c r="H5" s="18" t="n">
        <v>46300</v>
      </c>
    </row>
    <row r="6">
      <c r="A6" t="inlineStr">
        <is>
          <t>XC-26347</t>
        </is>
      </c>
      <c r="B6" t="inlineStr">
        <is>
          <t>Cross-connect</t>
        </is>
      </c>
      <c r="C6" t="inlineStr">
        <is>
          <t>MH-DC-001</t>
        </is>
      </c>
      <c r="D6" t="inlineStr">
        <is>
          <t>CUST-1202</t>
        </is>
      </c>
      <c r="E6" t="inlineStr">
        <is>
          <t>RACK-P (tenant cabinet) → Cloud on-ramp · MMR panel 7</t>
        </is>
      </c>
      <c r="F6" t="inlineStr">
        <is>
          <t>Patched</t>
        </is>
      </c>
      <c r="G6" t="inlineStr">
        <is>
          <t>2026-09-24 07:50</t>
        </is>
      </c>
      <c r="H6" s="18" t="n">
        <v>46294</v>
      </c>
    </row>
    <row r="7">
      <c r="A7" t="inlineStr">
        <is>
          <t>XC-90401</t>
        </is>
      </c>
      <c r="B7" t="inlineStr">
        <is>
          <t>Cross-connect</t>
        </is>
      </c>
      <c r="C7" t="inlineStr">
        <is>
          <t>MH-DC-002</t>
        </is>
      </c>
      <c r="D7" t="inlineStr">
        <is>
          <t>CUST-2954</t>
        </is>
      </c>
      <c r="E7" t="inlineStr">
        <is>
          <t>RACK-F (tenant cabinet) → MMR-SW-03 MMR panel 7 · P16</t>
        </is>
      </c>
      <c r="F7" t="inlineStr">
        <is>
          <t>Handed over</t>
        </is>
      </c>
      <c r="G7" t="inlineStr">
        <is>
          <t>2026-08-27 07:50</t>
        </is>
      </c>
      <c r="H7" s="18" t="n">
        <v>46266</v>
      </c>
    </row>
    <row r="8">
      <c r="A8" t="inlineStr">
        <is>
          <t>XC-42282</t>
        </is>
      </c>
      <c r="B8" t="inlineStr">
        <is>
          <t>Cross-connect</t>
        </is>
      </c>
      <c r="C8" t="inlineStr">
        <is>
          <t>MH-DC-001</t>
        </is>
      </c>
      <c r="D8" t="inlineStr">
        <is>
          <t>CUST-9982</t>
        </is>
      </c>
      <c r="E8" t="inlineStr">
        <is>
          <t>RACK-O (tenant cabinet) → MMR-SW-04 MMR panel 4 · P19</t>
        </is>
      </c>
      <c r="F8" t="inlineStr">
        <is>
          <t>Handed over</t>
        </is>
      </c>
      <c r="G8" t="inlineStr">
        <is>
          <t>2026-08-09 07:50</t>
        </is>
      </c>
      <c r="H8" s="18" t="n">
        <v>46248</v>
      </c>
    </row>
    <row r="9">
      <c r="A9" t="inlineStr">
        <is>
          <t>XC-25211</t>
        </is>
      </c>
      <c r="B9" t="inlineStr">
        <is>
          <t>Cross-connect</t>
        </is>
      </c>
      <c r="C9" t="inlineStr">
        <is>
          <t>MH-DC-002</t>
        </is>
      </c>
      <c r="D9" t="inlineStr">
        <is>
          <t>CUST-7349</t>
        </is>
      </c>
      <c r="E9" t="inlineStr">
        <is>
          <t>RACK-B (tenant cabinet) → MMR-SW-01 MMR panel 3 · P16</t>
        </is>
      </c>
      <c r="F9" t="inlineStr">
        <is>
          <t>Handed over</t>
        </is>
      </c>
      <c r="G9" t="inlineStr">
        <is>
          <t>2026-07-15 07:50</t>
        </is>
      </c>
      <c r="H9" s="18" t="n">
        <v>46223</v>
      </c>
    </row>
    <row r="10">
      <c r="A10" t="inlineStr">
        <is>
          <t>XC-18848</t>
        </is>
      </c>
      <c r="B10" t="inlineStr">
        <is>
          <t>Cross-connect</t>
        </is>
      </c>
      <c r="C10" t="inlineStr">
        <is>
          <t>MH-DC-001</t>
        </is>
      </c>
      <c r="D10" t="inlineStr">
        <is>
          <t>CUST-9111</t>
        </is>
      </c>
      <c r="E10" t="inlineStr">
        <is>
          <t>RACK-F (tenant cabinet) → MMR-SW-09 MMR panel 7 · P10</t>
        </is>
      </c>
      <c r="F10" t="inlineStr">
        <is>
          <t>Handed over</t>
        </is>
      </c>
      <c r="G10" t="inlineStr">
        <is>
          <t>2026-06-21 07:50</t>
        </is>
      </c>
      <c r="H10" s="18" t="n">
        <v>46199</v>
      </c>
    </row>
    <row r="11">
      <c r="A11" t="inlineStr">
        <is>
          <t>XC-64562</t>
        </is>
      </c>
      <c r="B11" t="inlineStr">
        <is>
          <t>Cross-connect</t>
        </is>
      </c>
      <c r="C11" t="inlineStr">
        <is>
          <t>MH-DC-001</t>
        </is>
      </c>
      <c r="D11" t="inlineStr">
        <is>
          <t>CUST-6478</t>
        </is>
      </c>
      <c r="E11" t="inlineStr">
        <is>
          <t>RACK-H (tenant cabinet) → MMR-SW-05 MMR panel 4 · P37</t>
        </is>
      </c>
      <c r="F11" t="inlineStr">
        <is>
          <t>Handed over</t>
        </is>
      </c>
      <c r="G11" t="inlineStr">
        <is>
          <t>2026-06-21 07:50</t>
        </is>
      </c>
      <c r="H11" s="18" t="n">
        <v>46199</v>
      </c>
    </row>
    <row r="12">
      <c r="A12" t="inlineStr">
        <is>
          <t>XC-33306</t>
        </is>
      </c>
      <c r="B12" t="inlineStr">
        <is>
          <t>Cross-connect</t>
        </is>
      </c>
      <c r="C12" t="inlineStr">
        <is>
          <t>MH-DC-002</t>
        </is>
      </c>
      <c r="D12" t="inlineStr">
        <is>
          <t>CUST-7349</t>
        </is>
      </c>
      <c r="E12" t="inlineStr">
        <is>
          <t>RACK-B (tenant cabinet) → MMR-SW-02 MMR panel 6 · P3</t>
        </is>
      </c>
      <c r="F12" t="inlineStr">
        <is>
          <t>Handed over</t>
        </is>
      </c>
      <c r="G12" t="inlineStr">
        <is>
          <t>2026-05-30 07:50</t>
        </is>
      </c>
      <c r="H12" s="18" t="n">
        <v>46177</v>
      </c>
    </row>
    <row r="13">
      <c r="A13" t="inlineStr">
        <is>
          <t>XC-75639</t>
        </is>
      </c>
      <c r="B13" t="inlineStr">
        <is>
          <t>Cross-connect</t>
        </is>
      </c>
      <c r="C13" t="inlineStr">
        <is>
          <t>MH-DC-002</t>
        </is>
      </c>
      <c r="D13" t="inlineStr">
        <is>
          <t>CUST-4716</t>
        </is>
      </c>
      <c r="E13" t="inlineStr">
        <is>
          <t>RACK-E (tenant cabinet) → MMR-SW-04 MMR panel 7 · P26</t>
        </is>
      </c>
      <c r="F13" t="inlineStr">
        <is>
          <t>Handed over</t>
        </is>
      </c>
      <c r="G13" t="inlineStr">
        <is>
          <t>2026-05-11 07:50</t>
        </is>
      </c>
      <c r="H13" s="18" t="n">
        <v>46158</v>
      </c>
    </row>
    <row r="14">
      <c r="A14" t="inlineStr">
        <is>
          <t>XC-78473</t>
        </is>
      </c>
      <c r="B14" t="inlineStr">
        <is>
          <t>Cross-connect</t>
        </is>
      </c>
      <c r="C14" t="inlineStr">
        <is>
          <t>MH-DC-001</t>
        </is>
      </c>
      <c r="D14" t="inlineStr">
        <is>
          <t>CUST-1202</t>
        </is>
      </c>
      <c r="E14" t="inlineStr">
        <is>
          <t>RACK-P (tenant cabinet) → MMR-SW-01 MMR panel 4 · P22</t>
        </is>
      </c>
      <c r="F14" t="inlineStr">
        <is>
          <t>Handed over</t>
        </is>
      </c>
      <c r="G14" t="inlineStr">
        <is>
          <t>2026-05-10 07:50</t>
        </is>
      </c>
      <c r="H14" s="18" t="n">
        <v>46157</v>
      </c>
    </row>
    <row r="15">
      <c r="A15" t="inlineStr">
        <is>
          <t>XC-52330</t>
        </is>
      </c>
      <c r="B15" t="inlineStr">
        <is>
          <t>Cross-connect</t>
        </is>
      </c>
      <c r="C15" t="inlineStr">
        <is>
          <t>MH-DC-001</t>
        </is>
      </c>
      <c r="D15" t="inlineStr">
        <is>
          <t>CUST-8230</t>
        </is>
      </c>
      <c r="E15" t="inlineStr">
        <is>
          <t>RACK-J (tenant cabinet) → MMR-SW-07 MMR panel 6 · P5</t>
        </is>
      </c>
      <c r="F15" t="inlineStr">
        <is>
          <t>Handed over</t>
        </is>
      </c>
      <c r="G15" t="inlineStr">
        <is>
          <t>2026-05-01 07:50</t>
        </is>
      </c>
      <c r="H15" s="18" t="n">
        <v>46148</v>
      </c>
    </row>
    <row r="16">
      <c r="A16" t="inlineStr">
        <is>
          <t>XC-85687</t>
        </is>
      </c>
      <c r="B16" t="inlineStr">
        <is>
          <t>Cross-connect</t>
        </is>
      </c>
      <c r="C16" t="inlineStr">
        <is>
          <t>MH-DC-002</t>
        </is>
      </c>
      <c r="D16" t="inlineStr">
        <is>
          <t>CUST-8220</t>
        </is>
      </c>
      <c r="E16" t="inlineStr">
        <is>
          <t>RACK-D (tenant cabinet) → MMR-SW-02 MMR panel 3 · P6</t>
        </is>
      </c>
      <c r="F16" t="inlineStr">
        <is>
          <t>Handed over</t>
        </is>
      </c>
      <c r="G16" t="inlineStr">
        <is>
          <t>2026-04-23 07:50</t>
        </is>
      </c>
      <c r="H16" s="18" t="n">
        <v>46140</v>
      </c>
    </row>
    <row r="17">
      <c r="A17" t="inlineStr">
        <is>
          <t>XC-71806</t>
        </is>
      </c>
      <c r="B17" t="inlineStr">
        <is>
          <t>Cross-connect</t>
        </is>
      </c>
      <c r="C17" t="inlineStr">
        <is>
          <t>MH-DC-001</t>
        </is>
      </c>
      <c r="D17" t="inlineStr">
        <is>
          <t>CUST-6468</t>
        </is>
      </c>
      <c r="E17" t="inlineStr">
        <is>
          <t>RACK-M (tenant cabinet) → MMR-SW-09 MMR panel 2 · P39</t>
        </is>
      </c>
      <c r="F17" t="inlineStr">
        <is>
          <t>Handed over</t>
        </is>
      </c>
      <c r="G17" t="inlineStr">
        <is>
          <t>2026-04-18 07:50</t>
        </is>
      </c>
      <c r="H17" s="18" t="n">
        <v>46135</v>
      </c>
    </row>
    <row r="18">
      <c r="A18" t="inlineStr">
        <is>
          <t>XC-38020</t>
        </is>
      </c>
      <c r="B18" t="inlineStr">
        <is>
          <t>Cross-connect</t>
        </is>
      </c>
      <c r="C18" t="inlineStr">
        <is>
          <t>MH-DC-002</t>
        </is>
      </c>
      <c r="D18" t="inlineStr">
        <is>
          <t>CUST-4716</t>
        </is>
      </c>
      <c r="E18" t="inlineStr">
        <is>
          <t>RACK-E (tenant cabinet) → MMR-SW-01 MMR panel 9 · P17</t>
        </is>
      </c>
      <c r="F18" t="inlineStr">
        <is>
          <t>Handed over</t>
        </is>
      </c>
      <c r="G18" t="inlineStr">
        <is>
          <t>2026-04-10 07:50</t>
        </is>
      </c>
      <c r="H18" s="18" t="n">
        <v>46127</v>
      </c>
    </row>
    <row r="19">
      <c r="A19" t="inlineStr">
        <is>
          <t>XC-69371</t>
        </is>
      </c>
      <c r="B19" t="inlineStr">
        <is>
          <t>Cross-connect</t>
        </is>
      </c>
      <c r="C19" t="inlineStr">
        <is>
          <t>MH-DC-001</t>
        </is>
      </c>
      <c r="D19" t="inlineStr">
        <is>
          <t>CUST-2954</t>
        </is>
      </c>
      <c r="E19" t="inlineStr">
        <is>
          <t>RACK-D (tenant cabinet) → MMR-SW-06 MMR panel 11 · P20</t>
        </is>
      </c>
      <c r="F19" t="inlineStr">
        <is>
          <t>Handed over</t>
        </is>
      </c>
      <c r="G19" t="inlineStr">
        <is>
          <t>2026-04-05 07:50</t>
        </is>
      </c>
      <c r="H19" s="18" t="n">
        <v>46122</v>
      </c>
    </row>
    <row r="20">
      <c r="A20" t="inlineStr">
        <is>
          <t>XC-16895</t>
        </is>
      </c>
      <c r="B20" t="inlineStr">
        <is>
          <t>Cross-connect</t>
        </is>
      </c>
      <c r="C20" t="inlineStr">
        <is>
          <t>MH-DC-002</t>
        </is>
      </c>
      <c r="D20" t="inlineStr">
        <is>
          <t>CUST-1202</t>
        </is>
      </c>
      <c r="E20" t="inlineStr">
        <is>
          <t>RACK-H (tenant cabinet) → MMR-SW-02 MMR panel 10 · P21</t>
        </is>
      </c>
      <c r="F20" t="inlineStr">
        <is>
          <t>Handed over</t>
        </is>
      </c>
      <c r="G20" t="inlineStr">
        <is>
          <t>2025-12-21 07:50</t>
        </is>
      </c>
      <c r="H20" s="18" t="n">
        <v>46017</v>
      </c>
    </row>
    <row r="21">
      <c r="A21" t="inlineStr">
        <is>
          <t>XC-67544</t>
        </is>
      </c>
      <c r="B21" t="inlineStr">
        <is>
          <t>Cross-connect</t>
        </is>
      </c>
      <c r="C21" t="inlineStr">
        <is>
          <t>MH-DC-002</t>
        </is>
      </c>
      <c r="D21" t="inlineStr">
        <is>
          <t>CUST-2954</t>
        </is>
      </c>
      <c r="E21" t="inlineStr">
        <is>
          <t>RACK-F (tenant cabinet) → MMR-SW-02 MMR panel 4 · P29</t>
        </is>
      </c>
      <c r="F21" t="inlineStr">
        <is>
          <t>Handed over</t>
        </is>
      </c>
      <c r="G21" t="inlineStr">
        <is>
          <t>2025-12-08 07:50</t>
        </is>
      </c>
      <c r="H21" s="18" t="n">
        <v>46004</v>
      </c>
    </row>
    <row r="22">
      <c r="A22" t="inlineStr">
        <is>
          <t>XC-79901</t>
        </is>
      </c>
      <c r="B22" t="inlineStr">
        <is>
          <t>Cross-connect</t>
        </is>
      </c>
      <c r="C22" t="inlineStr">
        <is>
          <t>MH-DC-001</t>
        </is>
      </c>
      <c r="D22" t="inlineStr">
        <is>
          <t>CUST-9982</t>
        </is>
      </c>
      <c r="E22" t="inlineStr">
        <is>
          <t>RACK-O (tenant cabinet) → MMR-SW-03 MMR panel 10 · P13</t>
        </is>
      </c>
      <c r="F22" t="inlineStr">
        <is>
          <t>Handed over</t>
        </is>
      </c>
      <c r="G22" t="inlineStr">
        <is>
          <t>2025-10-24 07:50</t>
        </is>
      </c>
      <c r="H22" s="18" t="n">
        <v>45959</v>
      </c>
    </row>
    <row r="23">
      <c r="A23" t="inlineStr">
        <is>
          <t>XC-39847</t>
        </is>
      </c>
      <c r="B23" t="inlineStr">
        <is>
          <t>Cross-connect</t>
        </is>
      </c>
      <c r="C23" t="inlineStr">
        <is>
          <t>MH-DC-001</t>
        </is>
      </c>
      <c r="D23" t="inlineStr">
        <is>
          <t>CUST-7349</t>
        </is>
      </c>
      <c r="E23" t="inlineStr">
        <is>
          <t>RACK-C (tenant cabinet) → MMR-SW-02 MMR panel 8 · P26</t>
        </is>
      </c>
      <c r="F23" t="inlineStr">
        <is>
          <t>Handed over</t>
        </is>
      </c>
      <c r="G23" t="inlineStr">
        <is>
          <t>2025-10-21 07:50</t>
        </is>
      </c>
      <c r="H23" s="18" t="n">
        <v>45956</v>
      </c>
    </row>
    <row r="24">
      <c r="A24" t="inlineStr">
        <is>
          <t>XC-92228</t>
        </is>
      </c>
      <c r="B24" t="inlineStr">
        <is>
          <t>Cross-connect</t>
        </is>
      </c>
      <c r="C24" t="inlineStr">
        <is>
          <t>MH-DC-001</t>
        </is>
      </c>
      <c r="D24" t="inlineStr">
        <is>
          <t>CUST-7349</t>
        </is>
      </c>
      <c r="E24" t="inlineStr">
        <is>
          <t>RACK-C (tenant cabinet) → MMR-SW-01 MMR panel 1 · P34</t>
        </is>
      </c>
      <c r="F24" t="inlineStr">
        <is>
          <t>Handed over</t>
        </is>
      </c>
      <c r="G24" t="inlineStr">
        <is>
          <t>2025-10-06 07:50</t>
        </is>
      </c>
      <c r="H24" s="18" t="n">
        <v>45941</v>
      </c>
    </row>
    <row r="25">
      <c r="A25" t="inlineStr">
        <is>
          <t>XC-44235</t>
        </is>
      </c>
      <c r="B25" t="inlineStr">
        <is>
          <t>Cross-connect</t>
        </is>
      </c>
      <c r="C25" t="inlineStr">
        <is>
          <t>MH-DC-001</t>
        </is>
      </c>
      <c r="D25" t="inlineStr">
        <is>
          <t>CUST-2063</t>
        </is>
      </c>
      <c r="E25" t="inlineStr">
        <is>
          <t>RACK-I (tenant cabinet) → MMR-SW-06 MMR panel 11 · P28</t>
        </is>
      </c>
      <c r="F25" t="inlineStr">
        <is>
          <t>Handed over</t>
        </is>
      </c>
      <c r="G25" t="inlineStr">
        <is>
          <t>2025-09-30 07:50</t>
        </is>
      </c>
      <c r="H25" s="18" t="n">
        <v>45935</v>
      </c>
    </row>
    <row r="26">
      <c r="A26" t="inlineStr">
        <is>
          <t>XC-69276</t>
        </is>
      </c>
      <c r="B26" t="inlineStr">
        <is>
          <t>Cross-connect</t>
        </is>
      </c>
      <c r="C26" t="inlineStr">
        <is>
          <t>MH-DC-002</t>
        </is>
      </c>
      <c r="D26" t="inlineStr">
        <is>
          <t>CUST-1202</t>
        </is>
      </c>
      <c r="E26" t="inlineStr">
        <is>
          <t>RACK-H (tenant cabinet) → MMR-SW-01 MMR panel 5 · P9</t>
        </is>
      </c>
      <c r="F26" t="inlineStr">
        <is>
          <t>Handed over</t>
        </is>
      </c>
      <c r="G26" t="inlineStr">
        <is>
          <t>2025-09-10 07:50</t>
        </is>
      </c>
      <c r="H26" s="18" t="n">
        <v>45915</v>
      </c>
    </row>
    <row r="27">
      <c r="A27" t="inlineStr">
        <is>
          <t>XC-12181</t>
        </is>
      </c>
      <c r="B27" t="inlineStr">
        <is>
          <t>Cross-connect</t>
        </is>
      </c>
      <c r="C27" t="inlineStr">
        <is>
          <t>MH-DC-001</t>
        </is>
      </c>
      <c r="D27" t="inlineStr">
        <is>
          <t>CUST-6478</t>
        </is>
      </c>
      <c r="E27" t="inlineStr">
        <is>
          <t>RACK-H (tenant cabinet) → MMR-SW-04 MMR panel 8 · P46</t>
        </is>
      </c>
      <c r="F27" t="inlineStr">
        <is>
          <t>Handed over</t>
        </is>
      </c>
      <c r="G27" t="inlineStr">
        <is>
          <t>2025-09-04 07:50</t>
        </is>
      </c>
      <c r="H27" s="18" t="n">
        <v>45909</v>
      </c>
    </row>
    <row r="28">
      <c r="A28" t="inlineStr">
        <is>
          <t>XC-41705</t>
        </is>
      </c>
      <c r="B28" t="inlineStr">
        <is>
          <t>Cross-connect</t>
        </is>
      </c>
      <c r="C28" t="inlineStr">
        <is>
          <t>MH-DC-001</t>
        </is>
      </c>
      <c r="D28" t="inlineStr">
        <is>
          <t>CUST-9111</t>
        </is>
      </c>
      <c r="E28" t="inlineStr">
        <is>
          <t>RACK-F (tenant cabinet) → MMR-SW-01 MMR panel 7 · P11</t>
        </is>
      </c>
      <c r="F28" t="inlineStr">
        <is>
          <t>Handed over</t>
        </is>
      </c>
      <c r="G28" t="inlineStr">
        <is>
          <t>2025-08-27 07:50</t>
        </is>
      </c>
      <c r="H28" s="18" t="n">
        <v>45901</v>
      </c>
    </row>
    <row r="29">
      <c r="A29" t="inlineStr">
        <is>
          <t>RH-93982</t>
        </is>
      </c>
      <c r="B29" t="inlineStr">
        <is>
          <t>Remote hands</t>
        </is>
      </c>
      <c r="C29" t="inlineStr">
        <is>
          <t>MH-DC-001</t>
        </is>
      </c>
      <c r="D29" t="inlineStr">
        <is>
          <t>CUST-2063</t>
        </is>
      </c>
      <c r="E29" t="inlineStr">
        <is>
          <t>Power-cycle a server (outlet reboot)</t>
        </is>
      </c>
      <c r="F29" t="inlineStr">
        <is>
          <t>Open</t>
        </is>
      </c>
      <c r="G29" t="inlineStr">
        <is>
          <t>2026-09-30 16:50</t>
        </is>
      </c>
      <c r="H29" t="n">
        <v>0</v>
      </c>
    </row>
    <row r="30">
      <c r="A30" t="inlineStr">
        <is>
          <t>RH-75712</t>
        </is>
      </c>
      <c r="B30" t="inlineStr">
        <is>
          <t>Remote hands</t>
        </is>
      </c>
      <c r="C30" t="inlineStr">
        <is>
          <t>MH-DC-002</t>
        </is>
      </c>
      <c r="D30" t="inlineStr">
        <is>
          <t>CUST-1202</t>
        </is>
      </c>
      <c r="E30" t="inlineStr">
        <is>
          <t>Re-seat a transceiver and check light</t>
        </is>
      </c>
      <c r="F30" t="inlineStr">
        <is>
          <t>Open</t>
        </is>
      </c>
      <c r="G30" t="inlineStr">
        <is>
          <t>2026-09-30 03:50</t>
        </is>
      </c>
      <c r="H30" t="n">
        <v>0</v>
      </c>
    </row>
    <row r="31">
      <c r="A31" t="inlineStr">
        <is>
          <t>RH-41601</t>
        </is>
      </c>
      <c r="B31" t="inlineStr">
        <is>
          <t>Remote hands</t>
        </is>
      </c>
      <c r="C31" t="inlineStr">
        <is>
          <t>MH-DC-001</t>
        </is>
      </c>
      <c r="D31" t="inlineStr">
        <is>
          <t>CUST-2063</t>
        </is>
      </c>
      <c r="E31" t="inlineStr">
        <is>
          <t>Photograph cabinet rear for audit</t>
        </is>
      </c>
      <c r="F31" t="inlineStr">
        <is>
          <t>Done</t>
        </is>
      </c>
      <c r="G31" t="inlineStr">
        <is>
          <t>2026-09-29 04:50</t>
        </is>
      </c>
      <c r="H31" t="n">
        <v>32</v>
      </c>
    </row>
    <row r="32">
      <c r="A32" t="inlineStr">
        <is>
          <t>RH-44019</t>
        </is>
      </c>
      <c r="B32" t="inlineStr">
        <is>
          <t>Remote hands</t>
        </is>
      </c>
      <c r="C32" t="inlineStr">
        <is>
          <t>MH-DC-002</t>
        </is>
      </c>
      <c r="D32" t="inlineStr">
        <is>
          <t>CUST-8220</t>
        </is>
      </c>
      <c r="E32" t="inlineStr">
        <is>
          <t>Swap a failed disk from tenant spares</t>
        </is>
      </c>
      <c r="F32" t="inlineStr">
        <is>
          <t>Done</t>
        </is>
      </c>
      <c r="G32" t="inlineStr">
        <is>
          <t>2026-09-28 17:50</t>
        </is>
      </c>
      <c r="H32" t="n">
        <v>48</v>
      </c>
    </row>
    <row r="33">
      <c r="A33" t="inlineStr">
        <is>
          <t>RH-88476</t>
        </is>
      </c>
      <c r="B33" t="inlineStr">
        <is>
          <t>Remote hands</t>
        </is>
      </c>
      <c r="C33" t="inlineStr">
        <is>
          <t>MH-DC-002</t>
        </is>
      </c>
      <c r="D33" t="inlineStr">
        <is>
          <t>CUST-7349</t>
        </is>
      </c>
      <c r="E33" t="inlineStr">
        <is>
          <t>Patch a new cross-connect into the tenant panel</t>
        </is>
      </c>
      <c r="F33" t="inlineStr">
        <is>
          <t>Done</t>
        </is>
      </c>
      <c r="G33" t="inlineStr">
        <is>
          <t>2026-09-27 08:50</t>
        </is>
      </c>
      <c r="H33" t="n">
        <v>29</v>
      </c>
    </row>
    <row r="34">
      <c r="A34" t="inlineStr">
        <is>
          <t>RH-29269</t>
        </is>
      </c>
      <c r="B34" t="inlineStr">
        <is>
          <t>Remote hands</t>
        </is>
      </c>
      <c r="C34" t="inlineStr">
        <is>
          <t>MH-DC-001</t>
        </is>
      </c>
      <c r="D34" t="inlineStr">
        <is>
          <t>CUST-6478</t>
        </is>
      </c>
      <c r="E34" t="inlineStr">
        <is>
          <t>Swap a failed disk from tenant spares</t>
        </is>
      </c>
      <c r="F34" t="inlineStr">
        <is>
          <t>Done</t>
        </is>
      </c>
      <c r="G34" t="inlineStr">
        <is>
          <t>2026-09-26 21:50</t>
        </is>
      </c>
      <c r="H34" t="n">
        <v>75</v>
      </c>
    </row>
    <row r="35">
      <c r="A35" t="inlineStr">
        <is>
          <t>RH-49777</t>
        </is>
      </c>
      <c r="B35" t="inlineStr">
        <is>
          <t>Remote hands</t>
        </is>
      </c>
      <c r="C35" t="inlineStr">
        <is>
          <t>MH-DC-001</t>
        </is>
      </c>
      <c r="D35" t="inlineStr">
        <is>
          <t>CUST-1202</t>
        </is>
      </c>
      <c r="E35" t="inlineStr">
        <is>
          <t>Patch a new cross-connect into the tenant panel</t>
        </is>
      </c>
      <c r="F35" t="inlineStr">
        <is>
          <t>Done</t>
        </is>
      </c>
      <c r="G35" t="inlineStr">
        <is>
          <t>2026-09-26 20:50</t>
        </is>
      </c>
      <c r="H35" t="n">
        <v>65</v>
      </c>
    </row>
    <row r="36">
      <c r="A36" t="inlineStr">
        <is>
          <t>RH-44149</t>
        </is>
      </c>
      <c r="B36" t="inlineStr">
        <is>
          <t>Remote hands</t>
        </is>
      </c>
      <c r="C36" t="inlineStr">
        <is>
          <t>MH-DC-001</t>
        </is>
      </c>
      <c r="D36" t="inlineStr">
        <is>
          <t>CUST-8230</t>
        </is>
      </c>
      <c r="E36" t="inlineStr">
        <is>
          <t>Power-cycle a server (outlet reboot)</t>
        </is>
      </c>
      <c r="F36" t="inlineStr">
        <is>
          <t>Done</t>
        </is>
      </c>
      <c r="G36" t="inlineStr">
        <is>
          <t>2026-09-26 16:50</t>
        </is>
      </c>
      <c r="H36" t="n">
        <v>25</v>
      </c>
    </row>
    <row r="37">
      <c r="A37" t="inlineStr">
        <is>
          <t>RH-46185</t>
        </is>
      </c>
      <c r="B37" t="inlineStr">
        <is>
          <t>Remote hands</t>
        </is>
      </c>
      <c r="C37" t="inlineStr">
        <is>
          <t>MH-DC-001</t>
        </is>
      </c>
      <c r="D37" t="inlineStr">
        <is>
          <t>CUST-7349</t>
        </is>
      </c>
      <c r="E37" t="inlineStr">
        <is>
          <t>Re-seat a transceiver and check light</t>
        </is>
      </c>
      <c r="F37" t="inlineStr">
        <is>
          <t>Done</t>
        </is>
      </c>
      <c r="G37" t="inlineStr">
        <is>
          <t>2026-09-26 10:50</t>
        </is>
      </c>
      <c r="H37" t="n">
        <v>23</v>
      </c>
    </row>
    <row r="38">
      <c r="A38" t="inlineStr">
        <is>
          <t>RH-36095</t>
        </is>
      </c>
      <c r="B38" t="inlineStr">
        <is>
          <t>Remote hands</t>
        </is>
      </c>
      <c r="C38" t="inlineStr">
        <is>
          <t>MH-DC-002</t>
        </is>
      </c>
      <c r="D38" t="inlineStr">
        <is>
          <t>CUST-7349</t>
        </is>
      </c>
      <c r="E38" t="inlineStr">
        <is>
          <t>Escort a vendor engineer to the cage</t>
        </is>
      </c>
      <c r="F38" t="inlineStr">
        <is>
          <t>Done</t>
        </is>
      </c>
      <c r="G38" t="inlineStr">
        <is>
          <t>2026-09-26 01:50</t>
        </is>
      </c>
      <c r="H38" t="n">
        <v>31</v>
      </c>
    </row>
    <row r="39">
      <c r="A39" t="inlineStr">
        <is>
          <t>RH-62549</t>
        </is>
      </c>
      <c r="B39" t="inlineStr">
        <is>
          <t>Remote hands</t>
        </is>
      </c>
      <c r="C39" t="inlineStr">
        <is>
          <t>MH-DC-002</t>
        </is>
      </c>
      <c r="D39" t="inlineStr">
        <is>
          <t>CUST-4716</t>
        </is>
      </c>
      <c r="E39" t="inlineStr">
        <is>
          <t>Photograph cabinet rear for audit</t>
        </is>
      </c>
      <c r="F39" t="inlineStr">
        <is>
          <t>Done</t>
        </is>
      </c>
      <c r="G39" t="inlineStr">
        <is>
          <t>2026-09-26 01:50</t>
        </is>
      </c>
      <c r="H39" t="n">
        <v>58</v>
      </c>
    </row>
    <row r="40">
      <c r="A40" t="inlineStr">
        <is>
          <t>RH-24930</t>
        </is>
      </c>
      <c r="B40" t="inlineStr">
        <is>
          <t>Remote hands</t>
        </is>
      </c>
      <c r="C40" t="inlineStr">
        <is>
          <t>MH-DC-002</t>
        </is>
      </c>
      <c r="D40" t="inlineStr">
        <is>
          <t>CUST-4716</t>
        </is>
      </c>
      <c r="E40" t="inlineStr">
        <is>
          <t>Photograph cabinet rear for audit</t>
        </is>
      </c>
      <c r="F40" t="inlineStr">
        <is>
          <t>Done</t>
        </is>
      </c>
      <c r="G40" t="inlineStr">
        <is>
          <t>2026-09-25 18:50</t>
        </is>
      </c>
      <c r="H40" t="n">
        <v>65</v>
      </c>
    </row>
    <row r="41">
      <c r="A41" t="inlineStr">
        <is>
          <t>RH-74227</t>
        </is>
      </c>
      <c r="B41" t="inlineStr">
        <is>
          <t>Remote hands</t>
        </is>
      </c>
      <c r="C41" t="inlineStr">
        <is>
          <t>MH-DC-002</t>
        </is>
      </c>
      <c r="D41" t="inlineStr">
        <is>
          <t>CUST-2954</t>
        </is>
      </c>
      <c r="E41" t="inlineStr">
        <is>
          <t>Swap a failed disk from tenant spares</t>
        </is>
      </c>
      <c r="F41" t="inlineStr">
        <is>
          <t>Done</t>
        </is>
      </c>
      <c r="G41" t="inlineStr">
        <is>
          <t>2026-09-25 18:50</t>
        </is>
      </c>
      <c r="H41" t="n">
        <v>58</v>
      </c>
    </row>
    <row r="42">
      <c r="A42" t="inlineStr">
        <is>
          <t>RH-98566</t>
        </is>
      </c>
      <c r="B42" t="inlineStr">
        <is>
          <t>Remote hands</t>
        </is>
      </c>
      <c r="C42" t="inlineStr">
        <is>
          <t>MH-DC-001</t>
        </is>
      </c>
      <c r="D42" t="inlineStr">
        <is>
          <t>CUST-7349</t>
        </is>
      </c>
      <c r="E42" t="inlineStr">
        <is>
          <t>Re-seat a transceiver and check light</t>
        </is>
      </c>
      <c r="F42" t="inlineStr">
        <is>
          <t>Done</t>
        </is>
      </c>
      <c r="G42" t="inlineStr">
        <is>
          <t>2026-09-25 14:50</t>
        </is>
      </c>
      <c r="H42" t="n">
        <v>16</v>
      </c>
    </row>
  </sheetData>
  <autoFilter ref="A1:H42"/>
  <pageMargins left="0.75" right="0.75" top="1" bottom="1" header="0.5" footer="0.5"/>
  <legacyDrawing xmlns:r="http://schemas.openxmlformats.org/officeDocument/2006/relationships" r:id="anysvml"/>
</worksheet>
</file>

<file path=xl/worksheets/sheet44.xml><?xml version="1.0" encoding="utf-8"?>
<worksheet xmlns="http://schemas.openxmlformats.org/spreadsheetml/2006/main">
  <sheetPr>
    <outlinePr summaryBelow="1" summaryRight="1"/>
    <pageSetUpPr/>
  </sheetPr>
  <dimension ref="A1:H36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24" customWidth="1" min="2" max="2"/>
    <col width="12" customWidth="1" min="3" max="3"/>
    <col width="10" customWidth="1" min="4" max="4"/>
    <col width="40" customWidth="1" min="5" max="5"/>
    <col width="34" customWidth="1" min="6" max="6"/>
    <col width="60" customWidth="1" min="7" max="7"/>
    <col width="28" customWidth="1" min="8" max="8"/>
  </cols>
  <sheetData>
    <row r="1">
      <c r="A1" s="5" t="inlineStr">
        <is>
          <t>Sheet</t>
        </is>
      </c>
      <c r="B1" s="5" t="inlineStr">
        <is>
          <t>Column</t>
        </is>
      </c>
      <c r="C1" s="5" t="inlineStr">
        <is>
          <t>Required</t>
        </is>
      </c>
      <c r="D1" s="5" t="inlineStr">
        <is>
          <t>Type</t>
        </is>
      </c>
      <c r="E1" s="5" t="inlineStr">
        <is>
          <t>Allowed values</t>
        </is>
      </c>
      <c r="F1" s="5" t="inlineStr">
        <is>
          <t>System field (types.ts)</t>
        </is>
      </c>
      <c r="G1" s="5" t="inlineStr">
        <is>
          <t>Description</t>
        </is>
      </c>
      <c r="H1" s="5" t="inlineStr">
        <is>
          <t>Example</t>
        </is>
      </c>
    </row>
    <row r="2">
      <c r="A2" t="inlineStr">
        <is>
          <t>Sites</t>
        </is>
      </c>
      <c r="B2" t="inlineStr">
        <is>
          <t>site_id</t>
        </is>
      </c>
      <c r="C2" t="inlineStr">
        <is>
          <t>Required</t>
        </is>
      </c>
      <c r="D2" t="inlineStr">
        <is>
          <t>text</t>
        </is>
      </c>
      <c r="E2" s="2" t="inlineStr"/>
      <c r="F2" t="inlineStr">
        <is>
          <t>Datacenter.id / Location.id</t>
        </is>
      </c>
      <c r="G2" s="2" t="inlineStr">
        <is>
          <t>Unique site code, format XX-DC-NNN (XX = state code). Every other sheet points to it.</t>
        </is>
      </c>
      <c r="H2" t="inlineStr">
        <is>
          <t>MH-DC-001</t>
        </is>
      </c>
    </row>
    <row r="3">
      <c r="A3" t="inlineStr">
        <is>
          <t>Sites</t>
        </is>
      </c>
      <c r="B3" t="inlineStr">
        <is>
          <t>site_name</t>
        </is>
      </c>
      <c r="C3" t="inlineStr">
        <is>
          <t>Required</t>
        </is>
      </c>
      <c r="D3" t="inlineStr">
        <is>
          <t>text</t>
        </is>
      </c>
      <c r="E3" s="2" t="inlineStr"/>
      <c r="F3" t="inlineStr">
        <is>
          <t>Datacenter.name</t>
        </is>
      </c>
      <c r="G3" s="2" t="inlineStr">
        <is>
          <t>Display name.</t>
        </is>
      </c>
      <c r="H3" t="inlineStr">
        <is>
          <t>MH-DC-001</t>
        </is>
      </c>
    </row>
    <row r="4">
      <c r="A4" t="inlineStr">
        <is>
          <t>Sites</t>
        </is>
      </c>
      <c r="B4" t="inlineStr">
        <is>
          <t>operator</t>
        </is>
      </c>
      <c r="C4" t="inlineStr">
        <is>
          <t>Optional</t>
        </is>
      </c>
      <c r="D4" t="inlineStr">
        <is>
          <t>text</t>
        </is>
      </c>
      <c r="E4" s="2" t="inlineStr"/>
      <c r="F4" t="inlineStr">
        <is>
          <t>(reference only)</t>
        </is>
      </c>
      <c r="G4" s="2" t="inlineStr">
        <is>
          <t>Owning company. Not shown in the tool today.</t>
        </is>
      </c>
      <c r="H4" t="inlineStr"/>
    </row>
    <row r="5">
      <c r="A5" t="inlineStr">
        <is>
          <t>Sites</t>
        </is>
      </c>
      <c r="B5" t="inlineStr">
        <is>
          <t>business_model</t>
        </is>
      </c>
      <c r="C5" t="inlineStr">
        <is>
          <t>Required</t>
        </is>
      </c>
      <c r="D5" t="inlineStr">
        <is>
          <t>list</t>
        </is>
      </c>
      <c r="E5" s="2" t="inlineStr">
        <is>
          <t>colocation, neocloud, cloud, enterprise, network</t>
        </is>
      </c>
      <c r="F5" t="inlineStr">
        <is>
          <t>Persona</t>
        </is>
      </c>
      <c r="G5" s="2" t="inlineStr">
        <is>
          <t>Sets vocabulary and rack contents: colocation, neocloud (GPU as a service), cloud, enterprise, network (telco).</t>
        </is>
      </c>
      <c r="H5" t="inlineStr">
        <is>
          <t>colocation</t>
        </is>
      </c>
    </row>
    <row r="6">
      <c r="A6" t="inlineStr">
        <is>
          <t>Sites</t>
        </is>
      </c>
      <c r="B6" t="inlineStr">
        <is>
          <t>status</t>
        </is>
      </c>
      <c r="C6" t="inlineStr">
        <is>
          <t>Required</t>
        </is>
      </c>
      <c r="D6" t="inlineStr">
        <is>
          <t>list</t>
        </is>
      </c>
      <c r="E6" s="2" t="inlineStr">
        <is>
          <t>on-air, in-progress, planned, failed</t>
        </is>
      </c>
      <c r="F6" t="inlineStr">
        <is>
          <t>Datacenter.status</t>
        </is>
      </c>
      <c r="G6" s="2" t="inlineStr">
        <is>
          <t>on-air = live; in-progress = being built; planned; failed.</t>
        </is>
      </c>
      <c r="H6" t="inlineStr">
        <is>
          <t>in-progress</t>
        </is>
      </c>
    </row>
    <row r="7">
      <c r="A7" t="inlineStr">
        <is>
          <t>Sites</t>
        </is>
      </c>
      <c r="B7" t="inlineStr">
        <is>
          <t>tier</t>
        </is>
      </c>
      <c r="C7" t="inlineStr">
        <is>
          <t>Required</t>
        </is>
      </c>
      <c r="D7" t="inlineStr">
        <is>
          <t>list</t>
        </is>
      </c>
      <c r="E7" s="2" t="inlineStr">
        <is>
          <t>Tier II, Tier III, Tier IV</t>
        </is>
      </c>
      <c r="F7" t="inlineStr">
        <is>
          <t>Datacenter.tier</t>
        </is>
      </c>
      <c r="G7" s="2" t="inlineStr">
        <is>
          <t>Uptime tier.</t>
        </is>
      </c>
      <c r="H7" t="inlineStr">
        <is>
          <t>Tier III</t>
        </is>
      </c>
    </row>
    <row r="8">
      <c r="A8" t="inlineStr">
        <is>
          <t>Sites</t>
        </is>
      </c>
      <c r="B8" t="inlineStr">
        <is>
          <t>category</t>
        </is>
      </c>
      <c r="C8" t="inlineStr">
        <is>
          <t>Required</t>
        </is>
      </c>
      <c r="D8" t="inlineStr">
        <is>
          <t>list</t>
        </is>
      </c>
      <c r="E8" s="2" t="inlineStr">
        <is>
          <t>Central, Regional, Edge</t>
        </is>
      </c>
      <c r="F8" t="inlineStr">
        <is>
          <t>Datacenter.category</t>
        </is>
      </c>
      <c r="G8" s="2" t="inlineStr">
        <is>
          <t>Central / Regional / Edge.</t>
        </is>
      </c>
      <c r="H8" t="inlineStr">
        <is>
          <t>Central</t>
        </is>
      </c>
    </row>
    <row r="9">
      <c r="A9" t="inlineStr">
        <is>
          <t>Sites</t>
        </is>
      </c>
      <c r="B9" t="inlineStr">
        <is>
          <t>region</t>
        </is>
      </c>
      <c r="C9" t="inlineStr">
        <is>
          <t>Required</t>
        </is>
      </c>
      <c r="D9" t="inlineStr">
        <is>
          <t>text</t>
        </is>
      </c>
      <c r="E9" s="2" t="inlineStr"/>
      <c r="F9" t="inlineStr">
        <is>
          <t>Region.name / Datacenter.regionId</t>
        </is>
      </c>
      <c r="G9" s="2" t="inlineStr">
        <is>
          <t>For example West, South, North, East, Central.</t>
        </is>
      </c>
      <c r="H9" t="inlineStr">
        <is>
          <t>West</t>
        </is>
      </c>
    </row>
    <row r="10">
      <c r="A10" t="inlineStr">
        <is>
          <t>Sites</t>
        </is>
      </c>
      <c r="B10" t="inlineStr">
        <is>
          <t>state</t>
        </is>
      </c>
      <c r="C10" t="inlineStr">
        <is>
          <t>Required</t>
        </is>
      </c>
      <c r="D10" t="inlineStr">
        <is>
          <t>text</t>
        </is>
      </c>
      <c r="E10" s="2" t="inlineStr"/>
      <c r="F10" t="inlineStr">
        <is>
          <t>Datacenter.state</t>
        </is>
      </c>
      <c r="G10" s="2" t="inlineStr">
        <is>
          <t>State or province.</t>
        </is>
      </c>
      <c r="H10" t="inlineStr">
        <is>
          <t>Maharashtra</t>
        </is>
      </c>
    </row>
    <row r="11">
      <c r="A11" t="inlineStr">
        <is>
          <t>Sites</t>
        </is>
      </c>
      <c r="B11" t="inlineStr">
        <is>
          <t>city</t>
        </is>
      </c>
      <c r="C11" t="inlineStr">
        <is>
          <t>Required</t>
        </is>
      </c>
      <c r="D11" t="inlineStr">
        <is>
          <t>text</t>
        </is>
      </c>
      <c r="E11" s="2" t="inlineStr"/>
      <c r="F11" t="inlineStr">
        <is>
          <t>Datacenter.city</t>
        </is>
      </c>
      <c r="G11" s="2" t="inlineStr">
        <is>
          <t>City.</t>
        </is>
      </c>
      <c r="H11" t="inlineStr">
        <is>
          <t>Pune</t>
        </is>
      </c>
    </row>
    <row r="12">
      <c r="A12" t="inlineStr">
        <is>
          <t>Sites</t>
        </is>
      </c>
      <c r="B12" t="inlineStr">
        <is>
          <t>address</t>
        </is>
      </c>
      <c r="C12" t="inlineStr">
        <is>
          <t>Required</t>
        </is>
      </c>
      <c r="D12" t="inlineStr">
        <is>
          <t>text</t>
        </is>
      </c>
      <c r="E12" s="2" t="inlineStr"/>
      <c r="F12" t="inlineStr">
        <is>
          <t>Datacenter.address</t>
        </is>
      </c>
      <c r="G12" s="2" t="inlineStr">
        <is>
          <t>Postal address.</t>
        </is>
      </c>
      <c r="H12" t="inlineStr">
        <is>
          <t>Pune Data Park</t>
        </is>
      </c>
    </row>
    <row r="13">
      <c r="A13" t="inlineStr">
        <is>
          <t>Sites</t>
        </is>
      </c>
      <c r="B13" t="inlineStr">
        <is>
          <t>latitude</t>
        </is>
      </c>
      <c r="C13" t="inlineStr">
        <is>
          <t>Required</t>
        </is>
      </c>
      <c r="D13" t="inlineStr">
        <is>
          <t>decimal</t>
        </is>
      </c>
      <c r="E13" s="2" t="inlineStr"/>
      <c r="F13" t="inlineStr">
        <is>
          <t>Datacenter.lat</t>
        </is>
      </c>
      <c r="G13" s="2" t="inlineStr">
        <is>
          <t>Decimal degrees (WGS84). Places the pin on the estate map.</t>
        </is>
      </c>
      <c r="H13" t="inlineStr">
        <is>
          <t>18.593</t>
        </is>
      </c>
    </row>
    <row r="14">
      <c r="A14" t="inlineStr">
        <is>
          <t>Sites</t>
        </is>
      </c>
      <c r="B14" t="inlineStr">
        <is>
          <t>longitude</t>
        </is>
      </c>
      <c r="C14" t="inlineStr">
        <is>
          <t>Required</t>
        </is>
      </c>
      <c r="D14" t="inlineStr">
        <is>
          <t>decimal</t>
        </is>
      </c>
      <c r="E14" s="2" t="inlineStr"/>
      <c r="F14" t="inlineStr">
        <is>
          <t>Datacenter.lng</t>
        </is>
      </c>
      <c r="G14" s="2" t="inlineStr">
        <is>
          <t>Decimal degrees (WGS84).</t>
        </is>
      </c>
      <c r="H14" t="inlineStr">
        <is>
          <t>73.789</t>
        </is>
      </c>
    </row>
    <row r="15">
      <c r="A15" t="inlineStr">
        <is>
          <t>Sites</t>
        </is>
      </c>
      <c r="B15" t="inlineStr">
        <is>
          <t>commissioned_on</t>
        </is>
      </c>
      <c r="C15" t="inlineStr">
        <is>
          <t>Optional</t>
        </is>
      </c>
      <c r="D15" t="inlineStr">
        <is>
          <t>date</t>
        </is>
      </c>
      <c r="E15" s="2" t="inlineStr"/>
      <c r="F15" t="inlineStr">
        <is>
          <t>Datacenter.commissionedOn</t>
        </is>
      </c>
      <c r="G15" s="2" t="inlineStr">
        <is>
          <t>Date the site went live.</t>
        </is>
      </c>
      <c r="H15" t="inlineStr">
        <is>
          <t>2023-03-15</t>
        </is>
      </c>
    </row>
    <row r="16">
      <c r="A16" t="inlineStr">
        <is>
          <t>Sites</t>
        </is>
      </c>
      <c r="B16" t="inlineStr">
        <is>
          <t>it_capacity_kw</t>
        </is>
      </c>
      <c r="C16" t="inlineStr">
        <is>
          <t>Required</t>
        </is>
      </c>
      <c r="D16" t="inlineStr">
        <is>
          <t>decimal</t>
        </is>
      </c>
      <c r="E16" s="2" t="inlineStr"/>
      <c r="F16" t="inlineStr">
        <is>
          <t>Datacenter.power.capacityKw</t>
        </is>
      </c>
      <c r="G16" s="2" t="inlineStr">
        <is>
          <t>Design IT load (kW) the site is built for.</t>
        </is>
      </c>
      <c r="H16" t="inlineStr">
        <is>
          <t>390</t>
        </is>
      </c>
    </row>
    <row r="17">
      <c r="A17" t="inlineStr">
        <is>
          <t>Sites</t>
        </is>
      </c>
      <c r="B17" t="inlineStr">
        <is>
          <t>design_pue</t>
        </is>
      </c>
      <c r="C17" t="inlineStr">
        <is>
          <t>Optional</t>
        </is>
      </c>
      <c r="D17" t="inlineStr">
        <is>
          <t>decimal</t>
        </is>
      </c>
      <c r="E17" s="2" t="inlineStr"/>
      <c r="F17" t="inlineStr">
        <is>
          <t>Datacenter.power.pue</t>
        </is>
      </c>
      <c r="G17" s="2" t="inlineStr">
        <is>
          <t>Design PUE. Live PUE comes from the BMS.</t>
        </is>
      </c>
      <c r="H17" t="inlineStr">
        <is>
          <t>1.52</t>
        </is>
      </c>
    </row>
    <row r="18">
      <c r="A18" t="inlineStr">
        <is>
          <t>Sites</t>
        </is>
      </c>
      <c r="B18" t="inlineStr">
        <is>
          <t>cooling_capacity_kw</t>
        </is>
      </c>
      <c r="C18" t="inlineStr">
        <is>
          <t>Required</t>
        </is>
      </c>
      <c r="D18" t="inlineStr">
        <is>
          <t>decimal</t>
        </is>
      </c>
      <c r="E18" s="2" t="inlineStr"/>
      <c r="F18" t="inlineStr">
        <is>
          <t>Datacenter.cooling.capacityKw</t>
        </is>
      </c>
      <c r="G18" s="2" t="inlineStr">
        <is>
          <t>Total installed cooling capacity (kW).</t>
        </is>
      </c>
      <c r="H18" t="inlineStr">
        <is>
          <t>240</t>
        </is>
      </c>
    </row>
    <row r="19">
      <c r="A19" t="inlineStr">
        <is>
          <t>Sites</t>
        </is>
      </c>
      <c r="B19" t="inlineStr">
        <is>
          <t>cooling_redundancy</t>
        </is>
      </c>
      <c r="C19" t="inlineStr">
        <is>
          <t>Required</t>
        </is>
      </c>
      <c r="D19" t="inlineStr">
        <is>
          <t>list</t>
        </is>
      </c>
      <c r="E19" s="2" t="inlineStr">
        <is>
          <t>N, N+1, 2N</t>
        </is>
      </c>
      <c r="F19" t="inlineStr">
        <is>
          <t>Datacenter.cooling.redundancy</t>
        </is>
      </c>
      <c r="G19" s="2" t="inlineStr">
        <is>
          <t>N / N+1 / 2N.</t>
        </is>
      </c>
      <c r="H19" t="inlineStr">
        <is>
          <t>N+1</t>
        </is>
      </c>
    </row>
    <row r="20">
      <c r="A20" t="inlineStr">
        <is>
          <t>Sites</t>
        </is>
      </c>
      <c r="B20" t="inlineStr">
        <is>
          <t>timezone</t>
        </is>
      </c>
      <c r="C20" t="inlineStr">
        <is>
          <t>Optional</t>
        </is>
      </c>
      <c r="D20" t="inlineStr">
        <is>
          <t>text</t>
        </is>
      </c>
      <c r="E20" s="2" t="inlineStr"/>
      <c r="F20" t="inlineStr">
        <is>
          <t>(reference only)</t>
        </is>
      </c>
      <c r="G20" s="2" t="inlineStr">
        <is>
          <t>IANA timezone, for example Asia/Kolkata.</t>
        </is>
      </c>
      <c r="H20" t="inlineStr">
        <is>
          <t>Asia/Kolkata</t>
        </is>
      </c>
    </row>
    <row r="21">
      <c r="A21" t="inlineStr">
        <is>
          <t>Floors</t>
        </is>
      </c>
      <c r="B21" t="inlineStr">
        <is>
          <t>site_id</t>
        </is>
      </c>
      <c r="C21" t="inlineStr">
        <is>
          <t>Required</t>
        </is>
      </c>
      <c r="D21" t="inlineStr">
        <is>
          <t>ref</t>
        </is>
      </c>
      <c r="E21" s="2" t="inlineStr">
        <is>
          <t>an ID from Sites</t>
        </is>
      </c>
      <c r="F21" t="inlineStr">
        <is>
          <t>Datacenter.id</t>
        </is>
      </c>
      <c r="G21" s="2" t="inlineStr">
        <is>
          <t>Must exist in Sites.</t>
        </is>
      </c>
      <c r="H21" t="inlineStr">
        <is>
          <t>MH-DC-001</t>
        </is>
      </c>
    </row>
    <row r="22">
      <c r="A22" t="inlineStr">
        <is>
          <t>Floors</t>
        </is>
      </c>
      <c r="B22" t="inlineStr">
        <is>
          <t>floor_id</t>
        </is>
      </c>
      <c r="C22" t="inlineStr">
        <is>
          <t>Required</t>
        </is>
      </c>
      <c r="D22" t="inlineStr">
        <is>
          <t>text</t>
        </is>
      </c>
      <c r="E22" s="2" t="inlineStr"/>
      <c r="F22" t="inlineStr">
        <is>
          <t>(key)</t>
        </is>
      </c>
      <c r="G22" s="2" t="inlineStr">
        <is>
          <t>Unique within the workbook, for example MP-DC-001-F0.</t>
        </is>
      </c>
      <c r="H22" t="inlineStr">
        <is>
          <t>MH-DC-001-F0</t>
        </is>
      </c>
    </row>
    <row r="23">
      <c r="A23" t="inlineStr">
        <is>
          <t>Floors</t>
        </is>
      </c>
      <c r="B23" t="inlineStr">
        <is>
          <t>floor_name</t>
        </is>
      </c>
      <c r="C23" t="inlineStr">
        <is>
          <t>Required</t>
        </is>
      </c>
      <c r="D23" t="inlineStr">
        <is>
          <t>text</t>
        </is>
      </c>
      <c r="E23" s="2" t="inlineStr"/>
      <c r="F23" t="inlineStr">
        <is>
          <t>Datacenter.floors[].name</t>
        </is>
      </c>
      <c r="G23" s="2" t="inlineStr">
        <is>
          <t>As staff call it: Ground, 1st floor…</t>
        </is>
      </c>
      <c r="H23" t="inlineStr">
        <is>
          <t>Ground</t>
        </is>
      </c>
    </row>
    <row r="24">
      <c r="A24" t="inlineStr">
        <is>
          <t>Floors</t>
        </is>
      </c>
      <c r="B24" t="inlineStr">
        <is>
          <t>level</t>
        </is>
      </c>
      <c r="C24" t="inlineStr">
        <is>
          <t>Required</t>
        </is>
      </c>
      <c r="D24" t="inlineStr">
        <is>
          <t>integer</t>
        </is>
      </c>
      <c r="E24" s="2" t="inlineStr"/>
      <c r="F24" t="inlineStr">
        <is>
          <t>(order in the 3D twin)</t>
        </is>
      </c>
      <c r="G24" s="2" t="inlineStr">
        <is>
          <t>0 = ground, 1 = first floor…, −1 = basement.</t>
        </is>
      </c>
      <c r="H24" t="inlineStr">
        <is>
          <t>0</t>
        </is>
      </c>
    </row>
    <row r="25">
      <c r="A25" t="inlineStr">
        <is>
          <t>Rooms</t>
        </is>
      </c>
      <c r="B25" t="inlineStr">
        <is>
          <t>site_id</t>
        </is>
      </c>
      <c r="C25" t="inlineStr">
        <is>
          <t>Required</t>
        </is>
      </c>
      <c r="D25" t="inlineStr">
        <is>
          <t>ref</t>
        </is>
      </c>
      <c r="E25" s="2" t="inlineStr">
        <is>
          <t>an ID from Sites</t>
        </is>
      </c>
      <c r="F25" t="inlineStr">
        <is>
          <t>Datacenter.id</t>
        </is>
      </c>
      <c r="G25" s="2" t="inlineStr"/>
      <c r="H25" t="inlineStr">
        <is>
          <t>MH-DC-001</t>
        </is>
      </c>
    </row>
    <row r="26">
      <c r="A26" t="inlineStr">
        <is>
          <t>Rooms</t>
        </is>
      </c>
      <c r="B26" t="inlineStr">
        <is>
          <t>floor_id</t>
        </is>
      </c>
      <c r="C26" t="inlineStr">
        <is>
          <t>Required</t>
        </is>
      </c>
      <c r="D26" t="inlineStr">
        <is>
          <t>ref</t>
        </is>
      </c>
      <c r="E26" s="2" t="inlineStr">
        <is>
          <t>an ID from Floors</t>
        </is>
      </c>
      <c r="F26" t="inlineStr">
        <is>
          <t>(key)</t>
        </is>
      </c>
      <c r="G26" s="2" t="inlineStr">
        <is>
          <t>Must exist in Floors.</t>
        </is>
      </c>
      <c r="H26" t="inlineStr">
        <is>
          <t>MH-DC-001-F0</t>
        </is>
      </c>
    </row>
    <row r="27">
      <c r="A27" t="inlineStr">
        <is>
          <t>Rooms</t>
        </is>
      </c>
      <c r="B27" t="inlineStr">
        <is>
          <t>room_id</t>
        </is>
      </c>
      <c r="C27" t="inlineStr">
        <is>
          <t>Required</t>
        </is>
      </c>
      <c r="D27" t="inlineStr">
        <is>
          <t>text</t>
        </is>
      </c>
      <c r="E27" s="2" t="inlineStr"/>
      <c r="F27" t="inlineStr">
        <is>
          <t>(key)</t>
        </is>
      </c>
      <c r="G27" s="2" t="inlineStr">
        <is>
          <t>Unique within the workbook.</t>
        </is>
      </c>
      <c r="H27" t="inlineStr">
        <is>
          <t>MH-DC-001-F0-R1</t>
        </is>
      </c>
    </row>
    <row r="28">
      <c r="A28" t="inlineStr">
        <is>
          <t>Rooms</t>
        </is>
      </c>
      <c r="B28" t="inlineStr">
        <is>
          <t>room_name</t>
        </is>
      </c>
      <c r="C28" t="inlineStr">
        <is>
          <t>Required</t>
        </is>
      </c>
      <c r="D28" t="inlineStr">
        <is>
          <t>text</t>
        </is>
      </c>
      <c r="E28" s="2" t="inlineStr"/>
      <c r="F28" t="inlineStr">
        <is>
          <t>Datacenter.floors[].rooms[] / Rack.room</t>
        </is>
      </c>
      <c r="G28" s="2" t="inlineStr">
        <is>
          <t>Shown in the twin, the racks list and alarm locations.</t>
        </is>
      </c>
      <c r="H28" t="inlineStr">
        <is>
          <t>Meet-me room</t>
        </is>
      </c>
    </row>
    <row r="29">
      <c r="A29" t="inlineStr">
        <is>
          <t>Rooms</t>
        </is>
      </c>
      <c r="B29" t="inlineStr">
        <is>
          <t>room_type</t>
        </is>
      </c>
      <c r="C29" t="inlineStr">
        <is>
          <t>Required</t>
        </is>
      </c>
      <c r="D29" t="inlineStr">
        <is>
          <t>list</t>
        </is>
      </c>
      <c r="E29" s="2" t="inlineStr">
        <is>
          <t>Data hall, AI hall, Meet-me room, Network room, Plant room, UPS room, Battery room, NOC</t>
        </is>
      </c>
      <c r="F29" t="inlineStr">
        <is>
          <t>(twin layout)</t>
        </is>
      </c>
      <c r="G29" s="2" t="inlineStr">
        <is>
          <t>Plant / UPS / battery rooms hold the power plant; halls hold racks.</t>
        </is>
      </c>
      <c r="H29" t="inlineStr">
        <is>
          <t>Meet-me room</t>
        </is>
      </c>
    </row>
    <row r="30">
      <c r="A30" t="inlineStr">
        <is>
          <t>Rooms</t>
        </is>
      </c>
      <c r="B30" t="inlineStr">
        <is>
          <t>area_sqm</t>
        </is>
      </c>
      <c r="C30" t="inlineStr">
        <is>
          <t>Optional</t>
        </is>
      </c>
      <c r="D30" t="inlineStr">
        <is>
          <t>decimal</t>
        </is>
      </c>
      <c r="E30" s="2" t="inlineStr"/>
      <c r="F30" t="inlineStr">
        <is>
          <t>(reference only)</t>
        </is>
      </c>
      <c r="G30" s="2" t="inlineStr">
        <is>
          <t>Floor area.</t>
        </is>
      </c>
      <c r="H30" t="inlineStr"/>
    </row>
    <row r="31">
      <c r="A31" t="inlineStr">
        <is>
          <t>Rooms</t>
        </is>
      </c>
      <c r="B31" t="inlineStr">
        <is>
          <t>rack_rows</t>
        </is>
      </c>
      <c r="C31" t="inlineStr">
        <is>
          <t>Optional</t>
        </is>
      </c>
      <c r="D31" t="inlineStr">
        <is>
          <t>integer</t>
        </is>
      </c>
      <c r="E31" s="2" t="inlineStr"/>
      <c r="F31" t="inlineStr">
        <is>
          <t>(twin layout)</t>
        </is>
      </c>
      <c r="G31" s="2" t="inlineStr">
        <is>
          <t>Number of rack rows; racks face each other in pairs.</t>
        </is>
      </c>
      <c r="H31" t="inlineStr">
        <is>
          <t>1</t>
        </is>
      </c>
    </row>
    <row r="32">
      <c r="A32" t="inlineStr">
        <is>
          <t>Rooms</t>
        </is>
      </c>
      <c r="B32" t="inlineStr">
        <is>
          <t>containment</t>
        </is>
      </c>
      <c r="C32" t="inlineStr">
        <is>
          <t>Optional</t>
        </is>
      </c>
      <c r="D32" t="inlineStr">
        <is>
          <t>list</t>
        </is>
      </c>
      <c r="E32" s="2" t="inlineStr">
        <is>
          <t>Cold aisle, Hot aisle, None</t>
        </is>
      </c>
      <c r="F32" t="inlineStr">
        <is>
          <t>(twin layout)</t>
        </is>
      </c>
      <c r="G32" s="2" t="inlineStr">
        <is>
          <t>Aisle containment.</t>
        </is>
      </c>
      <c r="H32" t="inlineStr"/>
    </row>
    <row r="33">
      <c r="A33" t="inlineStr">
        <is>
          <t>Rooms</t>
        </is>
      </c>
      <c r="B33" t="inlineStr">
        <is>
          <t>cooling_method</t>
        </is>
      </c>
      <c r="C33" t="inlineStr">
        <is>
          <t>Optional</t>
        </is>
      </c>
      <c r="D33" t="inlineStr">
        <is>
          <t>list</t>
        </is>
      </c>
      <c r="E33" s="2" t="inlineStr">
        <is>
          <t>Air, Liquid, Hybrid</t>
        </is>
      </c>
      <c r="F33" t="inlineStr">
        <is>
          <t>Rack.liquid</t>
        </is>
      </c>
      <c r="G33" s="2" t="inlineStr">
        <is>
          <t>Air, Liquid or Hybrid.</t>
        </is>
      </c>
      <c r="H33" t="inlineStr">
        <is>
          <t>Air</t>
        </is>
      </c>
    </row>
    <row r="34">
      <c r="A34" t="inlineStr">
        <is>
          <t>Racks</t>
        </is>
      </c>
      <c r="B34" t="inlineStr">
        <is>
          <t>rack_id</t>
        </is>
      </c>
      <c r="C34" t="inlineStr">
        <is>
          <t>Required</t>
        </is>
      </c>
      <c r="D34" t="inlineStr">
        <is>
          <t>text</t>
        </is>
      </c>
      <c r="E34" s="2" t="inlineStr"/>
      <c r="F34" t="inlineStr">
        <is>
          <t>Rack.id</t>
        </is>
      </c>
      <c r="G34" s="2" t="inlineStr">
        <is>
          <t>Unique, for example MP-DC-001-A01.</t>
        </is>
      </c>
      <c r="H34" t="inlineStr">
        <is>
          <t>MH-DC-001-RACK-A</t>
        </is>
      </c>
    </row>
    <row r="35">
      <c r="A35" t="inlineStr">
        <is>
          <t>Racks</t>
        </is>
      </c>
      <c r="B35" t="inlineStr">
        <is>
          <t>site_id</t>
        </is>
      </c>
      <c r="C35" t="inlineStr">
        <is>
          <t>Required</t>
        </is>
      </c>
      <c r="D35" t="inlineStr">
        <is>
          <t>ref</t>
        </is>
      </c>
      <c r="E35" s="2" t="inlineStr">
        <is>
          <t>an ID from Sites</t>
        </is>
      </c>
      <c r="F35" t="inlineStr">
        <is>
          <t>Rack.dcId</t>
        </is>
      </c>
      <c r="G35" s="2" t="inlineStr"/>
      <c r="H35" t="inlineStr">
        <is>
          <t>MH-DC-001</t>
        </is>
      </c>
    </row>
    <row r="36">
      <c r="A36" t="inlineStr">
        <is>
          <t>Racks</t>
        </is>
      </c>
      <c r="B36" t="inlineStr">
        <is>
          <t>room_id</t>
        </is>
      </c>
      <c r="C36" t="inlineStr">
        <is>
          <t>Required</t>
        </is>
      </c>
      <c r="D36" t="inlineStr">
        <is>
          <t>ref</t>
        </is>
      </c>
      <c r="E36" s="2" t="inlineStr">
        <is>
          <t>an ID from Rooms</t>
        </is>
      </c>
      <c r="F36" t="inlineStr">
        <is>
          <t>Rack.floor / Rack.room</t>
        </is>
      </c>
      <c r="G36" s="2" t="inlineStr">
        <is>
          <t>Floor and room come from the Rooms row.</t>
        </is>
      </c>
      <c r="H36" t="inlineStr">
        <is>
          <t>MH-DC-001-F0-R1</t>
        </is>
      </c>
    </row>
    <row r="37">
      <c r="A37" t="inlineStr">
        <is>
          <t>Racks</t>
        </is>
      </c>
      <c r="B37" t="inlineStr">
        <is>
          <t>rack_name</t>
        </is>
      </c>
      <c r="C37" t="inlineStr">
        <is>
          <t>Required</t>
        </is>
      </c>
      <c r="D37" t="inlineStr">
        <is>
          <t>text</t>
        </is>
      </c>
      <c r="E37" s="2" t="inlineStr"/>
      <c r="F37" t="inlineStr">
        <is>
          <t>Rack.name</t>
        </is>
      </c>
      <c r="G37" s="2" t="inlineStr">
        <is>
          <t>Label on the cabinet (shown on the 3D twin).</t>
        </is>
      </c>
      <c r="H37" t="inlineStr">
        <is>
          <t>RACK-A</t>
        </is>
      </c>
    </row>
    <row r="38">
      <c r="A38" t="inlineStr">
        <is>
          <t>Racks</t>
        </is>
      </c>
      <c r="B38" t="inlineStr">
        <is>
          <t>row</t>
        </is>
      </c>
      <c r="C38" t="inlineStr">
        <is>
          <t>Optional</t>
        </is>
      </c>
      <c r="D38" t="inlineStr">
        <is>
          <t>text</t>
        </is>
      </c>
      <c r="E38" s="2" t="inlineStr"/>
      <c r="F38" t="inlineStr">
        <is>
          <t>(twin layout)</t>
        </is>
      </c>
      <c r="G38" s="2" t="inlineStr">
        <is>
          <t>Row letter or number.</t>
        </is>
      </c>
      <c r="H38" t="inlineStr"/>
    </row>
    <row r="39">
      <c r="A39" t="inlineStr">
        <is>
          <t>Racks</t>
        </is>
      </c>
      <c r="B39" t="inlineStr">
        <is>
          <t>position</t>
        </is>
      </c>
      <c r="C39" t="inlineStr">
        <is>
          <t>Optional</t>
        </is>
      </c>
      <c r="D39" t="inlineStr">
        <is>
          <t>integer</t>
        </is>
      </c>
      <c r="E39" s="2" t="inlineStr"/>
      <c r="F39" t="inlineStr">
        <is>
          <t>(twin layout)</t>
        </is>
      </c>
      <c r="G39" s="2" t="inlineStr">
        <is>
          <t>Position in the row, 1…n.</t>
        </is>
      </c>
      <c r="H39" t="inlineStr"/>
    </row>
    <row r="40">
      <c r="A40" t="inlineStr">
        <is>
          <t>Racks</t>
        </is>
      </c>
      <c r="B40" t="inlineStr">
        <is>
          <t>role</t>
        </is>
      </c>
      <c r="C40" t="inlineStr">
        <is>
          <t>Required</t>
        </is>
      </c>
      <c r="D40" t="inlineStr">
        <is>
          <t>list</t>
        </is>
      </c>
      <c r="E40" s="2" t="inlineStr">
        <is>
          <t>Core, Meet-me room, Network, Aggregation, Compute, Storage, GPU, Tenant, AI cage</t>
        </is>
      </c>
      <c r="F40" t="inlineStr">
        <is>
          <t>Rack.role</t>
        </is>
      </c>
      <c r="G40" s="2" t="inlineStr">
        <is>
          <t>What the cabinet is for.</t>
        </is>
      </c>
      <c r="H40" t="inlineStr">
        <is>
          <t>Core</t>
        </is>
      </c>
    </row>
    <row r="41">
      <c r="A41" t="inlineStr">
        <is>
          <t>Racks</t>
        </is>
      </c>
      <c r="B41" t="inlineStr">
        <is>
          <t>height_u</t>
        </is>
      </c>
      <c r="C41" t="inlineStr">
        <is>
          <t>Required</t>
        </is>
      </c>
      <c r="D41" t="inlineStr">
        <is>
          <t>integer</t>
        </is>
      </c>
      <c r="E41" s="2" t="inlineStr"/>
      <c r="F41" t="inlineStr">
        <is>
          <t>Rack.heightU</t>
        </is>
      </c>
      <c r="G41" s="2" t="inlineStr">
        <is>
          <t>Usable rack units (42, 45, 48…).</t>
        </is>
      </c>
      <c r="H41" t="inlineStr">
        <is>
          <t>45</t>
        </is>
      </c>
    </row>
    <row r="42">
      <c r="A42" t="inlineStr">
        <is>
          <t>Racks</t>
        </is>
      </c>
      <c r="B42" t="inlineStr">
        <is>
          <t>power_budget_kw</t>
        </is>
      </c>
      <c r="C42" t="inlineStr">
        <is>
          <t>Required</t>
        </is>
      </c>
      <c r="D42" t="inlineStr">
        <is>
          <t>decimal</t>
        </is>
      </c>
      <c r="E42" s="2" t="inlineStr"/>
      <c r="F42" t="inlineStr">
        <is>
          <t>Rack.budgetKw</t>
        </is>
      </c>
      <c r="G42" s="2" t="inlineStr">
        <is>
          <t>Provisioned power (kW). Live draw comes from the PDUs.</t>
        </is>
      </c>
      <c r="H42" t="inlineStr">
        <is>
          <t>15</t>
        </is>
      </c>
    </row>
    <row r="43">
      <c r="A43" t="inlineStr">
        <is>
          <t>Racks</t>
        </is>
      </c>
      <c r="B43" t="inlineStr">
        <is>
          <t>owner</t>
        </is>
      </c>
      <c r="C43" t="inlineStr">
        <is>
          <t>Required</t>
        </is>
      </c>
      <c r="D43" t="inlineStr">
        <is>
          <t>list</t>
        </is>
      </c>
      <c r="E43" s="2" t="inlineStr">
        <is>
          <t>operator, tenant</t>
        </is>
      </c>
      <c r="F43" t="inlineStr">
        <is>
          <t>Rack.owner</t>
        </is>
      </c>
      <c r="G43" s="2" t="inlineStr">
        <is>
          <t>operator, or tenant (a leased cabinet: the operator sees power and environment only).</t>
        </is>
      </c>
      <c r="H43" t="inlineStr">
        <is>
          <t>operator</t>
        </is>
      </c>
    </row>
    <row r="44">
      <c r="A44" t="inlineStr">
        <is>
          <t>Racks</t>
        </is>
      </c>
      <c r="B44" t="inlineStr">
        <is>
          <t>tenant_customer_id</t>
        </is>
      </c>
      <c r="C44" t="inlineStr">
        <is>
          <t>Conditional</t>
        </is>
      </c>
      <c r="D44" t="inlineStr">
        <is>
          <t>ref</t>
        </is>
      </c>
      <c r="E44" s="2" t="inlineStr">
        <is>
          <t>an ID from Customers</t>
        </is>
      </c>
      <c r="F44" t="inlineStr">
        <is>
          <t>Rack.tenantId</t>
        </is>
      </c>
      <c r="G44" s="2" t="inlineStr">
        <is>
          <t>Required when owner = tenant.</t>
        </is>
      </c>
      <c r="H44" t="inlineStr">
        <is>
          <t>CUST-7349</t>
        </is>
      </c>
    </row>
    <row r="45">
      <c r="A45" t="inlineStr">
        <is>
          <t>Racks</t>
        </is>
      </c>
      <c r="B45" t="inlineStr">
        <is>
          <t>contracted_kw</t>
        </is>
      </c>
      <c r="C45" t="inlineStr">
        <is>
          <t>Conditional</t>
        </is>
      </c>
      <c r="D45" t="inlineStr">
        <is>
          <t>decimal</t>
        </is>
      </c>
      <c r="E45" s="2" t="inlineStr"/>
      <c r="F45" t="inlineStr">
        <is>
          <t>Rack.contractedKw</t>
        </is>
      </c>
      <c r="G45" s="2" t="inlineStr">
        <is>
          <t>Required when owner = tenant: the power the tenant has bought.</t>
        </is>
      </c>
      <c r="H45" t="inlineStr">
        <is>
          <t>19</t>
        </is>
      </c>
    </row>
    <row r="46">
      <c r="A46" t="inlineStr">
        <is>
          <t>Racks</t>
        </is>
      </c>
      <c r="B46" t="inlineStr">
        <is>
          <t>density</t>
        </is>
      </c>
      <c r="C46" t="inlineStr">
        <is>
          <t>Optional</t>
        </is>
      </c>
      <c r="D46" t="inlineStr">
        <is>
          <t>list</t>
        </is>
      </c>
      <c r="E46" s="2" t="inlineStr">
        <is>
          <t>standard, ai</t>
        </is>
      </c>
      <c r="F46" t="inlineStr">
        <is>
          <t>Rack.density</t>
        </is>
      </c>
      <c r="G46" s="2" t="inlineStr">
        <is>
          <t>ai = high-density GPU rack or AI cage.</t>
        </is>
      </c>
      <c r="H46" t="inlineStr">
        <is>
          <t>standard</t>
        </is>
      </c>
    </row>
    <row r="47">
      <c r="A47" t="inlineStr">
        <is>
          <t>Racks</t>
        </is>
      </c>
      <c r="B47" t="inlineStr">
        <is>
          <t>liquid_cooled</t>
        </is>
      </c>
      <c r="C47" t="inlineStr">
        <is>
          <t>Optional</t>
        </is>
      </c>
      <c r="D47" t="inlineStr">
        <is>
          <t>list</t>
        </is>
      </c>
      <c r="E47" s="2" t="inlineStr">
        <is>
          <t>Y, N</t>
        </is>
      </c>
      <c r="F47" t="inlineStr">
        <is>
          <t>Rack.liquid</t>
        </is>
      </c>
      <c r="G47" s="2" t="inlineStr">
        <is>
          <t>Y = direct liquid cooling.</t>
        </is>
      </c>
      <c r="H47" t="inlineStr">
        <is>
          <t>N</t>
        </is>
      </c>
    </row>
    <row r="48">
      <c r="A48" t="inlineStr">
        <is>
          <t>Racks</t>
        </is>
      </c>
      <c r="B48" t="inlineStr">
        <is>
          <t>cdu_id</t>
        </is>
      </c>
      <c r="C48" t="inlineStr">
        <is>
          <t>Conditional</t>
        </is>
      </c>
      <c r="D48" t="inlineStr">
        <is>
          <t>ref</t>
        </is>
      </c>
      <c r="E48" s="2" t="inlineStr">
        <is>
          <t>an ID from CDUs</t>
        </is>
      </c>
      <c r="F48" t="inlineStr">
        <is>
          <t>AiCage.cduId / Cdu.racks</t>
        </is>
      </c>
      <c r="G48" s="2" t="inlineStr">
        <is>
          <t>Required when liquid_cooled = Y.</t>
        </is>
      </c>
      <c r="H48" t="inlineStr">
        <is>
          <t>MH-DC-002-CDU-1</t>
        </is>
      </c>
    </row>
    <row r="49">
      <c r="A49" t="inlineStr">
        <is>
          <t>Racks</t>
        </is>
      </c>
      <c r="B49" t="inlineStr">
        <is>
          <t>pdu_feed_a</t>
        </is>
      </c>
      <c r="C49" t="inlineStr">
        <is>
          <t>Optional</t>
        </is>
      </c>
      <c r="D49" t="inlineStr">
        <is>
          <t>ref</t>
        </is>
      </c>
      <c r="E49" s="2" t="inlineStr">
        <is>
          <t>an ID from Power_Feeds</t>
        </is>
      </c>
      <c r="F49" t="inlineStr">
        <is>
          <t>(power path)</t>
        </is>
      </c>
      <c r="G49" s="2" t="inlineStr">
        <is>
          <t>Feed powering the A-side PDU.</t>
        </is>
      </c>
      <c r="H49" t="inlineStr">
        <is>
          <t>MH-DC-001-AC-1</t>
        </is>
      </c>
    </row>
    <row r="50">
      <c r="A50" t="inlineStr">
        <is>
          <t>Racks</t>
        </is>
      </c>
      <c r="B50" t="inlineStr">
        <is>
          <t>pdu_feed_b</t>
        </is>
      </c>
      <c r="C50" t="inlineStr">
        <is>
          <t>Optional</t>
        </is>
      </c>
      <c r="D50" t="inlineStr">
        <is>
          <t>ref</t>
        </is>
      </c>
      <c r="E50" s="2" t="inlineStr">
        <is>
          <t>an ID from Power_Feeds</t>
        </is>
      </c>
      <c r="F50" t="inlineStr">
        <is>
          <t>(power path)</t>
        </is>
      </c>
      <c r="G50" s="2" t="inlineStr">
        <is>
          <t>Feed powering the B-side PDU.</t>
        </is>
      </c>
      <c r="H50" t="inlineStr">
        <is>
          <t>MH-DC-001-AC-2</t>
        </is>
      </c>
    </row>
    <row r="51">
      <c r="A51" t="inlineStr">
        <is>
          <t>Racks</t>
        </is>
      </c>
      <c r="B51" t="inlineStr">
        <is>
          <t>used_u (calc)</t>
        </is>
      </c>
      <c r="C51" t="inlineStr">
        <is>
          <t>Calculated</t>
        </is>
      </c>
      <c r="D51" t="inlineStr">
        <is>
          <t>formula</t>
        </is>
      </c>
      <c r="E51" s="2" t="inlineStr"/>
      <c r="F51" t="inlineStr">
        <is>
          <t>Rack.usedU</t>
        </is>
      </c>
      <c r="G51" s="2" t="inlineStr">
        <is>
          <t>Calculated: the sum of u_size of the devices in this rack. Don't type it.</t>
        </is>
      </c>
      <c r="H51" t="inlineStr"/>
    </row>
    <row r="52">
      <c r="A52" t="inlineStr">
        <is>
          <t>Power_Feeds</t>
        </is>
      </c>
      <c r="B52" t="inlineStr">
        <is>
          <t>feed_id</t>
        </is>
      </c>
      <c r="C52" t="inlineStr">
        <is>
          <t>Required</t>
        </is>
      </c>
      <c r="D52" t="inlineStr">
        <is>
          <t>text</t>
        </is>
      </c>
      <c r="E52" s="2" t="inlineStr"/>
      <c r="F52" t="inlineStr">
        <is>
          <t>PowerFeed.id</t>
        </is>
      </c>
      <c r="G52" s="2" t="inlineStr">
        <is>
          <t>Unique, for example MP-DC-001-AC-1.</t>
        </is>
      </c>
      <c r="H52" t="inlineStr">
        <is>
          <t>MH-DC-001-AC-1</t>
        </is>
      </c>
    </row>
    <row r="53">
      <c r="A53" t="inlineStr">
        <is>
          <t>Power_Feeds</t>
        </is>
      </c>
      <c r="B53" t="inlineStr">
        <is>
          <t>site_id</t>
        </is>
      </c>
      <c r="C53" t="inlineStr">
        <is>
          <t>Required</t>
        </is>
      </c>
      <c r="D53" t="inlineStr">
        <is>
          <t>ref</t>
        </is>
      </c>
      <c r="E53" s="2" t="inlineStr">
        <is>
          <t>an ID from Sites</t>
        </is>
      </c>
      <c r="F53" t="inlineStr">
        <is>
          <t>Datacenter.id</t>
        </is>
      </c>
      <c r="G53" s="2" t="inlineStr"/>
      <c r="H53" t="inlineStr">
        <is>
          <t>MH-DC-001</t>
        </is>
      </c>
    </row>
    <row r="54">
      <c r="A54" t="inlineStr">
        <is>
          <t>Power_Feeds</t>
        </is>
      </c>
      <c r="B54" t="inlineStr">
        <is>
          <t>type</t>
        </is>
      </c>
      <c r="C54" t="inlineStr">
        <is>
          <t>Required</t>
        </is>
      </c>
      <c r="D54" t="inlineStr">
        <is>
          <t>list</t>
        </is>
      </c>
      <c r="E54" s="2" t="inlineStr">
        <is>
          <t>AC, DC</t>
        </is>
      </c>
      <c r="F54" t="inlineStr">
        <is>
          <t>PowerFeed.type</t>
        </is>
      </c>
      <c r="G54" s="2" t="inlineStr">
        <is>
          <t>AC or DC.</t>
        </is>
      </c>
      <c r="H54" t="inlineStr">
        <is>
          <t>AC</t>
        </is>
      </c>
    </row>
    <row r="55">
      <c r="A55" t="inlineStr">
        <is>
          <t>Power_Feeds</t>
        </is>
      </c>
      <c r="B55" t="inlineStr">
        <is>
          <t>source</t>
        </is>
      </c>
      <c r="C55" t="inlineStr">
        <is>
          <t>Required</t>
        </is>
      </c>
      <c r="D55" t="inlineStr">
        <is>
          <t>text</t>
        </is>
      </c>
      <c r="E55" s="2" t="inlineStr"/>
      <c r="F55" t="inlineStr">
        <is>
          <t>PowerFeed.source</t>
        </is>
      </c>
      <c r="G55" s="2" t="inlineStr">
        <is>
          <t>For example "Utility feed A", "Rectifier RECT-01".</t>
        </is>
      </c>
      <c r="H55" t="inlineStr">
        <is>
          <t>Utility feed A</t>
        </is>
      </c>
    </row>
    <row r="56">
      <c r="A56" t="inlineStr">
        <is>
          <t>Power_Feeds</t>
        </is>
      </c>
      <c r="B56" t="inlineStr">
        <is>
          <t>rating</t>
        </is>
      </c>
      <c r="C56" t="inlineStr">
        <is>
          <t>Required</t>
        </is>
      </c>
      <c r="D56" t="inlineStr">
        <is>
          <t>text</t>
        </is>
      </c>
      <c r="E56" s="2" t="inlineStr"/>
      <c r="F56" t="inlineStr">
        <is>
          <t>PowerFeed.rating</t>
        </is>
      </c>
      <c r="G56" s="2" t="inlineStr">
        <is>
          <t>For example "630 A · 415 V" or "48 V · 2400 A".</t>
        </is>
      </c>
      <c r="H56" t="inlineStr">
        <is>
          <t>380 A · 415 V</t>
        </is>
      </c>
    </row>
    <row r="57">
      <c r="A57" t="inlineStr">
        <is>
          <t>Power_Feeds</t>
        </is>
      </c>
      <c r="B57" t="inlineStr">
        <is>
          <t>capacity_kw</t>
        </is>
      </c>
      <c r="C57" t="inlineStr">
        <is>
          <t>Required</t>
        </is>
      </c>
      <c r="D57" t="inlineStr">
        <is>
          <t>decimal</t>
        </is>
      </c>
      <c r="E57" s="2" t="inlineStr"/>
      <c r="F57" t="inlineStr">
        <is>
          <t>PowerFeed.capacityKw</t>
        </is>
      </c>
      <c r="G57" s="2" t="inlineStr"/>
      <c r="H57" t="inlineStr">
        <is>
          <t>273</t>
        </is>
      </c>
    </row>
    <row r="58">
      <c r="A58" t="inlineStr">
        <is>
          <t>Power_Feeds</t>
        </is>
      </c>
      <c r="B58" t="inlineStr">
        <is>
          <t>normal_role</t>
        </is>
      </c>
      <c r="C58" t="inlineStr">
        <is>
          <t>Optional</t>
        </is>
      </c>
      <c r="D58" t="inlineStr">
        <is>
          <t>list</t>
        </is>
      </c>
      <c r="E58" s="2" t="inlineStr">
        <is>
          <t>Active, Standby</t>
        </is>
      </c>
      <c r="F58" t="inlineStr">
        <is>
          <t>(ATS story)</t>
        </is>
      </c>
      <c r="G58" s="2" t="inlineStr">
        <is>
          <t>Active, or Standby (picked up by the ATS).</t>
        </is>
      </c>
      <c r="H58" t="inlineStr">
        <is>
          <t>Active</t>
        </is>
      </c>
    </row>
    <row r="59">
      <c r="A59" t="inlineStr">
        <is>
          <t>Power_Feeds</t>
        </is>
      </c>
      <c r="B59" t="inlineStr">
        <is>
          <t>utility_account</t>
        </is>
      </c>
      <c r="C59" t="inlineStr">
        <is>
          <t>Optional</t>
        </is>
      </c>
      <c r="D59" t="inlineStr">
        <is>
          <t>text</t>
        </is>
      </c>
      <c r="E59" s="2" t="inlineStr"/>
      <c r="F59" t="inlineStr">
        <is>
          <t>(reference only)</t>
        </is>
      </c>
      <c r="G59" s="2" t="inlineStr">
        <is>
          <t>Utility connection / account number.</t>
        </is>
      </c>
      <c r="H59" t="inlineStr"/>
    </row>
    <row r="60">
      <c r="A60" t="inlineStr">
        <is>
          <t>UPS</t>
        </is>
      </c>
      <c r="B60" t="inlineStr">
        <is>
          <t>ups_id</t>
        </is>
      </c>
      <c r="C60" t="inlineStr">
        <is>
          <t>Required</t>
        </is>
      </c>
      <c r="D60" t="inlineStr">
        <is>
          <t>text</t>
        </is>
      </c>
      <c r="E60" s="2" t="inlineStr"/>
      <c r="F60" t="inlineStr">
        <is>
          <t>UpsUnit.id</t>
        </is>
      </c>
      <c r="G60" s="2" t="inlineStr"/>
      <c r="H60" t="inlineStr">
        <is>
          <t>MH-DC-001-UPS-1</t>
        </is>
      </c>
    </row>
    <row r="61">
      <c r="A61" t="inlineStr">
        <is>
          <t>UPS</t>
        </is>
      </c>
      <c r="B61" t="inlineStr">
        <is>
          <t>site_id</t>
        </is>
      </c>
      <c r="C61" t="inlineStr">
        <is>
          <t>Required</t>
        </is>
      </c>
      <c r="D61" t="inlineStr">
        <is>
          <t>ref</t>
        </is>
      </c>
      <c r="E61" s="2" t="inlineStr">
        <is>
          <t>an ID from Sites</t>
        </is>
      </c>
      <c r="F61" t="inlineStr">
        <is>
          <t>Datacenter.id</t>
        </is>
      </c>
      <c r="G61" s="2" t="inlineStr"/>
      <c r="H61" t="inlineStr">
        <is>
          <t>MH-DC-001</t>
        </is>
      </c>
    </row>
    <row r="62">
      <c r="A62" t="inlineStr">
        <is>
          <t>UPS</t>
        </is>
      </c>
      <c r="B62" t="inlineStr">
        <is>
          <t>room_id</t>
        </is>
      </c>
      <c r="C62" t="inlineStr">
        <is>
          <t>Optional</t>
        </is>
      </c>
      <c r="D62" t="inlineStr">
        <is>
          <t>ref</t>
        </is>
      </c>
      <c r="E62" s="2" t="inlineStr">
        <is>
          <t>an ID from Rooms</t>
        </is>
      </c>
      <c r="F62" t="inlineStr">
        <is>
          <t>(twin placement)</t>
        </is>
      </c>
      <c r="G62" s="2" t="inlineStr">
        <is>
          <t>Room the UPS stands in (shown and clickable in the realistic twin).</t>
        </is>
      </c>
      <c r="H62" t="inlineStr"/>
    </row>
    <row r="63">
      <c r="A63" t="inlineStr">
        <is>
          <t>UPS</t>
        </is>
      </c>
      <c r="B63" t="inlineStr">
        <is>
          <t>name</t>
        </is>
      </c>
      <c r="C63" t="inlineStr">
        <is>
          <t>Required</t>
        </is>
      </c>
      <c r="D63" t="inlineStr">
        <is>
          <t>text</t>
        </is>
      </c>
      <c r="E63" s="2" t="inlineStr"/>
      <c r="F63" t="inlineStr">
        <is>
          <t>UpsUnit.name</t>
        </is>
      </c>
      <c r="G63" s="2" t="inlineStr">
        <is>
          <t>For example UPS-1.</t>
        </is>
      </c>
      <c r="H63" t="inlineStr">
        <is>
          <t>UPS-1</t>
        </is>
      </c>
    </row>
    <row r="64">
      <c r="A64" t="inlineStr">
        <is>
          <t>UPS</t>
        </is>
      </c>
      <c r="B64" t="inlineStr">
        <is>
          <t>vendor</t>
        </is>
      </c>
      <c r="C64" t="inlineStr">
        <is>
          <t>Optional</t>
        </is>
      </c>
      <c r="D64" t="inlineStr">
        <is>
          <t>text</t>
        </is>
      </c>
      <c r="E64" s="2" t="inlineStr"/>
      <c r="F64" t="inlineStr">
        <is>
          <t>(reference only)</t>
        </is>
      </c>
      <c r="G64" s="2" t="inlineStr"/>
      <c r="H64" t="inlineStr"/>
    </row>
    <row r="65">
      <c r="A65" t="inlineStr">
        <is>
          <t>UPS</t>
        </is>
      </c>
      <c r="B65" t="inlineStr">
        <is>
          <t>model</t>
        </is>
      </c>
      <c r="C65" t="inlineStr">
        <is>
          <t>Optional</t>
        </is>
      </c>
      <c r="D65" t="inlineStr">
        <is>
          <t>text</t>
        </is>
      </c>
      <c r="E65" s="2" t="inlineStr"/>
      <c r="F65" t="inlineStr">
        <is>
          <t>(reference only)</t>
        </is>
      </c>
      <c r="G65" s="2" t="inlineStr"/>
      <c r="H65" t="inlineStr"/>
    </row>
    <row r="66">
      <c r="A66" t="inlineStr">
        <is>
          <t>UPS</t>
        </is>
      </c>
      <c r="B66" t="inlineStr">
        <is>
          <t>serial</t>
        </is>
      </c>
      <c r="C66" t="inlineStr">
        <is>
          <t>Optional</t>
        </is>
      </c>
      <c r="D66" t="inlineStr">
        <is>
          <t>text</t>
        </is>
      </c>
      <c r="E66" s="2" t="inlineStr"/>
      <c r="F66" t="inlineStr">
        <is>
          <t>(reference only)</t>
        </is>
      </c>
      <c r="G66" s="2" t="inlineStr"/>
      <c r="H66" t="inlineStr"/>
    </row>
    <row r="67">
      <c r="A67" t="inlineStr">
        <is>
          <t>UPS</t>
        </is>
      </c>
      <c r="B67" t="inlineStr">
        <is>
          <t>capacity_kw</t>
        </is>
      </c>
      <c r="C67" t="inlineStr">
        <is>
          <t>Required</t>
        </is>
      </c>
      <c r="D67" t="inlineStr">
        <is>
          <t>decimal</t>
        </is>
      </c>
      <c r="E67" s="2" t="inlineStr"/>
      <c r="F67" t="inlineStr">
        <is>
          <t>UpsUnit.capacityKw</t>
        </is>
      </c>
      <c r="G67" s="2" t="inlineStr"/>
      <c r="H67" t="inlineStr">
        <is>
          <t>130</t>
        </is>
      </c>
    </row>
    <row r="68">
      <c r="A68" t="inlineStr">
        <is>
          <t>UPS</t>
        </is>
      </c>
      <c r="B68" t="inlineStr">
        <is>
          <t>redundancy</t>
        </is>
      </c>
      <c r="C68" t="inlineStr">
        <is>
          <t>Required</t>
        </is>
      </c>
      <c r="D68" t="inlineStr">
        <is>
          <t>list</t>
        </is>
      </c>
      <c r="E68" s="2" t="inlineStr">
        <is>
          <t>N, N+1, 2N</t>
        </is>
      </c>
      <c r="F68" t="inlineStr">
        <is>
          <t>UpsUnit.redundancy</t>
        </is>
      </c>
      <c r="G68" s="2" t="inlineStr"/>
      <c r="H68" t="inlineStr">
        <is>
          <t>N+1</t>
        </is>
      </c>
    </row>
    <row r="69">
      <c r="A69" t="inlineStr">
        <is>
          <t>UPS</t>
        </is>
      </c>
      <c r="B69" t="inlineStr">
        <is>
          <t>battery_autonomy_min</t>
        </is>
      </c>
      <c r="C69" t="inlineStr">
        <is>
          <t>Required</t>
        </is>
      </c>
      <c r="D69" t="inlineStr">
        <is>
          <t>integer</t>
        </is>
      </c>
      <c r="E69" s="2" t="inlineStr"/>
      <c r="F69" t="inlineStr">
        <is>
          <t>UpsUnit.batteryMin</t>
        </is>
      </c>
      <c r="G69" s="2" t="inlineStr">
        <is>
          <t>Design autonomy at full load (minutes).</t>
        </is>
      </c>
      <c r="H69" t="inlineStr">
        <is>
          <t>15</t>
        </is>
      </c>
    </row>
    <row r="70">
      <c r="A70" t="inlineStr">
        <is>
          <t>Generators</t>
        </is>
      </c>
      <c r="B70" t="inlineStr">
        <is>
          <t>dg_id</t>
        </is>
      </c>
      <c r="C70" t="inlineStr">
        <is>
          <t>Required</t>
        </is>
      </c>
      <c r="D70" t="inlineStr">
        <is>
          <t>text</t>
        </is>
      </c>
      <c r="E70" s="2" t="inlineStr"/>
      <c r="F70" t="inlineStr">
        <is>
          <t>(key)</t>
        </is>
      </c>
      <c r="G70" s="2" t="inlineStr"/>
      <c r="H70" t="inlineStr">
        <is>
          <t>MH-DC-001-DG-1</t>
        </is>
      </c>
    </row>
    <row r="71">
      <c r="A71" t="inlineStr">
        <is>
          <t>Generators</t>
        </is>
      </c>
      <c r="B71" t="inlineStr">
        <is>
          <t>site_id</t>
        </is>
      </c>
      <c r="C71" t="inlineStr">
        <is>
          <t>Required</t>
        </is>
      </c>
      <c r="D71" t="inlineStr">
        <is>
          <t>ref</t>
        </is>
      </c>
      <c r="E71" s="2" t="inlineStr">
        <is>
          <t>an ID from Sites</t>
        </is>
      </c>
      <c r="F71" t="inlineStr">
        <is>
          <t>Datacenter.id</t>
        </is>
      </c>
      <c r="G71" s="2" t="inlineStr"/>
      <c r="H71" t="inlineStr">
        <is>
          <t>MH-DC-001</t>
        </is>
      </c>
    </row>
    <row r="72">
      <c r="A72" t="inlineStr">
        <is>
          <t>Generators</t>
        </is>
      </c>
      <c r="B72" t="inlineStr">
        <is>
          <t>name</t>
        </is>
      </c>
      <c r="C72" t="inlineStr">
        <is>
          <t>Required</t>
        </is>
      </c>
      <c r="D72" t="inlineStr">
        <is>
          <t>text</t>
        </is>
      </c>
      <c r="E72" s="2" t="inlineStr"/>
      <c r="F72" t="inlineStr">
        <is>
          <t>(label)</t>
        </is>
      </c>
      <c r="G72" s="2" t="inlineStr"/>
      <c r="H72" t="inlineStr">
        <is>
          <t>DG-1</t>
        </is>
      </c>
    </row>
    <row r="73">
      <c r="A73" t="inlineStr">
        <is>
          <t>Generators</t>
        </is>
      </c>
      <c r="B73" t="inlineStr">
        <is>
          <t>kva</t>
        </is>
      </c>
      <c r="C73" t="inlineStr">
        <is>
          <t>Required</t>
        </is>
      </c>
      <c r="D73" t="inlineStr">
        <is>
          <t>decimal</t>
        </is>
      </c>
      <c r="E73" s="2" t="inlineStr"/>
      <c r="F73" t="inlineStr">
        <is>
          <t>power.dg.kva</t>
        </is>
      </c>
      <c r="G73" s="2" t="inlineStr">
        <is>
          <t>Rating (kVA).</t>
        </is>
      </c>
      <c r="H73" t="inlineStr">
        <is>
          <t>500</t>
        </is>
      </c>
    </row>
    <row r="74">
      <c r="A74" t="inlineStr">
        <is>
          <t>Generators</t>
        </is>
      </c>
      <c r="B74" t="inlineStr">
        <is>
          <t>fuel_tank_litres</t>
        </is>
      </c>
      <c r="C74" t="inlineStr">
        <is>
          <t>Optional</t>
        </is>
      </c>
      <c r="D74" t="inlineStr">
        <is>
          <t>decimal</t>
        </is>
      </c>
      <c r="E74" s="2" t="inlineStr"/>
      <c r="F74" t="inlineStr">
        <is>
          <t>(fuel hours)</t>
        </is>
      </c>
      <c r="G74" s="2" t="inlineStr"/>
      <c r="H74" t="inlineStr"/>
    </row>
    <row r="75">
      <c r="A75" t="inlineStr">
        <is>
          <t>Generators</t>
        </is>
      </c>
      <c r="B75" t="inlineStr">
        <is>
          <t>runtime_h_full_load</t>
        </is>
      </c>
      <c r="C75" t="inlineStr">
        <is>
          <t>Required</t>
        </is>
      </c>
      <c r="D75" t="inlineStr">
        <is>
          <t>decimal</t>
        </is>
      </c>
      <c r="E75" s="2" t="inlineStr"/>
      <c r="F75" t="inlineStr">
        <is>
          <t>power.dg.runtimeH</t>
        </is>
      </c>
      <c r="G75" s="2" t="inlineStr">
        <is>
          <t>Hours on a full tank at full load.</t>
        </is>
      </c>
      <c r="H75" t="inlineStr">
        <is>
          <t>10</t>
        </is>
      </c>
    </row>
    <row r="76">
      <c r="A76" t="inlineStr">
        <is>
          <t>Generators</t>
        </is>
      </c>
      <c r="B76" t="inlineStr">
        <is>
          <t>last_test_date</t>
        </is>
      </c>
      <c r="C76" t="inlineStr">
        <is>
          <t>Optional</t>
        </is>
      </c>
      <c r="D76" t="inlineStr">
        <is>
          <t>date</t>
        </is>
      </c>
      <c r="E76" s="2" t="inlineStr"/>
      <c r="F76" t="inlineStr">
        <is>
          <t>power.dg.lastTest</t>
        </is>
      </c>
      <c r="G76" s="2" t="inlineStr"/>
      <c r="H76" t="inlineStr">
        <is>
          <t>2026-08-27</t>
        </is>
      </c>
    </row>
    <row r="77">
      <c r="A77" t="inlineStr">
        <is>
          <t>Generators</t>
        </is>
      </c>
      <c r="B77" t="inlineStr">
        <is>
          <t>last_test_result</t>
        </is>
      </c>
      <c r="C77" t="inlineStr">
        <is>
          <t>Optional</t>
        </is>
      </c>
      <c r="D77" t="inlineStr">
        <is>
          <t>list</t>
        </is>
      </c>
      <c r="E77" s="2" t="inlineStr">
        <is>
          <t>Pass, Fail</t>
        </is>
      </c>
      <c r="F77" t="inlineStr">
        <is>
          <t>power.dg.result</t>
        </is>
      </c>
      <c r="G77" s="2" t="inlineStr"/>
      <c r="H77" t="inlineStr">
        <is>
          <t>Pass</t>
        </is>
      </c>
    </row>
    <row r="78">
      <c r="A78" t="inlineStr">
        <is>
          <t>DC_Plant</t>
        </is>
      </c>
      <c r="B78" t="inlineStr">
        <is>
          <t>plant_id</t>
        </is>
      </c>
      <c r="C78" t="inlineStr">
        <is>
          <t>Required</t>
        </is>
      </c>
      <c r="D78" t="inlineStr">
        <is>
          <t>text</t>
        </is>
      </c>
      <c r="E78" s="2" t="inlineStr"/>
      <c r="F78" t="inlineStr">
        <is>
          <t>(key)</t>
        </is>
      </c>
      <c r="G78" s="2" t="inlineStr"/>
      <c r="H78" t="inlineStr">
        <is>
          <t>MH-DC-001-RECT-01</t>
        </is>
      </c>
    </row>
    <row r="79">
      <c r="A79" t="inlineStr">
        <is>
          <t>DC_Plant</t>
        </is>
      </c>
      <c r="B79" t="inlineStr">
        <is>
          <t>site_id</t>
        </is>
      </c>
      <c r="C79" t="inlineStr">
        <is>
          <t>Required</t>
        </is>
      </c>
      <c r="D79" t="inlineStr">
        <is>
          <t>ref</t>
        </is>
      </c>
      <c r="E79" s="2" t="inlineStr">
        <is>
          <t>an ID from Sites</t>
        </is>
      </c>
      <c r="F79" t="inlineStr">
        <is>
          <t>Datacenter.id</t>
        </is>
      </c>
      <c r="G79" s="2" t="inlineStr"/>
      <c r="H79" t="inlineStr">
        <is>
          <t>MH-DC-001</t>
        </is>
      </c>
    </row>
    <row r="80">
      <c r="A80" t="inlineStr">
        <is>
          <t>DC_Plant</t>
        </is>
      </c>
      <c r="B80" t="inlineStr">
        <is>
          <t>room_id</t>
        </is>
      </c>
      <c r="C80" t="inlineStr">
        <is>
          <t>Optional</t>
        </is>
      </c>
      <c r="D80" t="inlineStr">
        <is>
          <t>ref</t>
        </is>
      </c>
      <c r="E80" s="2" t="inlineStr">
        <is>
          <t>an ID from Rooms</t>
        </is>
      </c>
      <c r="F80" t="inlineStr">
        <is>
          <t>(twin placement)</t>
        </is>
      </c>
      <c r="G80" s="2" t="inlineStr"/>
      <c r="H80" t="inlineStr"/>
    </row>
    <row r="81">
      <c r="A81" t="inlineStr">
        <is>
          <t>DC_Plant</t>
        </is>
      </c>
      <c r="B81" t="inlineStr">
        <is>
          <t>kind</t>
        </is>
      </c>
      <c r="C81" t="inlineStr">
        <is>
          <t>Required</t>
        </is>
      </c>
      <c r="D81" t="inlineStr">
        <is>
          <t>list</t>
        </is>
      </c>
      <c r="E81" s="2" t="inlineStr">
        <is>
          <t>Rectifier, Battery bank</t>
        </is>
      </c>
      <c r="F81" t="inlineStr">
        <is>
          <t>(rectifier / battery)</t>
        </is>
      </c>
      <c r="G81" s="2" t="inlineStr"/>
      <c r="H81" t="inlineStr">
        <is>
          <t>Rectifier</t>
        </is>
      </c>
    </row>
    <row r="82">
      <c r="A82" t="inlineStr">
        <is>
          <t>DC_Plant</t>
        </is>
      </c>
      <c r="B82" t="inlineStr">
        <is>
          <t>name</t>
        </is>
      </c>
      <c r="C82" t="inlineStr">
        <is>
          <t>Required</t>
        </is>
      </c>
      <c r="D82" t="inlineStr">
        <is>
          <t>text</t>
        </is>
      </c>
      <c r="E82" s="2" t="inlineStr"/>
      <c r="F82" t="inlineStr">
        <is>
          <t>(label)</t>
        </is>
      </c>
      <c r="G82" s="2" t="inlineStr">
        <is>
          <t>For example RECT-01, BATT-01.</t>
        </is>
      </c>
      <c r="H82" t="inlineStr">
        <is>
          <t>RECT-01</t>
        </is>
      </c>
    </row>
    <row r="83">
      <c r="A83" t="inlineStr">
        <is>
          <t>DC_Plant</t>
        </is>
      </c>
      <c r="B83" t="inlineStr">
        <is>
          <t>volts</t>
        </is>
      </c>
      <c r="C83" t="inlineStr">
        <is>
          <t>Conditional</t>
        </is>
      </c>
      <c r="D83" t="inlineStr">
        <is>
          <t>decimal</t>
        </is>
      </c>
      <c r="E83" s="2" t="inlineStr"/>
      <c r="F83" t="inlineStr">
        <is>
          <t>power.battery.volts</t>
        </is>
      </c>
      <c r="G83" s="2" t="inlineStr">
        <is>
          <t>Battery banks: nominal voltage.</t>
        </is>
      </c>
      <c r="H83" t="inlineStr">
        <is>
          <t>48</t>
        </is>
      </c>
    </row>
    <row r="84">
      <c r="A84" t="inlineStr">
        <is>
          <t>DC_Plant</t>
        </is>
      </c>
      <c r="B84" t="inlineStr">
        <is>
          <t>ah</t>
        </is>
      </c>
      <c r="C84" t="inlineStr">
        <is>
          <t>Conditional</t>
        </is>
      </c>
      <c r="D84" t="inlineStr">
        <is>
          <t>decimal</t>
        </is>
      </c>
      <c r="E84" s="2" t="inlineStr"/>
      <c r="F84" t="inlineStr">
        <is>
          <t>power.battery.ah</t>
        </is>
      </c>
      <c r="G84" s="2" t="inlineStr">
        <is>
          <t>Battery banks: capacity (Ah).</t>
        </is>
      </c>
      <c r="H84" t="inlineStr">
        <is>
          <t>2400</t>
        </is>
      </c>
    </row>
    <row r="85">
      <c r="A85" t="inlineStr">
        <is>
          <t>DC_Plant</t>
        </is>
      </c>
      <c r="B85" t="inlineStr">
        <is>
          <t>rated_output</t>
        </is>
      </c>
      <c r="C85" t="inlineStr">
        <is>
          <t>Conditional</t>
        </is>
      </c>
      <c r="D85" t="inlineStr">
        <is>
          <t>text</t>
        </is>
      </c>
      <c r="E85" s="2" t="inlineStr"/>
      <c r="F85" t="inlineStr">
        <is>
          <t>PowerFeed.rating (DC)</t>
        </is>
      </c>
      <c r="G85" s="2" t="inlineStr">
        <is>
          <t>Rectifiers: for example "48 V · 2400 A".</t>
        </is>
      </c>
      <c r="H85" t="inlineStr">
        <is>
          <t>48 V · 2440 A</t>
        </is>
      </c>
    </row>
    <row r="86">
      <c r="A86" t="inlineStr">
        <is>
          <t>DC_Plant</t>
        </is>
      </c>
      <c r="B86" t="inlineStr">
        <is>
          <t>capacity_kw</t>
        </is>
      </c>
      <c r="C86" t="inlineStr">
        <is>
          <t>Conditional</t>
        </is>
      </c>
      <c r="D86" t="inlineStr">
        <is>
          <t>decimal</t>
        </is>
      </c>
      <c r="E86" s="2" t="inlineStr"/>
      <c r="F86" t="inlineStr">
        <is>
          <t>PowerFeed.capacityKw (DC)</t>
        </is>
      </c>
      <c r="G86" s="2" t="inlineStr">
        <is>
          <t>Rectifiers: DC output (kW).</t>
        </is>
      </c>
      <c r="H86" t="inlineStr">
        <is>
          <t>117</t>
        </is>
      </c>
    </row>
    <row r="87">
      <c r="A87" t="inlineStr">
        <is>
          <t>DC_Plant</t>
        </is>
      </c>
      <c r="B87" t="inlineStr">
        <is>
          <t>autonomy_h</t>
        </is>
      </c>
      <c r="C87" t="inlineStr">
        <is>
          <t>Conditional</t>
        </is>
      </c>
      <c r="D87" t="inlineStr">
        <is>
          <t>decimal</t>
        </is>
      </c>
      <c r="E87" s="2" t="inlineStr"/>
      <c r="F87" t="inlineStr">
        <is>
          <t>power.battery.runtimeH</t>
        </is>
      </c>
      <c r="G87" s="2" t="inlineStr">
        <is>
          <t>Battery banks: design autonomy (hours).</t>
        </is>
      </c>
      <c r="H87" t="inlineStr">
        <is>
          <t>3.4</t>
        </is>
      </c>
    </row>
    <row r="88">
      <c r="A88" t="inlineStr">
        <is>
          <t>DC_Plant</t>
        </is>
      </c>
      <c r="B88" t="inlineStr">
        <is>
          <t>last_test_date</t>
        </is>
      </c>
      <c r="C88" t="inlineStr">
        <is>
          <t>Optional</t>
        </is>
      </c>
      <c r="D88" t="inlineStr">
        <is>
          <t>date</t>
        </is>
      </c>
      <c r="E88" s="2" t="inlineStr"/>
      <c r="F88" t="inlineStr">
        <is>
          <t>power.battery.lastTest</t>
        </is>
      </c>
      <c r="G88" s="2" t="inlineStr"/>
      <c r="H88" t="inlineStr">
        <is>
          <t>2026-08-22</t>
        </is>
      </c>
    </row>
    <row r="89">
      <c r="A89" t="inlineStr">
        <is>
          <t>Cooling_Units</t>
        </is>
      </c>
      <c r="B89" t="inlineStr">
        <is>
          <t>unit_id</t>
        </is>
      </c>
      <c r="C89" t="inlineStr">
        <is>
          <t>Required</t>
        </is>
      </c>
      <c r="D89" t="inlineStr">
        <is>
          <t>text</t>
        </is>
      </c>
      <c r="E89" s="2" t="inlineStr"/>
      <c r="F89" t="inlineStr">
        <is>
          <t>CoolingUnit.id</t>
        </is>
      </c>
      <c r="G89" s="2" t="inlineStr"/>
      <c r="H89" t="inlineStr">
        <is>
          <t>MH-DC-001-CRAH-11</t>
        </is>
      </c>
    </row>
    <row r="90">
      <c r="A90" t="inlineStr">
        <is>
          <t>Cooling_Units</t>
        </is>
      </c>
      <c r="B90" t="inlineStr">
        <is>
          <t>site_id</t>
        </is>
      </c>
      <c r="C90" t="inlineStr">
        <is>
          <t>Required</t>
        </is>
      </c>
      <c r="D90" t="inlineStr">
        <is>
          <t>ref</t>
        </is>
      </c>
      <c r="E90" s="2" t="inlineStr">
        <is>
          <t>an ID from Sites</t>
        </is>
      </c>
      <c r="F90" t="inlineStr">
        <is>
          <t>Datacenter.id</t>
        </is>
      </c>
      <c r="G90" s="2" t="inlineStr"/>
      <c r="H90" t="inlineStr">
        <is>
          <t>MH-DC-001</t>
        </is>
      </c>
    </row>
    <row r="91">
      <c r="A91" t="inlineStr">
        <is>
          <t>Cooling_Units</t>
        </is>
      </c>
      <c r="B91" t="inlineStr">
        <is>
          <t>room_id</t>
        </is>
      </c>
      <c r="C91" t="inlineStr">
        <is>
          <t>Required</t>
        </is>
      </c>
      <c r="D91" t="inlineStr">
        <is>
          <t>ref</t>
        </is>
      </c>
      <c r="E91" s="2" t="inlineStr">
        <is>
          <t>an ID from Rooms</t>
        </is>
      </c>
      <c r="F91" t="inlineStr">
        <is>
          <t>CoolingUnit.zone</t>
        </is>
      </c>
      <c r="G91" s="2" t="inlineStr">
        <is>
          <t>The zone is "&lt;floor&gt; · &lt;room&gt;".</t>
        </is>
      </c>
      <c r="H91" t="inlineStr">
        <is>
          <t>MH-DC-001-F0-R1</t>
        </is>
      </c>
    </row>
    <row r="92">
      <c r="A92" t="inlineStr">
        <is>
          <t>Cooling_Units</t>
        </is>
      </c>
      <c r="B92" t="inlineStr">
        <is>
          <t>name</t>
        </is>
      </c>
      <c r="C92" t="inlineStr">
        <is>
          <t>Required</t>
        </is>
      </c>
      <c r="D92" t="inlineStr">
        <is>
          <t>text</t>
        </is>
      </c>
      <c r="E92" s="2" t="inlineStr"/>
      <c r="F92" t="inlineStr">
        <is>
          <t>CoolingUnit.name</t>
        </is>
      </c>
      <c r="G92" s="2" t="inlineStr">
        <is>
          <t>For example CRAH-11.</t>
        </is>
      </c>
      <c r="H92" t="inlineStr">
        <is>
          <t>CRAH-11</t>
        </is>
      </c>
    </row>
    <row r="93">
      <c r="A93" t="inlineStr">
        <is>
          <t>Cooling_Units</t>
        </is>
      </c>
      <c r="B93" t="inlineStr">
        <is>
          <t>type</t>
        </is>
      </c>
      <c r="C93" t="inlineStr">
        <is>
          <t>Required</t>
        </is>
      </c>
      <c r="D93" t="inlineStr">
        <is>
          <t>list</t>
        </is>
      </c>
      <c r="E93" s="2" t="inlineStr">
        <is>
          <t>CRAH, CRAC, CDU</t>
        </is>
      </c>
      <c r="F93" t="inlineStr">
        <is>
          <t>CoolingUnit.type</t>
        </is>
      </c>
      <c r="G93" s="2" t="inlineStr"/>
      <c r="H93" t="inlineStr">
        <is>
          <t>CRAH</t>
        </is>
      </c>
    </row>
    <row r="94">
      <c r="A94" t="inlineStr">
        <is>
          <t>Cooling_Units</t>
        </is>
      </c>
      <c r="B94" t="inlineStr">
        <is>
          <t>vendor</t>
        </is>
      </c>
      <c r="C94" t="inlineStr">
        <is>
          <t>Optional</t>
        </is>
      </c>
      <c r="D94" t="inlineStr">
        <is>
          <t>text</t>
        </is>
      </c>
      <c r="E94" s="2" t="inlineStr"/>
      <c r="F94" t="inlineStr">
        <is>
          <t>(reference only)</t>
        </is>
      </c>
      <c r="G94" s="2" t="inlineStr"/>
      <c r="H94" t="inlineStr"/>
    </row>
    <row r="95">
      <c r="A95" t="inlineStr">
        <is>
          <t>Cooling_Units</t>
        </is>
      </c>
      <c r="B95" t="inlineStr">
        <is>
          <t>model</t>
        </is>
      </c>
      <c r="C95" t="inlineStr">
        <is>
          <t>Optional</t>
        </is>
      </c>
      <c r="D95" t="inlineStr">
        <is>
          <t>text</t>
        </is>
      </c>
      <c r="E95" s="2" t="inlineStr"/>
      <c r="F95" t="inlineStr">
        <is>
          <t>(reference only)</t>
        </is>
      </c>
      <c r="G95" s="2" t="inlineStr"/>
      <c r="H95" t="inlineStr"/>
    </row>
    <row r="96">
      <c r="A96" t="inlineStr">
        <is>
          <t>Cooling_Units</t>
        </is>
      </c>
      <c r="B96" t="inlineStr">
        <is>
          <t>capacity_kw</t>
        </is>
      </c>
      <c r="C96" t="inlineStr">
        <is>
          <t>Required</t>
        </is>
      </c>
      <c r="D96" t="inlineStr">
        <is>
          <t>decimal</t>
        </is>
      </c>
      <c r="E96" s="2" t="inlineStr"/>
      <c r="F96" t="inlineStr">
        <is>
          <t>CoolingUnit.capacityKw</t>
        </is>
      </c>
      <c r="G96" s="2" t="inlineStr">
        <is>
          <t>Rated cooling capacity.</t>
        </is>
      </c>
      <c r="H96" t="inlineStr">
        <is>
          <t>30</t>
        </is>
      </c>
    </row>
    <row r="97">
      <c r="A97" t="inlineStr">
        <is>
          <t>Cooling_Units</t>
        </is>
      </c>
      <c r="B97" t="inlineStr">
        <is>
          <t>design_supply_c</t>
        </is>
      </c>
      <c r="C97" t="inlineStr">
        <is>
          <t>Optional</t>
        </is>
      </c>
      <c r="D97" t="inlineStr">
        <is>
          <t>decimal</t>
        </is>
      </c>
      <c r="E97" s="2" t="inlineStr"/>
      <c r="F97" t="inlineStr">
        <is>
          <t>CoolingUnit.supplyC (setpoint)</t>
        </is>
      </c>
      <c r="G97" s="2" t="inlineStr">
        <is>
          <t>Supply air / coolant setpoint.</t>
        </is>
      </c>
      <c r="H97" t="inlineStr">
        <is>
          <t>18</t>
        </is>
      </c>
    </row>
    <row r="98">
      <c r="A98" t="inlineStr">
        <is>
          <t>CDUs</t>
        </is>
      </c>
      <c r="B98" t="inlineStr">
        <is>
          <t>cdu_id</t>
        </is>
      </c>
      <c r="C98" t="inlineStr">
        <is>
          <t>Required</t>
        </is>
      </c>
      <c r="D98" t="inlineStr">
        <is>
          <t>text</t>
        </is>
      </c>
      <c r="E98" s="2" t="inlineStr"/>
      <c r="F98" t="inlineStr">
        <is>
          <t>Cdu.id</t>
        </is>
      </c>
      <c r="G98" s="2" t="inlineStr"/>
      <c r="H98" t="inlineStr">
        <is>
          <t>MH-DC-002-CDU-1</t>
        </is>
      </c>
    </row>
    <row r="99">
      <c r="A99" t="inlineStr">
        <is>
          <t>CDUs</t>
        </is>
      </c>
      <c r="B99" t="inlineStr">
        <is>
          <t>site_id</t>
        </is>
      </c>
      <c r="C99" t="inlineStr">
        <is>
          <t>Required</t>
        </is>
      </c>
      <c r="D99" t="inlineStr">
        <is>
          <t>ref</t>
        </is>
      </c>
      <c r="E99" s="2" t="inlineStr">
        <is>
          <t>an ID from Sites</t>
        </is>
      </c>
      <c r="F99" t="inlineStr">
        <is>
          <t>Cdu.dcId</t>
        </is>
      </c>
      <c r="G99" s="2" t="inlineStr"/>
      <c r="H99" t="inlineStr">
        <is>
          <t>MH-DC-002</t>
        </is>
      </c>
    </row>
    <row r="100">
      <c r="A100" t="inlineStr">
        <is>
          <t>CDUs</t>
        </is>
      </c>
      <c r="B100" t="inlineStr">
        <is>
          <t>room_id</t>
        </is>
      </c>
      <c r="C100" t="inlineStr">
        <is>
          <t>Required</t>
        </is>
      </c>
      <c r="D100" t="inlineStr">
        <is>
          <t>ref</t>
        </is>
      </c>
      <c r="E100" s="2" t="inlineStr">
        <is>
          <t>an ID from Rooms</t>
        </is>
      </c>
      <c r="F100" t="inlineStr">
        <is>
          <t>Cdu.room</t>
        </is>
      </c>
      <c r="G100" s="2" t="inlineStr"/>
      <c r="H100" t="inlineStr">
        <is>
          <t>MH-DC-002-F0-R1</t>
        </is>
      </c>
    </row>
    <row r="101">
      <c r="A101" t="inlineStr">
        <is>
          <t>CDUs</t>
        </is>
      </c>
      <c r="B101" t="inlineStr">
        <is>
          <t>name</t>
        </is>
      </c>
      <c r="C101" t="inlineStr">
        <is>
          <t>Required</t>
        </is>
      </c>
      <c r="D101" t="inlineStr">
        <is>
          <t>text</t>
        </is>
      </c>
      <c r="E101" s="2" t="inlineStr"/>
      <c r="F101" t="inlineStr">
        <is>
          <t>Cdu.name</t>
        </is>
      </c>
      <c r="G101" s="2" t="inlineStr"/>
      <c r="H101" t="inlineStr">
        <is>
          <t>CDU-1</t>
        </is>
      </c>
    </row>
    <row r="102">
      <c r="A102" t="inlineStr">
        <is>
          <t>CDUs</t>
        </is>
      </c>
      <c r="B102" t="inlineStr">
        <is>
          <t>capacity_kw</t>
        </is>
      </c>
      <c r="C102" t="inlineStr">
        <is>
          <t>Required</t>
        </is>
      </c>
      <c r="D102" t="inlineStr">
        <is>
          <t>decimal</t>
        </is>
      </c>
      <c r="E102" s="2" t="inlineStr"/>
      <c r="F102" t="inlineStr">
        <is>
          <t>Cdu.capacityKw</t>
        </is>
      </c>
      <c r="G102" s="2" t="inlineStr"/>
      <c r="H102" t="inlineStr">
        <is>
          <t>150</t>
        </is>
      </c>
    </row>
    <row r="103">
      <c r="A103" t="inlineStr">
        <is>
          <t>CDUs</t>
        </is>
      </c>
      <c r="B103" t="inlineStr">
        <is>
          <t>nominal_flow_lpm</t>
        </is>
      </c>
      <c r="C103" t="inlineStr">
        <is>
          <t>Required</t>
        </is>
      </c>
      <c r="D103" t="inlineStr">
        <is>
          <t>decimal</t>
        </is>
      </c>
      <c r="E103" s="2" t="inlineStr"/>
      <c r="F103" t="inlineStr">
        <is>
          <t>Cdu.flowNominal</t>
        </is>
      </c>
      <c r="G103" s="2" t="inlineStr">
        <is>
          <t>Design coolant flow (litres per minute).</t>
        </is>
      </c>
      <c r="H103" t="inlineStr">
        <is>
          <t>220</t>
        </is>
      </c>
    </row>
    <row r="104">
      <c r="A104" t="inlineStr">
        <is>
          <t>CDUs</t>
        </is>
      </c>
      <c r="B104" t="inlineStr">
        <is>
          <t>design_supply_c</t>
        </is>
      </c>
      <c r="C104" t="inlineStr">
        <is>
          <t>Optional</t>
        </is>
      </c>
      <c r="D104" t="inlineStr">
        <is>
          <t>decimal</t>
        </is>
      </c>
      <c r="E104" s="2" t="inlineStr"/>
      <c r="F104" t="inlineStr">
        <is>
          <t>Cdu.supplyC (setpoint)</t>
        </is>
      </c>
      <c r="G104" s="2" t="inlineStr"/>
      <c r="H104" t="inlineStr">
        <is>
          <t>26.8</t>
        </is>
      </c>
    </row>
    <row r="105">
      <c r="A105" t="inlineStr">
        <is>
          <t>CDUs</t>
        </is>
      </c>
      <c r="B105" t="inlineStr">
        <is>
          <t>racks_served (calc)</t>
        </is>
      </c>
      <c r="C105" t="inlineStr">
        <is>
          <t>Calculated</t>
        </is>
      </c>
      <c r="D105" t="inlineStr">
        <is>
          <t>formula</t>
        </is>
      </c>
      <c r="E105" s="2" t="inlineStr"/>
      <c r="F105" t="inlineStr">
        <is>
          <t>Cdu.racks</t>
        </is>
      </c>
      <c r="G105" s="2" t="inlineStr">
        <is>
          <t>Calculated from Racks.cdu_id.</t>
        </is>
      </c>
      <c r="H105" t="inlineStr"/>
    </row>
    <row r="106">
      <c r="A106" t="inlineStr">
        <is>
          <t>Sensors</t>
        </is>
      </c>
      <c r="B106" t="inlineStr">
        <is>
          <t>sensor_id</t>
        </is>
      </c>
      <c r="C106" t="inlineStr">
        <is>
          <t>Required</t>
        </is>
      </c>
      <c r="D106" t="inlineStr">
        <is>
          <t>text</t>
        </is>
      </c>
      <c r="E106" s="2" t="inlineStr"/>
      <c r="F106" t="inlineStr">
        <is>
          <t>EnvSensor.id</t>
        </is>
      </c>
      <c r="G106" s="2" t="inlineStr"/>
      <c r="H106" t="inlineStr">
        <is>
          <t>MH-DC-001-ENV-1</t>
        </is>
      </c>
    </row>
    <row r="107">
      <c r="A107" t="inlineStr">
        <is>
          <t>Sensors</t>
        </is>
      </c>
      <c r="B107" t="inlineStr">
        <is>
          <t>site_id</t>
        </is>
      </c>
      <c r="C107" t="inlineStr">
        <is>
          <t>Required</t>
        </is>
      </c>
      <c r="D107" t="inlineStr">
        <is>
          <t>ref</t>
        </is>
      </c>
      <c r="E107" s="2" t="inlineStr">
        <is>
          <t>an ID from Sites</t>
        </is>
      </c>
      <c r="F107" t="inlineStr">
        <is>
          <t>Datacenter.id</t>
        </is>
      </c>
      <c r="G107" s="2" t="inlineStr"/>
      <c r="H107" t="inlineStr">
        <is>
          <t>MH-DC-001</t>
        </is>
      </c>
    </row>
    <row r="108">
      <c r="A108" t="inlineStr">
        <is>
          <t>Sensors</t>
        </is>
      </c>
      <c r="B108" t="inlineStr">
        <is>
          <t>room_id</t>
        </is>
      </c>
      <c r="C108" t="inlineStr">
        <is>
          <t>Required</t>
        </is>
      </c>
      <c r="D108" t="inlineStr">
        <is>
          <t>ref</t>
        </is>
      </c>
      <c r="E108" s="2" t="inlineStr">
        <is>
          <t>an ID from Rooms</t>
        </is>
      </c>
      <c r="F108" t="inlineStr">
        <is>
          <t>EnvSensor.zone</t>
        </is>
      </c>
      <c r="G108" s="2" t="inlineStr"/>
      <c r="H108" t="inlineStr">
        <is>
          <t>MH-DC-001-F0-R1</t>
        </is>
      </c>
    </row>
    <row r="109">
      <c r="A109" t="inlineStr">
        <is>
          <t>Sensors</t>
        </is>
      </c>
      <c r="B109" t="inlineStr">
        <is>
          <t>kind</t>
        </is>
      </c>
      <c r="C109" t="inlineStr">
        <is>
          <t>Required</t>
        </is>
      </c>
      <c r="D109" t="inlineStr">
        <is>
          <t>list</t>
        </is>
      </c>
      <c r="E109" s="2" t="inlineStr">
        <is>
          <t>Temperature + humidity, Leak, Smoke</t>
        </is>
      </c>
      <c r="F109" t="inlineStr">
        <is>
          <t>EnvSensor (temp / humidity / smoke / leak)</t>
        </is>
      </c>
      <c r="G109" s="2" t="inlineStr"/>
      <c r="H109" t="inlineStr">
        <is>
          <t>Temperature + humidity</t>
        </is>
      </c>
    </row>
    <row r="110">
      <c r="A110" t="inlineStr">
        <is>
          <t>Sensors</t>
        </is>
      </c>
      <c r="B110" t="inlineStr">
        <is>
          <t>position</t>
        </is>
      </c>
      <c r="C110" t="inlineStr">
        <is>
          <t>Optional</t>
        </is>
      </c>
      <c r="D110" t="inlineStr">
        <is>
          <t>text</t>
        </is>
      </c>
      <c r="E110" s="2" t="inlineStr"/>
      <c r="F110" t="inlineStr">
        <is>
          <t>(reference only)</t>
        </is>
      </c>
      <c r="G110" s="2" t="inlineStr">
        <is>
          <t>For example "Cold aisle 1, rack A03".</t>
        </is>
      </c>
      <c r="H110" t="inlineStr"/>
    </row>
    <row r="111">
      <c r="A111" t="inlineStr">
        <is>
          <t>Sensors</t>
        </is>
      </c>
      <c r="B111" t="inlineStr">
        <is>
          <t>bms_point</t>
        </is>
      </c>
      <c r="C111" t="inlineStr">
        <is>
          <t>Optional</t>
        </is>
      </c>
      <c r="D111" t="inlineStr">
        <is>
          <t>text</t>
        </is>
      </c>
      <c r="E111" s="2" t="inlineStr"/>
      <c r="F111" t="inlineStr">
        <is>
          <t>(collector mapping)</t>
        </is>
      </c>
      <c r="G111" s="2" t="inlineStr">
        <is>
          <t>BMS / Modbus / BACnet point name, so live readings can be matched.</t>
        </is>
      </c>
      <c r="H111" t="inlineStr"/>
    </row>
    <row r="112">
      <c r="A112" t="inlineStr">
        <is>
          <t>Devices</t>
        </is>
      </c>
      <c r="B112" t="inlineStr">
        <is>
          <t>device_id</t>
        </is>
      </c>
      <c r="C112" t="inlineStr">
        <is>
          <t>Required</t>
        </is>
      </c>
      <c r="D112" t="inlineStr">
        <is>
          <t>text</t>
        </is>
      </c>
      <c r="E112" s="2" t="inlineStr"/>
      <c r="F112" t="inlineStr">
        <is>
          <t>NetworkElement.id</t>
        </is>
      </c>
      <c r="G112" s="2" t="inlineStr">
        <is>
          <t>Unique, for example MP-DC-001-BDR-01.</t>
        </is>
      </c>
      <c r="H112" t="inlineStr">
        <is>
          <t>MH-DC-001-PE-T4-01</t>
        </is>
      </c>
    </row>
    <row r="113">
      <c r="A113" t="inlineStr">
        <is>
          <t>Devices</t>
        </is>
      </c>
      <c r="B113" t="inlineStr">
        <is>
          <t>site_id</t>
        </is>
      </c>
      <c r="C113" t="inlineStr">
        <is>
          <t>Required</t>
        </is>
      </c>
      <c r="D113" t="inlineStr">
        <is>
          <t>ref</t>
        </is>
      </c>
      <c r="E113" s="2" t="inlineStr">
        <is>
          <t>an ID from Sites</t>
        </is>
      </c>
      <c r="F113" t="inlineStr">
        <is>
          <t>NetworkElement.dcId</t>
        </is>
      </c>
      <c r="G113" s="2" t="inlineStr"/>
      <c r="H113" t="inlineStr">
        <is>
          <t>MH-DC-001</t>
        </is>
      </c>
    </row>
    <row r="114">
      <c r="A114" t="inlineStr">
        <is>
          <t>Devices</t>
        </is>
      </c>
      <c r="B114" t="inlineStr">
        <is>
          <t>hostname</t>
        </is>
      </c>
      <c r="C114" t="inlineStr">
        <is>
          <t>Required</t>
        </is>
      </c>
      <c r="D114" t="inlineStr">
        <is>
          <t>text</t>
        </is>
      </c>
      <c r="E114" s="2" t="inlineStr"/>
      <c r="F114" t="inlineStr">
        <is>
          <t>NetworkElement.name</t>
        </is>
      </c>
      <c r="G114" s="2" t="inlineStr">
        <is>
          <t>As configured on the device (used to match SNMP / LLDP).</t>
        </is>
      </c>
      <c r="H114" t="inlineStr">
        <is>
          <t>MH-DC-001-PE-T4-01</t>
        </is>
      </c>
    </row>
    <row r="115">
      <c r="A115" t="inlineStr">
        <is>
          <t>Devices</t>
        </is>
      </c>
      <c r="B115" t="inlineStr">
        <is>
          <t>role</t>
        </is>
      </c>
      <c r="C115" t="inlineStr">
        <is>
          <t>Required</t>
        </is>
      </c>
      <c r="D115" t="inlineStr">
        <is>
          <t>list</t>
        </is>
      </c>
      <c r="E115" s="2" t="inlineStr">
        <is>
          <t>Router, Switch, DWDM, Firewall, Access, Server, Storage, GPU, Tenant gear</t>
        </is>
      </c>
      <c r="F115" t="inlineStr">
        <is>
          <t>NetworkElement.role</t>
        </is>
      </c>
      <c r="G115" s="2" t="inlineStr">
        <is>
          <t>Tenant gear = an opaque block of customer equipment (never polled).</t>
        </is>
      </c>
      <c r="H115" t="inlineStr">
        <is>
          <t>Router</t>
        </is>
      </c>
    </row>
    <row r="116">
      <c r="A116" t="inlineStr">
        <is>
          <t>Devices</t>
        </is>
      </c>
      <c r="B116" t="inlineStr">
        <is>
          <t>layer</t>
        </is>
      </c>
      <c r="C116" t="inlineStr">
        <is>
          <t>Required</t>
        </is>
      </c>
      <c r="D116" t="inlineStr">
        <is>
          <t>list</t>
        </is>
      </c>
      <c r="E116" s="2" t="inlineStr">
        <is>
          <t>core, spine, leaf, access</t>
        </is>
      </c>
      <c r="F116" t="inlineStr">
        <is>
          <t>NetworkElement.layer</t>
        </is>
      </c>
      <c r="G116" s="2" t="inlineStr">
        <is>
          <t>core / spine / leaf / access. For hosts use access.</t>
        </is>
      </c>
      <c r="H116" t="inlineStr">
        <is>
          <t>core</t>
        </is>
      </c>
    </row>
    <row r="117">
      <c r="A117" t="inlineStr">
        <is>
          <t>Devices</t>
        </is>
      </c>
      <c r="B117" t="inlineStr">
        <is>
          <t>vendor</t>
        </is>
      </c>
      <c r="C117" t="inlineStr">
        <is>
          <t>Required</t>
        </is>
      </c>
      <c r="D117" t="inlineStr">
        <is>
          <t>text</t>
        </is>
      </c>
      <c r="E117" s="2" t="inlineStr"/>
      <c r="F117" t="inlineStr">
        <is>
          <t>NetworkElement.vendor</t>
        </is>
      </c>
      <c r="G117" s="2" t="inlineStr">
        <is>
          <t>Tenant gear: "Tenant".</t>
        </is>
      </c>
      <c r="H117" t="inlineStr">
        <is>
          <t>JUNIPER</t>
        </is>
      </c>
    </row>
    <row r="118">
      <c r="A118" t="inlineStr">
        <is>
          <t>Devices</t>
        </is>
      </c>
      <c r="B118" t="inlineStr">
        <is>
          <t>model</t>
        </is>
      </c>
      <c r="C118" t="inlineStr">
        <is>
          <t>Required</t>
        </is>
      </c>
      <c r="D118" t="inlineStr">
        <is>
          <t>text</t>
        </is>
      </c>
      <c r="E118" s="2" t="inlineStr"/>
      <c r="F118" t="inlineStr">
        <is>
          <t>NetworkElement.model</t>
        </is>
      </c>
      <c r="G118" s="2" t="inlineStr"/>
      <c r="H118" t="inlineStr">
        <is>
          <t>MX204</t>
        </is>
      </c>
    </row>
    <row r="119">
      <c r="A119" t="inlineStr">
        <is>
          <t>Devices</t>
        </is>
      </c>
      <c r="B119" t="inlineStr">
        <is>
          <t>os_version</t>
        </is>
      </c>
      <c r="C119" t="inlineStr">
        <is>
          <t>Optional</t>
        </is>
      </c>
      <c r="D119" t="inlineStr">
        <is>
          <t>text</t>
        </is>
      </c>
      <c r="E119" s="2" t="inlineStr"/>
      <c r="F119" t="inlineStr">
        <is>
          <t>NetworkElement.os</t>
        </is>
      </c>
      <c r="G119" s="2" t="inlineStr"/>
      <c r="H119" t="inlineStr">
        <is>
          <t>21.4R3-S5.5</t>
        </is>
      </c>
    </row>
    <row r="120">
      <c r="A120" t="inlineStr">
        <is>
          <t>Devices</t>
        </is>
      </c>
      <c r="B120" t="inlineStr">
        <is>
          <t>serial</t>
        </is>
      </c>
      <c r="C120" t="inlineStr">
        <is>
          <t>Conditional</t>
        </is>
      </c>
      <c r="D120" t="inlineStr">
        <is>
          <t>text</t>
        </is>
      </c>
      <c r="E120" s="2" t="inlineStr"/>
      <c r="F120" t="inlineStr">
        <is>
          <t>NetworkElement.serial</t>
        </is>
      </c>
      <c r="G120" s="2" t="inlineStr">
        <is>
          <t>Required for operator devices; must be unique.</t>
        </is>
      </c>
      <c r="H120" t="inlineStr">
        <is>
          <t>JU0011000</t>
        </is>
      </c>
    </row>
    <row r="121">
      <c r="A121" t="inlineStr">
        <is>
          <t>Devices</t>
        </is>
      </c>
      <c r="B121" t="inlineStr">
        <is>
          <t>mgmt_ip</t>
        </is>
      </c>
      <c r="C121" t="inlineStr">
        <is>
          <t>Conditional</t>
        </is>
      </c>
      <c r="D121" t="inlineStr">
        <is>
          <t>ip</t>
        </is>
      </c>
      <c r="E121" s="2" t="inlineStr"/>
      <c r="F121" t="inlineStr">
        <is>
          <t>NetworkElement.ip</t>
        </is>
      </c>
      <c r="G121" s="2" t="inlineStr">
        <is>
          <t>Required for monitored devices.</t>
        </is>
      </c>
      <c r="H121" t="inlineStr">
        <is>
          <t>172.31.40.20</t>
        </is>
      </c>
    </row>
    <row r="122">
      <c r="A122" t="inlineStr">
        <is>
          <t>Devices</t>
        </is>
      </c>
      <c r="B122" t="inlineStr">
        <is>
          <t>mac</t>
        </is>
      </c>
      <c r="C122" t="inlineStr">
        <is>
          <t>Optional</t>
        </is>
      </c>
      <c r="D122" t="inlineStr">
        <is>
          <t>text</t>
        </is>
      </c>
      <c r="E122" s="2" t="inlineStr"/>
      <c r="F122" t="inlineStr">
        <is>
          <t>NetworkElement.mac</t>
        </is>
      </c>
      <c r="G122" s="2" t="inlineStr"/>
      <c r="H122" t="inlineStr">
        <is>
          <t>A4:5E:60:16:8F:48</t>
        </is>
      </c>
    </row>
    <row r="123">
      <c r="A123" t="inlineStr">
        <is>
          <t>Devices</t>
        </is>
      </c>
      <c r="B123" t="inlineStr">
        <is>
          <t>rack_id</t>
        </is>
      </c>
      <c r="C123" t="inlineStr">
        <is>
          <t>Required</t>
        </is>
      </c>
      <c r="D123" t="inlineStr">
        <is>
          <t>ref</t>
        </is>
      </c>
      <c r="E123" s="2" t="inlineStr">
        <is>
          <t>an ID from Racks</t>
        </is>
      </c>
      <c r="F123" t="inlineStr">
        <is>
          <t>NetworkElement.rackId</t>
        </is>
      </c>
      <c r="G123" s="2" t="inlineStr"/>
      <c r="H123" t="inlineStr">
        <is>
          <t>MH-DC-001-RACK-A</t>
        </is>
      </c>
    </row>
    <row r="124">
      <c r="A124" t="inlineStr">
        <is>
          <t>Devices</t>
        </is>
      </c>
      <c r="B124" t="inlineStr">
        <is>
          <t>u_position</t>
        </is>
      </c>
      <c r="C124" t="inlineStr">
        <is>
          <t>Required</t>
        </is>
      </c>
      <c r="D124" t="inlineStr">
        <is>
          <t>integer</t>
        </is>
      </c>
      <c r="E124" s="2" t="inlineStr"/>
      <c r="F124" t="inlineStr">
        <is>
          <t>NetworkElement.u</t>
        </is>
      </c>
      <c r="G124" s="2" t="inlineStr">
        <is>
          <t>Lowest U the device occupies (1 = bottom).</t>
        </is>
      </c>
      <c r="H124" t="inlineStr">
        <is>
          <t>2</t>
        </is>
      </c>
    </row>
    <row r="125">
      <c r="A125" t="inlineStr">
        <is>
          <t>Devices</t>
        </is>
      </c>
      <c r="B125" t="inlineStr">
        <is>
          <t>u_size</t>
        </is>
      </c>
      <c r="C125" t="inlineStr">
        <is>
          <t>Required</t>
        </is>
      </c>
      <c r="D125" t="inlineStr">
        <is>
          <t>integer</t>
        </is>
      </c>
      <c r="E125" s="2" t="inlineStr"/>
      <c r="F125" t="inlineStr">
        <is>
          <t>NetworkElement.uSize</t>
        </is>
      </c>
      <c r="G125" s="2" t="inlineStr">
        <is>
          <t>Height in U.</t>
        </is>
      </c>
      <c r="H125" t="inlineStr">
        <is>
          <t>1</t>
        </is>
      </c>
    </row>
    <row r="126">
      <c r="A126" t="inlineStr">
        <is>
          <t>Devices</t>
        </is>
      </c>
      <c r="B126" t="inlineStr">
        <is>
          <t>lifecycle</t>
        </is>
      </c>
      <c r="C126" t="inlineStr">
        <is>
          <t>Required</t>
        </is>
      </c>
      <c r="D126" t="inlineStr">
        <is>
          <t>list</t>
        </is>
      </c>
      <c r="E126" s="2" t="inlineStr">
        <is>
          <t>Ready, Planned, Maintenance, Decommissioning</t>
        </is>
      </c>
      <c r="F126" t="inlineStr">
        <is>
          <t>NetworkElement.lifecycle</t>
        </is>
      </c>
      <c r="G126" s="2" t="inlineStr">
        <is>
          <t>Planned = reserved rack space, not installed.</t>
        </is>
      </c>
      <c r="H126" t="inlineStr">
        <is>
          <t>Ready</t>
        </is>
      </c>
    </row>
    <row r="127">
      <c r="A127" t="inlineStr">
        <is>
          <t>Devices</t>
        </is>
      </c>
      <c r="B127" t="inlineStr">
        <is>
          <t>owner</t>
        </is>
      </c>
      <c r="C127" t="inlineStr">
        <is>
          <t>Required</t>
        </is>
      </c>
      <c r="D127" t="inlineStr">
        <is>
          <t>list</t>
        </is>
      </c>
      <c r="E127" s="2" t="inlineStr">
        <is>
          <t>operator, tenant</t>
        </is>
      </c>
      <c r="F127" t="inlineStr">
        <is>
          <t>OpsState tenant-owned</t>
        </is>
      </c>
      <c r="G127" s="2" t="inlineStr"/>
      <c r="H127" t="inlineStr">
        <is>
          <t>operator</t>
        </is>
      </c>
    </row>
    <row r="128">
      <c r="A128" t="inlineStr">
        <is>
          <t>Devices</t>
        </is>
      </c>
      <c r="B128" t="inlineStr">
        <is>
          <t>tenant_customer_id</t>
        </is>
      </c>
      <c r="C128" t="inlineStr">
        <is>
          <t>Conditional</t>
        </is>
      </c>
      <c r="D128" t="inlineStr">
        <is>
          <t>ref</t>
        </is>
      </c>
      <c r="E128" s="2" t="inlineStr">
        <is>
          <t>an ID from Customers</t>
        </is>
      </c>
      <c r="F128" t="inlineStr">
        <is>
          <t>NetworkElement.tenantId</t>
        </is>
      </c>
      <c r="G128" s="2" t="inlineStr">
        <is>
          <t>Required when owner = tenant.</t>
        </is>
      </c>
      <c r="H128" t="inlineStr">
        <is>
          <t>CUST-7349</t>
        </is>
      </c>
    </row>
    <row r="129">
      <c r="A129" t="inlineStr">
        <is>
          <t>Devices</t>
        </is>
      </c>
      <c r="B129" t="inlineStr">
        <is>
          <t>monitored</t>
        </is>
      </c>
      <c r="C129" t="inlineStr">
        <is>
          <t>Required</t>
        </is>
      </c>
      <c r="D129" t="inlineStr">
        <is>
          <t>list</t>
        </is>
      </c>
      <c r="E129" s="2" t="inlineStr">
        <is>
          <t>Y, N</t>
        </is>
      </c>
      <c r="F129" t="inlineStr">
        <is>
          <t>OpsState in-service / unmonitored</t>
        </is>
      </c>
      <c r="G129" s="2" t="inlineStr">
        <is>
          <t>N = in the rack but not polled.</t>
        </is>
      </c>
      <c r="H129" t="inlineStr">
        <is>
          <t>Y</t>
        </is>
      </c>
    </row>
    <row r="130">
      <c r="A130" t="inlineStr">
        <is>
          <t>Devices</t>
        </is>
      </c>
      <c r="B130" t="inlineStr">
        <is>
          <t>collector_id</t>
        </is>
      </c>
      <c r="C130" t="inlineStr">
        <is>
          <t>Conditional</t>
        </is>
      </c>
      <c r="D130" t="inlineStr">
        <is>
          <t>ref</t>
        </is>
      </c>
      <c r="E130" s="2" t="inlineStr">
        <is>
          <t>an ID from Collectors</t>
        </is>
      </c>
      <c r="F130" t="inlineStr">
        <is>
          <t>NetworkElement.collector</t>
        </is>
      </c>
      <c r="G130" s="2" t="inlineStr">
        <is>
          <t>Required when monitored = Y.</t>
        </is>
      </c>
      <c r="H130" t="inlineStr">
        <is>
          <t>COL-MH-DC-001-2</t>
        </is>
      </c>
    </row>
    <row r="131">
      <c r="A131" t="inlineStr">
        <is>
          <t>Devices</t>
        </is>
      </c>
      <c r="B131" t="inlineStr">
        <is>
          <t>wan_edge</t>
        </is>
      </c>
      <c r="C131" t="inlineStr">
        <is>
          <t>Optional</t>
        </is>
      </c>
      <c r="D131" t="inlineStr">
        <is>
          <t>list</t>
        </is>
      </c>
      <c r="E131" s="2" t="inlineStr">
        <is>
          <t>Y, N</t>
        </is>
      </c>
      <c r="F131" t="inlineStr">
        <is>
          <t>NetworkElement.isPe</t>
        </is>
      </c>
      <c r="G131" s="2" t="inlineStr">
        <is>
          <t>Y = border / PE router carrying the site's backhaul.</t>
        </is>
      </c>
      <c r="H131" t="inlineStr">
        <is>
          <t>Y</t>
        </is>
      </c>
    </row>
    <row r="132">
      <c r="A132" t="inlineStr">
        <is>
          <t>Modules</t>
        </is>
      </c>
      <c r="B132" t="inlineStr">
        <is>
          <t>device_id</t>
        </is>
      </c>
      <c r="C132" t="inlineStr">
        <is>
          <t>Required</t>
        </is>
      </c>
      <c r="D132" t="inlineStr">
        <is>
          <t>ref</t>
        </is>
      </c>
      <c r="E132" s="2" t="inlineStr">
        <is>
          <t>an ID from Devices</t>
        </is>
      </c>
      <c r="F132" t="inlineStr">
        <is>
          <t>NetworkElement.id</t>
        </is>
      </c>
      <c r="G132" s="2" t="inlineStr"/>
      <c r="H132" t="inlineStr">
        <is>
          <t>MH-DC-001-PE-T4-01</t>
        </is>
      </c>
    </row>
    <row r="133">
      <c r="A133" t="inlineStr">
        <is>
          <t>Modules</t>
        </is>
      </c>
      <c r="B133" t="inlineStr">
        <is>
          <t>slot</t>
        </is>
      </c>
      <c r="C133" t="inlineStr">
        <is>
          <t>Required</t>
        </is>
      </c>
      <c r="D133" t="inlineStr">
        <is>
          <t>text</t>
        </is>
      </c>
      <c r="E133" s="2" t="inlineStr"/>
      <c r="F133" t="inlineStr">
        <is>
          <t>modules[].slot</t>
        </is>
      </c>
      <c r="G133" s="2" t="inlineStr">
        <is>
          <t>For example "FPC 0", "PSU 1".</t>
        </is>
      </c>
      <c r="H133" t="inlineStr">
        <is>
          <t>RE0</t>
        </is>
      </c>
    </row>
    <row r="134">
      <c r="A134" t="inlineStr">
        <is>
          <t>Modules</t>
        </is>
      </c>
      <c r="B134" t="inlineStr">
        <is>
          <t>name</t>
        </is>
      </c>
      <c r="C134" t="inlineStr">
        <is>
          <t>Required</t>
        </is>
      </c>
      <c r="D134" t="inlineStr">
        <is>
          <t>text</t>
        </is>
      </c>
      <c r="E134" s="2" t="inlineStr"/>
      <c r="F134" t="inlineStr">
        <is>
          <t>modules[].name</t>
        </is>
      </c>
      <c r="G134" s="2" t="inlineStr">
        <is>
          <t>Part description.</t>
        </is>
      </c>
      <c r="H134" t="inlineStr">
        <is>
          <t>Routing Engine</t>
        </is>
      </c>
    </row>
    <row r="135">
      <c r="A135" t="inlineStr">
        <is>
          <t>Modules</t>
        </is>
      </c>
      <c r="B135" t="inlineStr">
        <is>
          <t>serial</t>
        </is>
      </c>
      <c r="C135" t="inlineStr">
        <is>
          <t>Optional</t>
        </is>
      </c>
      <c r="D135" t="inlineStr">
        <is>
          <t>text</t>
        </is>
      </c>
      <c r="E135" s="2" t="inlineStr"/>
      <c r="F135" t="inlineStr">
        <is>
          <t>modules[].serial</t>
        </is>
      </c>
      <c r="G135" s="2" t="inlineStr"/>
      <c r="H135" t="inlineStr">
        <is>
          <t>JU0011000-RE0</t>
        </is>
      </c>
    </row>
    <row r="136">
      <c r="A136" t="inlineStr">
        <is>
          <t>Interfaces</t>
        </is>
      </c>
      <c r="B136" t="inlineStr">
        <is>
          <t>device_id</t>
        </is>
      </c>
      <c r="C136" t="inlineStr">
        <is>
          <t>Required</t>
        </is>
      </c>
      <c r="D136" t="inlineStr">
        <is>
          <t>ref</t>
        </is>
      </c>
      <c r="E136" s="2" t="inlineStr">
        <is>
          <t>an ID from Devices</t>
        </is>
      </c>
      <c r="F136" t="inlineStr">
        <is>
          <t>Interface.neId</t>
        </is>
      </c>
      <c r="G136" s="2" t="inlineStr"/>
      <c r="H136" t="inlineStr">
        <is>
          <t>MH-DC-001-PE-T4-01</t>
        </is>
      </c>
    </row>
    <row r="137">
      <c r="A137" t="inlineStr">
        <is>
          <t>Interfaces</t>
        </is>
      </c>
      <c r="B137" t="inlineStr">
        <is>
          <t>if_name</t>
        </is>
      </c>
      <c r="C137" t="inlineStr">
        <is>
          <t>Required</t>
        </is>
      </c>
      <c r="D137" t="inlineStr">
        <is>
          <t>text</t>
        </is>
      </c>
      <c r="E137" s="2" t="inlineStr"/>
      <c r="F137" t="inlineStr">
        <is>
          <t>Interface.name</t>
        </is>
      </c>
      <c r="G137" s="2" t="inlineStr">
        <is>
          <t>As the device names it (et-0/0/1, Ethernet1/1, swp1, ib0…).</t>
        </is>
      </c>
      <c r="H137" t="inlineStr">
        <is>
          <t>xe-0/0/0</t>
        </is>
      </c>
    </row>
    <row r="138">
      <c r="A138" t="inlineStr">
        <is>
          <t>Interfaces</t>
        </is>
      </c>
      <c r="B138" t="inlineStr">
        <is>
          <t>type</t>
        </is>
      </c>
      <c r="C138" t="inlineStr">
        <is>
          <t>Required</t>
        </is>
      </c>
      <c r="D138" t="inlineStr">
        <is>
          <t>text</t>
        </is>
      </c>
      <c r="E138" s="2" t="inlineStr"/>
      <c r="F138" t="inlineStr">
        <is>
          <t>Interface.type</t>
        </is>
      </c>
      <c r="G138" s="2" t="inlineStr">
        <is>
          <t>For example 100GE, 400G NDR, 1GE.</t>
        </is>
      </c>
      <c r="H138" t="inlineStr">
        <is>
          <t>10G SFP+</t>
        </is>
      </c>
    </row>
    <row r="139">
      <c r="A139" t="inlineStr">
        <is>
          <t>Interfaces</t>
        </is>
      </c>
      <c r="B139" t="inlineStr">
        <is>
          <t>speed_mbps</t>
        </is>
      </c>
      <c r="C139" t="inlineStr">
        <is>
          <t>Required</t>
        </is>
      </c>
      <c r="D139" t="inlineStr">
        <is>
          <t>integer</t>
        </is>
      </c>
      <c r="E139" s="2" t="inlineStr"/>
      <c r="F139" t="inlineStr">
        <is>
          <t>Interface.speedMbps</t>
        </is>
      </c>
      <c r="G139" s="2" t="inlineStr"/>
      <c r="H139" t="inlineStr">
        <is>
          <t>10000</t>
        </is>
      </c>
    </row>
    <row r="140">
      <c r="A140" t="inlineStr">
        <is>
          <t>Interfaces</t>
        </is>
      </c>
      <c r="B140" t="inlineStr">
        <is>
          <t>admin_state</t>
        </is>
      </c>
      <c r="C140" t="inlineStr">
        <is>
          <t>Required</t>
        </is>
      </c>
      <c r="D140" t="inlineStr">
        <is>
          <t>list</t>
        </is>
      </c>
      <c r="E140" s="2" t="inlineStr">
        <is>
          <t>up, admin-down, reserved</t>
        </is>
      </c>
      <c r="F140" t="inlineStr">
        <is>
          <t>Interface.state</t>
        </is>
      </c>
      <c r="G140" s="2" t="inlineStr">
        <is>
          <t>up, admin-down or reserved. Operational up / down comes live.</t>
        </is>
      </c>
      <c r="H140" t="inlineStr">
        <is>
          <t>admin-down</t>
        </is>
      </c>
    </row>
    <row r="141">
      <c r="A141" t="inlineStr">
        <is>
          <t>Interfaces</t>
        </is>
      </c>
      <c r="B141" t="inlineStr">
        <is>
          <t>description</t>
        </is>
      </c>
      <c r="C141" t="inlineStr">
        <is>
          <t>Optional</t>
        </is>
      </c>
      <c r="D141" t="inlineStr">
        <is>
          <t>text</t>
        </is>
      </c>
      <c r="E141" s="2" t="inlineStr"/>
      <c r="F141" t="inlineStr">
        <is>
          <t>Interface.description</t>
        </is>
      </c>
      <c r="G141" s="2" t="inlineStr"/>
      <c r="H141" t="inlineStr">
        <is>
          <t>Backhaul to UP-DC-006</t>
        </is>
      </c>
    </row>
    <row r="142">
      <c r="A142" t="inlineStr">
        <is>
          <t>Interfaces</t>
        </is>
      </c>
      <c r="B142" t="inlineStr">
        <is>
          <t>optic_model</t>
        </is>
      </c>
      <c r="C142" t="inlineStr">
        <is>
          <t>Optional</t>
        </is>
      </c>
      <c r="D142" t="inlineStr">
        <is>
          <t>text</t>
        </is>
      </c>
      <c r="E142" s="2" t="inlineStr"/>
      <c r="F142" t="inlineStr">
        <is>
          <t>Interface.optics.model</t>
        </is>
      </c>
      <c r="G142" s="2" t="inlineStr">
        <is>
          <t>Transceiver part.</t>
        </is>
      </c>
      <c r="H142" t="inlineStr">
        <is>
          <t>SFP-10G-LR</t>
        </is>
      </c>
    </row>
    <row r="143">
      <c r="A143" t="inlineStr">
        <is>
          <t>Links</t>
        </is>
      </c>
      <c r="B143" t="inlineStr">
        <is>
          <t>link_id</t>
        </is>
      </c>
      <c r="C143" t="inlineStr">
        <is>
          <t>Required</t>
        </is>
      </c>
      <c r="D143" t="inlineStr">
        <is>
          <t>text</t>
        </is>
      </c>
      <c r="E143" s="2" t="inlineStr"/>
      <c r="F143" t="inlineStr">
        <is>
          <t>Link.id</t>
        </is>
      </c>
      <c r="G143" s="2" t="inlineStr"/>
      <c r="H143" t="inlineStr">
        <is>
          <t>LNK-00001</t>
        </is>
      </c>
    </row>
    <row r="144">
      <c r="A144" t="inlineStr">
        <is>
          <t>Links</t>
        </is>
      </c>
      <c r="B144" t="inlineStr">
        <is>
          <t>a_device_id</t>
        </is>
      </c>
      <c r="C144" t="inlineStr">
        <is>
          <t>Required</t>
        </is>
      </c>
      <c r="D144" t="inlineStr">
        <is>
          <t>ref</t>
        </is>
      </c>
      <c r="E144" s="2" t="inlineStr">
        <is>
          <t>an ID from Devices</t>
        </is>
      </c>
      <c r="F144" t="inlineStr">
        <is>
          <t>Link.aNe</t>
        </is>
      </c>
      <c r="G144" s="2" t="inlineStr"/>
      <c r="H144" t="inlineStr">
        <is>
          <t>MH-DC-001-PE-T4-01</t>
        </is>
      </c>
    </row>
    <row r="145">
      <c r="A145" t="inlineStr">
        <is>
          <t>Links</t>
        </is>
      </c>
      <c r="B145" t="inlineStr">
        <is>
          <t>a_if_name</t>
        </is>
      </c>
      <c r="C145" t="inlineStr">
        <is>
          <t>Required</t>
        </is>
      </c>
      <c r="D145" t="inlineStr">
        <is>
          <t>text</t>
        </is>
      </c>
      <c r="E145" s="2" t="inlineStr"/>
      <c r="F145" t="inlineStr">
        <is>
          <t>Link.aIf</t>
        </is>
      </c>
      <c r="G145" s="2" t="inlineStr">
        <is>
          <t>Must exist in Interfaces for a_device_id.</t>
        </is>
      </c>
      <c r="H145" t="inlineStr">
        <is>
          <t>et-0/1/0</t>
        </is>
      </c>
    </row>
    <row r="146">
      <c r="A146" t="inlineStr">
        <is>
          <t>Links</t>
        </is>
      </c>
      <c r="B146" t="inlineStr">
        <is>
          <t>z_device_id</t>
        </is>
      </c>
      <c r="C146" t="inlineStr">
        <is>
          <t>Required</t>
        </is>
      </c>
      <c r="D146" t="inlineStr">
        <is>
          <t>ref</t>
        </is>
      </c>
      <c r="E146" s="2" t="inlineStr">
        <is>
          <t>an ID from Devices</t>
        </is>
      </c>
      <c r="F146" t="inlineStr">
        <is>
          <t>Link.zNe</t>
        </is>
      </c>
      <c r="G146" s="2" t="inlineStr">
        <is>
          <t>May be at another site (backhaul).</t>
        </is>
      </c>
      <c r="H146" t="inlineStr">
        <is>
          <t>MH-DC-001-PE-T4-02</t>
        </is>
      </c>
    </row>
    <row r="147">
      <c r="A147" t="inlineStr">
        <is>
          <t>Links</t>
        </is>
      </c>
      <c r="B147" t="inlineStr">
        <is>
          <t>z_if_name</t>
        </is>
      </c>
      <c r="C147" t="inlineStr">
        <is>
          <t>Required</t>
        </is>
      </c>
      <c r="D147" t="inlineStr">
        <is>
          <t>text</t>
        </is>
      </c>
      <c r="E147" s="2" t="inlineStr"/>
      <c r="F147" t="inlineStr">
        <is>
          <t>Link.zIf</t>
        </is>
      </c>
      <c r="G147" s="2" t="inlineStr"/>
      <c r="H147" t="inlineStr">
        <is>
          <t>et-0/1/0</t>
        </is>
      </c>
    </row>
    <row r="148">
      <c r="A148" t="inlineStr">
        <is>
          <t>Links</t>
        </is>
      </c>
      <c r="B148" t="inlineStr">
        <is>
          <t>role</t>
        </is>
      </c>
      <c r="C148" t="inlineStr">
        <is>
          <t>Required</t>
        </is>
      </c>
      <c r="D148" t="inlineStr">
        <is>
          <t>list</t>
        </is>
      </c>
      <c r="E148" s="2" t="inlineStr">
        <is>
          <t>Fabric, Uplink, Backhaul, Peering, Access</t>
        </is>
      </c>
      <c r="F148" t="inlineStr">
        <is>
          <t>Link.role</t>
        </is>
      </c>
      <c r="G148" s="2" t="inlineStr">
        <is>
          <t>Fabric (inside a fabric), Uplink, Backhaul (leaves the site), Peering, Access (to a host / customer).</t>
        </is>
      </c>
      <c r="H148" t="inlineStr">
        <is>
          <t>Fabric</t>
        </is>
      </c>
    </row>
    <row r="149">
      <c r="A149" t="inlineStr">
        <is>
          <t>Links</t>
        </is>
      </c>
      <c r="B149" t="inlineStr">
        <is>
          <t>protocol</t>
        </is>
      </c>
      <c r="C149" t="inlineStr">
        <is>
          <t>Optional</t>
        </is>
      </c>
      <c r="D149" t="inlineStr">
        <is>
          <t>list</t>
        </is>
      </c>
      <c r="E149" s="2" t="inlineStr">
        <is>
          <t>LLDP, OSPF, BGP, ISIS, LSP</t>
        </is>
      </c>
      <c r="F149" t="inlineStr">
        <is>
          <t>Link.protocol</t>
        </is>
      </c>
      <c r="G149" s="2" t="inlineStr">
        <is>
          <t>Default LLDP (physical). Add BGP / OSPF rows for routing adjacencies if needed.</t>
        </is>
      </c>
      <c r="H149" t="inlineStr">
        <is>
          <t>LLDP</t>
        </is>
      </c>
    </row>
    <row r="150">
      <c r="A150" t="inlineStr">
        <is>
          <t>Links</t>
        </is>
      </c>
      <c r="B150" t="inlineStr">
        <is>
          <t>capacity_mbps</t>
        </is>
      </c>
      <c r="C150" t="inlineStr">
        <is>
          <t>Required</t>
        </is>
      </c>
      <c r="D150" t="inlineStr">
        <is>
          <t>integer</t>
        </is>
      </c>
      <c r="E150" s="2" t="inlineStr"/>
      <c r="F150" t="inlineStr">
        <is>
          <t>Link.capacityMbps</t>
        </is>
      </c>
      <c r="G150" s="2" t="inlineStr"/>
      <c r="H150" t="inlineStr">
        <is>
          <t>100000</t>
        </is>
      </c>
    </row>
    <row r="151">
      <c r="A151" t="inlineStr">
        <is>
          <t>Links</t>
        </is>
      </c>
      <c r="B151" t="inlineStr">
        <is>
          <t>cable_id</t>
        </is>
      </c>
      <c r="C151" t="inlineStr">
        <is>
          <t>Optional</t>
        </is>
      </c>
      <c r="D151" t="inlineStr">
        <is>
          <t>text</t>
        </is>
      </c>
      <c r="E151" s="2" t="inlineStr"/>
      <c r="F151" t="inlineStr">
        <is>
          <t>Link.physical.cable</t>
        </is>
      </c>
      <c r="G151" s="2" t="inlineStr">
        <is>
          <t>Cross-connect jumper or cable label. The full patching of each end goes in Cable_Paths.</t>
        </is>
      </c>
      <c r="H151" t="inlineStr">
        <is>
          <t>MH-DC-001-CBL-0001</t>
        </is>
      </c>
    </row>
    <row r="152">
      <c r="A152" t="inlineStr">
        <is>
          <t>Links</t>
        </is>
      </c>
      <c r="B152" t="inlineStr">
        <is>
          <t>strand</t>
        </is>
      </c>
      <c r="C152" t="inlineStr">
        <is>
          <t>Optional</t>
        </is>
      </c>
      <c r="D152" t="inlineStr">
        <is>
          <t>text</t>
        </is>
      </c>
      <c r="E152" s="2" t="inlineStr"/>
      <c r="F152" t="inlineStr">
        <is>
          <t>Link.physical.strand</t>
        </is>
      </c>
      <c r="G152" s="2" t="inlineStr">
        <is>
          <t>Fibre strand or pair.</t>
        </is>
      </c>
      <c r="H152" t="inlineStr">
        <is>
          <t>Red</t>
        </is>
      </c>
    </row>
    <row r="153">
      <c r="A153" t="inlineStr">
        <is>
          <t>Links</t>
        </is>
      </c>
      <c r="B153" t="inlineStr">
        <is>
          <t>a_patch_port</t>
        </is>
      </c>
      <c r="C153" t="inlineStr">
        <is>
          <t>Optional</t>
        </is>
      </c>
      <c r="D153" t="inlineStr">
        <is>
          <t>text</t>
        </is>
      </c>
      <c r="E153" s="2" t="inlineStr"/>
      <c r="F153" t="inlineStr">
        <is>
          <t>Link.physical.aPort</t>
        </is>
      </c>
      <c r="G153" s="2" t="inlineStr">
        <is>
          <t>Older exports only: superseded by Cable_Paths.</t>
        </is>
      </c>
      <c r="H153" t="inlineStr">
        <is>
          <t>ODF-2/P24</t>
        </is>
      </c>
    </row>
    <row r="154">
      <c r="A154" t="inlineStr">
        <is>
          <t>Links</t>
        </is>
      </c>
      <c r="B154" t="inlineStr">
        <is>
          <t>z_patch_port</t>
        </is>
      </c>
      <c r="C154" t="inlineStr">
        <is>
          <t>Optional</t>
        </is>
      </c>
      <c r="D154" t="inlineStr">
        <is>
          <t>text</t>
        </is>
      </c>
      <c r="E154" s="2" t="inlineStr"/>
      <c r="F154" t="inlineStr">
        <is>
          <t>Link.physical.zPort</t>
        </is>
      </c>
      <c r="G154" s="2" t="inlineStr">
        <is>
          <t>Older exports only: superseded by Cable_Paths.</t>
        </is>
      </c>
      <c r="H154" t="inlineStr">
        <is>
          <t>ODF-2/P15</t>
        </is>
      </c>
    </row>
    <row r="155">
      <c r="A155" t="inlineStr">
        <is>
          <t>Links</t>
        </is>
      </c>
      <c r="B155" t="inlineStr">
        <is>
          <t>carrier_circuit_id</t>
        </is>
      </c>
      <c r="C155" t="inlineStr">
        <is>
          <t>Conditional</t>
        </is>
      </c>
      <c r="D155" t="inlineStr">
        <is>
          <t>text</t>
        </is>
      </c>
      <c r="E155" s="2" t="inlineStr"/>
      <c r="F155" t="inlineStr">
        <is>
          <t>(reference only)</t>
        </is>
      </c>
      <c r="G155" s="2" t="inlineStr">
        <is>
          <t>Backhaul: the carrier's circuit ID.</t>
        </is>
      </c>
      <c r="H155" t="inlineStr"/>
    </row>
    <row r="156">
      <c r="A156" t="inlineStr">
        <is>
          <t>Rack_PDUs</t>
        </is>
      </c>
      <c r="B156" t="inlineStr">
        <is>
          <t>pdu_id</t>
        </is>
      </c>
      <c r="C156" t="inlineStr">
        <is>
          <t>Required</t>
        </is>
      </c>
      <c r="D156" t="inlineStr">
        <is>
          <t>text</t>
        </is>
      </c>
      <c r="E156" s="2" t="inlineStr"/>
      <c r="F156" t="inlineStr">
        <is>
          <t>RackPdu.id</t>
        </is>
      </c>
      <c r="G156" s="2" t="inlineStr">
        <is>
          <t>Unique, for example MP-DC-001-A01-PDU-A.</t>
        </is>
      </c>
      <c r="H156" t="inlineStr">
        <is>
          <t>MH-DC-001-RACK-A-PDU-A</t>
        </is>
      </c>
    </row>
    <row r="157">
      <c r="A157" t="inlineStr">
        <is>
          <t>Rack_PDUs</t>
        </is>
      </c>
      <c r="B157" t="inlineStr">
        <is>
          <t>site_id</t>
        </is>
      </c>
      <c r="C157" t="inlineStr">
        <is>
          <t>Required</t>
        </is>
      </c>
      <c r="D157" t="inlineStr">
        <is>
          <t>ref</t>
        </is>
      </c>
      <c r="E157" s="2" t="inlineStr">
        <is>
          <t>an ID from Sites</t>
        </is>
      </c>
      <c r="F157" t="inlineStr">
        <is>
          <t>RackPdu.dcId</t>
        </is>
      </c>
      <c r="G157" s="2" t="inlineStr"/>
      <c r="H157" t="inlineStr">
        <is>
          <t>MH-DC-001</t>
        </is>
      </c>
    </row>
    <row r="158">
      <c r="A158" t="inlineStr">
        <is>
          <t>Rack_PDUs</t>
        </is>
      </c>
      <c r="B158" t="inlineStr">
        <is>
          <t>rack_id</t>
        </is>
      </c>
      <c r="C158" t="inlineStr">
        <is>
          <t>Required</t>
        </is>
      </c>
      <c r="D158" t="inlineStr">
        <is>
          <t>ref</t>
        </is>
      </c>
      <c r="E158" s="2" t="inlineStr">
        <is>
          <t>an ID from Racks</t>
        </is>
      </c>
      <c r="F158" t="inlineStr">
        <is>
          <t>RackPdu.rackId</t>
        </is>
      </c>
      <c r="G158" s="2" t="inlineStr"/>
      <c r="H158" t="inlineStr">
        <is>
          <t>MH-DC-001-RACK-A</t>
        </is>
      </c>
    </row>
    <row r="159">
      <c r="A159" t="inlineStr">
        <is>
          <t>Rack_PDUs</t>
        </is>
      </c>
      <c r="B159" t="inlineStr">
        <is>
          <t>side</t>
        </is>
      </c>
      <c r="C159" t="inlineStr">
        <is>
          <t>Required</t>
        </is>
      </c>
      <c r="D159" t="inlineStr">
        <is>
          <t>list</t>
        </is>
      </c>
      <c r="E159" s="2" t="inlineStr">
        <is>
          <t>A, B</t>
        </is>
      </c>
      <c r="F159" t="inlineStr">
        <is>
          <t>RackPdu.side</t>
        </is>
      </c>
      <c r="G159" s="2" t="inlineStr">
        <is>
          <t>A or B. Each side should be rated for the whole cabinet, so the cabinet survives the loss of either side.</t>
        </is>
      </c>
      <c r="H159" t="inlineStr">
        <is>
          <t>A</t>
        </is>
      </c>
    </row>
    <row r="160">
      <c r="A160" t="inlineStr">
        <is>
          <t>Rack_PDUs</t>
        </is>
      </c>
      <c r="B160" t="inlineStr">
        <is>
          <t>kind</t>
        </is>
      </c>
      <c r="C160" t="inlineStr">
        <is>
          <t>Required</t>
        </is>
      </c>
      <c r="D160" t="inlineStr">
        <is>
          <t>list</t>
        </is>
      </c>
      <c r="E160" s="2" t="inlineStr">
        <is>
          <t>AC, DC</t>
        </is>
      </c>
      <c r="F160" t="inlineStr">
        <is>
          <t>RackPdu.kind</t>
        </is>
      </c>
      <c r="G160" s="2" t="inlineStr">
        <is>
          <t>AC rack PDU, or DC fuse panel fed from the rectifier plant.</t>
        </is>
      </c>
      <c r="H160" t="inlineStr">
        <is>
          <t>AC</t>
        </is>
      </c>
    </row>
    <row r="161">
      <c r="A161" t="inlineStr">
        <is>
          <t>Rack_PDUs</t>
        </is>
      </c>
      <c r="B161" t="inlineStr">
        <is>
          <t>model</t>
        </is>
      </c>
      <c r="C161" t="inlineStr">
        <is>
          <t>Optional</t>
        </is>
      </c>
      <c r="D161" t="inlineStr">
        <is>
          <t>text</t>
        </is>
      </c>
      <c r="E161" s="2" t="inlineStr"/>
      <c r="F161" t="inlineStr">
        <is>
          <t>RackPdu.model</t>
        </is>
      </c>
      <c r="G161" s="2" t="inlineStr">
        <is>
          <t>Vendor and model, for example "Raritan PX3-5902V".</t>
        </is>
      </c>
      <c r="H161" t="inlineStr">
        <is>
          <t>Switched rack PDU · 3-ph 32 A · 400 V</t>
        </is>
      </c>
    </row>
    <row r="162">
      <c r="A162" t="inlineStr">
        <is>
          <t>Rack_PDUs</t>
        </is>
      </c>
      <c r="B162" t="inlineStr">
        <is>
          <t>volts</t>
        </is>
      </c>
      <c r="C162" t="inlineStr">
        <is>
          <t>Required</t>
        </is>
      </c>
      <c r="D162" t="inlineStr">
        <is>
          <t>decimal</t>
        </is>
      </c>
      <c r="E162" s="2" t="inlineStr"/>
      <c r="F162" t="inlineStr">
        <is>
          <t>RackPdu.volts</t>
        </is>
      </c>
      <c r="G162" s="2" t="inlineStr">
        <is>
          <t>230, 400 (3-phase) or 48 (DC).</t>
        </is>
      </c>
      <c r="H162" t="inlineStr">
        <is>
          <t>400</t>
        </is>
      </c>
    </row>
    <row r="163">
      <c r="A163" t="inlineStr">
        <is>
          <t>Rack_PDUs</t>
        </is>
      </c>
      <c r="B163" t="inlineStr">
        <is>
          <t>phases</t>
        </is>
      </c>
      <c r="C163" t="inlineStr">
        <is>
          <t>Required</t>
        </is>
      </c>
      <c r="D163" t="inlineStr">
        <is>
          <t>integer</t>
        </is>
      </c>
      <c r="E163" s="2" t="inlineStr"/>
      <c r="F163" t="inlineStr">
        <is>
          <t>RackPdu.phases</t>
        </is>
      </c>
      <c r="G163" s="2" t="inlineStr">
        <is>
          <t>1 or 3.</t>
        </is>
      </c>
      <c r="H163" t="inlineStr">
        <is>
          <t>3</t>
        </is>
      </c>
    </row>
    <row r="164">
      <c r="A164" t="inlineStr">
        <is>
          <t>Rack_PDUs</t>
        </is>
      </c>
      <c r="B164" t="inlineStr">
        <is>
          <t>rating_a</t>
        </is>
      </c>
      <c r="C164" t="inlineStr">
        <is>
          <t>Required</t>
        </is>
      </c>
      <c r="D164" t="inlineStr">
        <is>
          <t>decimal</t>
        </is>
      </c>
      <c r="E164" s="2" t="inlineStr"/>
      <c r="F164" t="inlineStr">
        <is>
          <t>RackPdu.ratingA</t>
        </is>
      </c>
      <c r="G164" s="2" t="inlineStr">
        <is>
          <t>Input breaker rating per phase (A).</t>
        </is>
      </c>
      <c r="H164" t="inlineStr">
        <is>
          <t>32</t>
        </is>
      </c>
    </row>
    <row r="165">
      <c r="A165" t="inlineStr">
        <is>
          <t>Rack_PDUs</t>
        </is>
      </c>
      <c r="B165" t="inlineStr">
        <is>
          <t>capacity_kw</t>
        </is>
      </c>
      <c r="C165" t="inlineStr">
        <is>
          <t>Required</t>
        </is>
      </c>
      <c r="D165" t="inlineStr">
        <is>
          <t>decimal</t>
        </is>
      </c>
      <c r="E165" s="2" t="inlineStr"/>
      <c r="F165" t="inlineStr">
        <is>
          <t>RackPdu.capacityKw</t>
        </is>
      </c>
      <c r="G165" s="2" t="inlineStr">
        <is>
          <t>What one side can carry. The tool checks the cabinet's draw against it for failover.</t>
        </is>
      </c>
      <c r="H165" t="inlineStr">
        <is>
          <t>15</t>
        </is>
      </c>
    </row>
    <row r="166">
      <c r="A166" t="inlineStr">
        <is>
          <t>Rack_PDUs</t>
        </is>
      </c>
      <c r="B166" t="inlineStr">
        <is>
          <t>outlets</t>
        </is>
      </c>
      <c r="C166" t="inlineStr">
        <is>
          <t>Required</t>
        </is>
      </c>
      <c r="D166" t="inlineStr">
        <is>
          <t>integer</t>
        </is>
      </c>
      <c r="E166" s="2" t="inlineStr"/>
      <c r="F166" t="inlineStr">
        <is>
          <t>RackPdu.outlets</t>
        </is>
      </c>
      <c r="G166" s="2" t="inlineStr">
        <is>
          <t>Number of outlets (C13 / C19).</t>
        </is>
      </c>
      <c r="H166" t="inlineStr">
        <is>
          <t>36</t>
        </is>
      </c>
    </row>
    <row r="167">
      <c r="A167" t="inlineStr">
        <is>
          <t>Rack_PDUs</t>
        </is>
      </c>
      <c r="B167" t="inlineStr">
        <is>
          <t>upstream_id</t>
        </is>
      </c>
      <c r="C167" t="inlineStr">
        <is>
          <t>Required</t>
        </is>
      </c>
      <c r="D167" t="inlineStr">
        <is>
          <t>ref</t>
        </is>
      </c>
      <c r="E167" s="2" t="inlineStr">
        <is>
          <t>an ID from UPS / DC_Plant</t>
        </is>
      </c>
      <c r="F167" t="inlineStr">
        <is>
          <t>RackPdu.upstreamId</t>
        </is>
      </c>
      <c r="G167" s="2" t="inlineStr">
        <is>
          <t>The UPS module (AC) or rectifier (DC) feeding this PDU: this is how a UPS fault is traced to devices.</t>
        </is>
      </c>
      <c r="H167" t="inlineStr">
        <is>
          <t>MH-DC-001-UPS-2</t>
        </is>
      </c>
    </row>
    <row r="168">
      <c r="A168" t="inlineStr">
        <is>
          <t>Rack_PDUs</t>
        </is>
      </c>
      <c r="B168" t="inlineStr">
        <is>
          <t>feed_id</t>
        </is>
      </c>
      <c r="C168" t="inlineStr">
        <is>
          <t>Required</t>
        </is>
      </c>
      <c r="D168" t="inlineStr">
        <is>
          <t>ref</t>
        </is>
      </c>
      <c r="E168" s="2" t="inlineStr">
        <is>
          <t>an ID from Power_Feeds</t>
        </is>
      </c>
      <c r="F168" t="inlineStr">
        <is>
          <t>RackPdu.feedId</t>
        </is>
      </c>
      <c r="G168" s="2" t="inlineStr">
        <is>
          <t>Utility feed behind that UPS.</t>
        </is>
      </c>
      <c r="H168" t="inlineStr">
        <is>
          <t>MH-DC-001-AC-1</t>
        </is>
      </c>
    </row>
    <row r="169">
      <c r="A169" t="inlineStr">
        <is>
          <t>Power_Connections</t>
        </is>
      </c>
      <c r="B169" t="inlineStr">
        <is>
          <t>device_id</t>
        </is>
      </c>
      <c r="C169" t="inlineStr">
        <is>
          <t>Required</t>
        </is>
      </c>
      <c r="D169" t="inlineStr">
        <is>
          <t>ref</t>
        </is>
      </c>
      <c r="E169" s="2" t="inlineStr">
        <is>
          <t>an ID from Devices</t>
        </is>
      </c>
      <c r="F169" t="inlineStr">
        <is>
          <t>PowerCord.neId</t>
        </is>
      </c>
      <c r="G169" s="2" t="inlineStr"/>
      <c r="H169" t="inlineStr">
        <is>
          <t>MH-DC-001-PE-T4-01</t>
        </is>
      </c>
    </row>
    <row r="170">
      <c r="A170" t="inlineStr">
        <is>
          <t>Power_Connections</t>
        </is>
      </c>
      <c r="B170" t="inlineStr">
        <is>
          <t>psu_slot</t>
        </is>
      </c>
      <c r="C170" t="inlineStr">
        <is>
          <t>Required</t>
        </is>
      </c>
      <c r="D170" t="inlineStr">
        <is>
          <t>text</t>
        </is>
      </c>
      <c r="E170" s="2" t="inlineStr"/>
      <c r="F170" t="inlineStr">
        <is>
          <t>PowerCord.psu</t>
        </is>
      </c>
      <c r="G170" s="2" t="inlineStr">
        <is>
          <t>As the device names it (PSU1, PEM0). Tenant gear: Feed A / Feed B.</t>
        </is>
      </c>
      <c r="H170" t="inlineStr">
        <is>
          <t>PEM0</t>
        </is>
      </c>
    </row>
    <row r="171">
      <c r="A171" t="inlineStr">
        <is>
          <t>Power_Connections</t>
        </is>
      </c>
      <c r="B171" t="inlineStr">
        <is>
          <t>pdu_id</t>
        </is>
      </c>
      <c r="C171" t="inlineStr">
        <is>
          <t>Required</t>
        </is>
      </c>
      <c r="D171" t="inlineStr">
        <is>
          <t>ref</t>
        </is>
      </c>
      <c r="E171" s="2" t="inlineStr">
        <is>
          <t>an ID from Rack_PDUs</t>
        </is>
      </c>
      <c r="F171" t="inlineStr">
        <is>
          <t>PowerCord.pduId</t>
        </is>
      </c>
      <c r="G171" s="2" t="inlineStr">
        <is>
          <t>A PDU in the same rack as the device.</t>
        </is>
      </c>
      <c r="H171" t="inlineStr">
        <is>
          <t>MH-DC-001-RACK-A-PDU-A</t>
        </is>
      </c>
    </row>
    <row r="172">
      <c r="A172" t="inlineStr">
        <is>
          <t>Power_Connections</t>
        </is>
      </c>
      <c r="B172" t="inlineStr">
        <is>
          <t>outlet</t>
        </is>
      </c>
      <c r="C172" t="inlineStr">
        <is>
          <t>Required</t>
        </is>
      </c>
      <c r="D172" t="inlineStr">
        <is>
          <t>integer</t>
        </is>
      </c>
      <c r="E172" s="2" t="inlineStr"/>
      <c r="F172" t="inlineStr">
        <is>
          <t>PowerCord.outlet</t>
        </is>
      </c>
      <c r="G172" s="2" t="inlineStr">
        <is>
          <t>Outlet number on that PDU.</t>
        </is>
      </c>
      <c r="H172" t="inlineStr">
        <is>
          <t>1</t>
        </is>
      </c>
    </row>
    <row r="173">
      <c r="A173" t="inlineStr">
        <is>
          <t>Power_Connections</t>
        </is>
      </c>
      <c r="B173" t="inlineStr">
        <is>
          <t>breaker_bank</t>
        </is>
      </c>
      <c r="C173" t="inlineStr">
        <is>
          <t>Optional</t>
        </is>
      </c>
      <c r="D173" t="inlineStr">
        <is>
          <t>text</t>
        </is>
      </c>
      <c r="E173" s="2" t="inlineStr"/>
      <c r="F173" t="inlineStr">
        <is>
          <t>PowerCord.bankId</t>
        </is>
      </c>
      <c r="G173" s="2" t="inlineStr">
        <is>
          <t>Phase or bank (L1, L2, L3). Leave blank to derive it from the outlet.</t>
        </is>
      </c>
      <c r="H173" t="inlineStr">
        <is>
          <t>L1</t>
        </is>
      </c>
    </row>
    <row r="174">
      <c r="A174" t="inlineStr">
        <is>
          <t>Power_Connections</t>
        </is>
      </c>
      <c r="B174" t="inlineStr">
        <is>
          <t>psu_rated_w</t>
        </is>
      </c>
      <c r="C174" t="inlineStr">
        <is>
          <t>Optional</t>
        </is>
      </c>
      <c r="D174" t="inlineStr">
        <is>
          <t>decimal</t>
        </is>
      </c>
      <c r="E174" s="2" t="inlineStr"/>
      <c r="F174" t="inlineStr">
        <is>
          <t>(reference only)</t>
        </is>
      </c>
      <c r="G174" s="2" t="inlineStr">
        <is>
          <t>Nameplate rating of the supply.</t>
        </is>
      </c>
      <c r="H174" t="inlineStr"/>
    </row>
    <row r="175">
      <c r="A175" t="inlineStr">
        <is>
          <t>Patch_Panels</t>
        </is>
      </c>
      <c r="B175" t="inlineStr">
        <is>
          <t>panel_id</t>
        </is>
      </c>
      <c r="C175" t="inlineStr">
        <is>
          <t>Required</t>
        </is>
      </c>
      <c r="D175" t="inlineStr">
        <is>
          <t>text</t>
        </is>
      </c>
      <c r="E175" s="2" t="inlineStr"/>
      <c r="F175" t="inlineStr">
        <is>
          <t>PatchPanel.id</t>
        </is>
      </c>
      <c r="G175" s="2" t="inlineStr">
        <is>
          <t>Unique, for example MP-DC-001-A01-PP-F1.</t>
        </is>
      </c>
      <c r="H175" t="inlineStr">
        <is>
          <t>MH-DC-001-RACK-B-PP-F1</t>
        </is>
      </c>
    </row>
    <row r="176">
      <c r="A176" t="inlineStr">
        <is>
          <t>Patch_Panels</t>
        </is>
      </c>
      <c r="B176" t="inlineStr">
        <is>
          <t>site_id</t>
        </is>
      </c>
      <c r="C176" t="inlineStr">
        <is>
          <t>Required</t>
        </is>
      </c>
      <c r="D176" t="inlineStr">
        <is>
          <t>ref</t>
        </is>
      </c>
      <c r="E176" s="2" t="inlineStr">
        <is>
          <t>an ID from Sites</t>
        </is>
      </c>
      <c r="F176" t="inlineStr">
        <is>
          <t>PatchPanel.dcId</t>
        </is>
      </c>
      <c r="G176" s="2" t="inlineStr"/>
      <c r="H176" t="inlineStr">
        <is>
          <t>MH-DC-001</t>
        </is>
      </c>
    </row>
    <row r="177">
      <c r="A177" t="inlineStr">
        <is>
          <t>Patch_Panels</t>
        </is>
      </c>
      <c r="B177" t="inlineStr">
        <is>
          <t>rack_id</t>
        </is>
      </c>
      <c r="C177" t="inlineStr">
        <is>
          <t>Required</t>
        </is>
      </c>
      <c r="D177" t="inlineStr">
        <is>
          <t>ref</t>
        </is>
      </c>
      <c r="E177" s="2" t="inlineStr">
        <is>
          <t>an ID from Racks</t>
        </is>
      </c>
      <c r="F177" t="inlineStr">
        <is>
          <t>PatchPanel.rackId</t>
        </is>
      </c>
      <c r="G177" s="2" t="inlineStr"/>
      <c r="H177" t="inlineStr">
        <is>
          <t>MH-DC-001-RACK-B</t>
        </is>
      </c>
    </row>
    <row r="178">
      <c r="A178" t="inlineStr">
        <is>
          <t>Patch_Panels</t>
        </is>
      </c>
      <c r="B178" t="inlineStr">
        <is>
          <t>name</t>
        </is>
      </c>
      <c r="C178" t="inlineStr">
        <is>
          <t>Required</t>
        </is>
      </c>
      <c r="D178" t="inlineStr">
        <is>
          <t>text</t>
        </is>
      </c>
      <c r="E178" s="2" t="inlineStr"/>
      <c r="F178" t="inlineStr">
        <is>
          <t>PatchPanel.name</t>
        </is>
      </c>
      <c r="G178" s="2" t="inlineStr">
        <is>
          <t>Label on the panel.</t>
        </is>
      </c>
      <c r="H178" t="inlineStr">
        <is>
          <t>PP-F1</t>
        </is>
      </c>
    </row>
    <row r="179">
      <c r="A179" t="inlineStr">
        <is>
          <t>Patch_Panels</t>
        </is>
      </c>
      <c r="B179" t="inlineStr">
        <is>
          <t>kind</t>
        </is>
      </c>
      <c r="C179" t="inlineStr">
        <is>
          <t>Required</t>
        </is>
      </c>
      <c r="D179" t="inlineStr">
        <is>
          <t>list</t>
        </is>
      </c>
      <c r="E179" s="2" t="inlineStr">
        <is>
          <t>LC duplex, MPO, RJ45</t>
        </is>
      </c>
      <c r="F179" t="inlineStr">
        <is>
          <t>PatchPanel.kind</t>
        </is>
      </c>
      <c r="G179" s="2" t="inlineStr">
        <is>
          <t>LC duplex (fibre), MPO (high-density fibre) or RJ45 (copper).</t>
        </is>
      </c>
      <c r="H179" t="inlineStr">
        <is>
          <t>LC duplex</t>
        </is>
      </c>
    </row>
    <row r="180">
      <c r="A180" t="inlineStr">
        <is>
          <t>Patch_Panels</t>
        </is>
      </c>
      <c r="B180" t="inlineStr">
        <is>
          <t>role</t>
        </is>
      </c>
      <c r="C180" t="inlineStr">
        <is>
          <t>Required</t>
        </is>
      </c>
      <c r="D180" t="inlineStr">
        <is>
          <t>list</t>
        </is>
      </c>
      <c r="E180" s="2" t="inlineStr">
        <is>
          <t>rack, odf</t>
        </is>
      </c>
      <c r="F180" t="inlineStr">
        <is>
          <t>PatchPanel.role</t>
        </is>
      </c>
      <c r="G180" s="2" t="inlineStr">
        <is>
          <t>rack = top of a cabinet; odf = in the site's patching / main distribution rack.</t>
        </is>
      </c>
      <c r="H180" t="inlineStr">
        <is>
          <t>rack</t>
        </is>
      </c>
    </row>
    <row r="181">
      <c r="A181" t="inlineStr">
        <is>
          <t>Patch_Panels</t>
        </is>
      </c>
      <c r="B181" t="inlineStr">
        <is>
          <t>ports</t>
        </is>
      </c>
      <c r="C181" t="inlineStr">
        <is>
          <t>Required</t>
        </is>
      </c>
      <c r="D181" t="inlineStr">
        <is>
          <t>integer</t>
        </is>
      </c>
      <c r="E181" s="2" t="inlineStr"/>
      <c r="F181" t="inlineStr">
        <is>
          <t>PatchPanel.ports</t>
        </is>
      </c>
      <c r="G181" s="2" t="inlineStr"/>
      <c r="H181" t="inlineStr">
        <is>
          <t>24</t>
        </is>
      </c>
    </row>
    <row r="182">
      <c r="A182" t="inlineStr">
        <is>
          <t>Trunk_Cables</t>
        </is>
      </c>
      <c r="B182" t="inlineStr">
        <is>
          <t>trunk_id</t>
        </is>
      </c>
      <c r="C182" t="inlineStr">
        <is>
          <t>Required</t>
        </is>
      </c>
      <c r="D182" t="inlineStr">
        <is>
          <t>text</t>
        </is>
      </c>
      <c r="E182" s="2" t="inlineStr"/>
      <c r="F182" t="inlineStr">
        <is>
          <t>Trunk.id</t>
        </is>
      </c>
      <c r="G182" s="2" t="inlineStr"/>
      <c r="H182" t="inlineStr">
        <is>
          <t>MH-DC-001-RACK-B-TRK-1</t>
        </is>
      </c>
    </row>
    <row r="183">
      <c r="A183" t="inlineStr">
        <is>
          <t>Trunk_Cables</t>
        </is>
      </c>
      <c r="B183" t="inlineStr">
        <is>
          <t>site_id</t>
        </is>
      </c>
      <c r="C183" t="inlineStr">
        <is>
          <t>Required</t>
        </is>
      </c>
      <c r="D183" t="inlineStr">
        <is>
          <t>ref</t>
        </is>
      </c>
      <c r="E183" s="2" t="inlineStr">
        <is>
          <t>an ID from Sites</t>
        </is>
      </c>
      <c r="F183" t="inlineStr">
        <is>
          <t>Trunk.dcId</t>
        </is>
      </c>
      <c r="G183" s="2" t="inlineStr"/>
      <c r="H183" t="inlineStr">
        <is>
          <t>MH-DC-001</t>
        </is>
      </c>
    </row>
    <row r="184">
      <c r="A184" t="inlineStr">
        <is>
          <t>Trunk_Cables</t>
        </is>
      </c>
      <c r="B184" t="inlineStr">
        <is>
          <t>a_panel_id</t>
        </is>
      </c>
      <c r="C184" t="inlineStr">
        <is>
          <t>Required</t>
        </is>
      </c>
      <c r="D184" t="inlineStr">
        <is>
          <t>ref</t>
        </is>
      </c>
      <c r="E184" s="2" t="inlineStr">
        <is>
          <t>an ID from Patch_Panels</t>
        </is>
      </c>
      <c r="F184" t="inlineStr">
        <is>
          <t>Trunk.aPanel</t>
        </is>
      </c>
      <c r="G184" s="2" t="inlineStr"/>
      <c r="H184" t="inlineStr">
        <is>
          <t>MH-DC-001-RACK-B-PP-F1</t>
        </is>
      </c>
    </row>
    <row r="185">
      <c r="A185" t="inlineStr">
        <is>
          <t>Trunk_Cables</t>
        </is>
      </c>
      <c r="B185" t="inlineStr">
        <is>
          <t>z_panel_id</t>
        </is>
      </c>
      <c r="C185" t="inlineStr">
        <is>
          <t>Required</t>
        </is>
      </c>
      <c r="D185" t="inlineStr">
        <is>
          <t>ref</t>
        </is>
      </c>
      <c r="E185" s="2" t="inlineStr">
        <is>
          <t>an ID from Patch_Panels</t>
        </is>
      </c>
      <c r="F185" t="inlineStr">
        <is>
          <t>Trunk.zPanel</t>
        </is>
      </c>
      <c r="G185" s="2" t="inlineStr"/>
      <c r="H185" t="inlineStr">
        <is>
          <t>MH-DC-001-RACK-T-ODF-1</t>
        </is>
      </c>
    </row>
    <row r="186">
      <c r="A186" t="inlineStr">
        <is>
          <t>Trunk_Cables</t>
        </is>
      </c>
      <c r="B186" t="inlineStr">
        <is>
          <t>kind</t>
        </is>
      </c>
      <c r="C186" t="inlineStr">
        <is>
          <t>Required</t>
        </is>
      </c>
      <c r="D186" t="inlineStr">
        <is>
          <t>text</t>
        </is>
      </c>
      <c r="E186" s="2" t="inlineStr"/>
      <c r="F186" t="inlineStr">
        <is>
          <t>Trunk.kind</t>
        </is>
      </c>
      <c r="G186" s="2" t="inlineStr">
        <is>
          <t>For example "MPO-24 OM4 trunk" or "Cat6A 24-cable bundle".</t>
        </is>
      </c>
      <c r="H186" t="inlineStr">
        <is>
          <t>MPO-24 OM4 trunk × 2</t>
        </is>
      </c>
    </row>
    <row r="187">
      <c r="A187" t="inlineStr">
        <is>
          <t>Trunk_Cables</t>
        </is>
      </c>
      <c r="B187" t="inlineStr">
        <is>
          <t>pairs</t>
        </is>
      </c>
      <c r="C187" t="inlineStr">
        <is>
          <t>Required</t>
        </is>
      </c>
      <c r="D187" t="inlineStr">
        <is>
          <t>integer</t>
        </is>
      </c>
      <c r="E187" s="2" t="inlineStr"/>
      <c r="F187" t="inlineStr">
        <is>
          <t>Trunk.pairs</t>
        </is>
      </c>
      <c r="G187" s="2" t="inlineStr">
        <is>
          <t>Duplex pairs (fibre) or cables (copper).</t>
        </is>
      </c>
      <c r="H187" t="inlineStr">
        <is>
          <t>24</t>
        </is>
      </c>
    </row>
    <row r="188">
      <c r="A188" t="inlineStr">
        <is>
          <t>Trunk_Cables</t>
        </is>
      </c>
      <c r="B188" t="inlineStr">
        <is>
          <t>route</t>
        </is>
      </c>
      <c r="C188" t="inlineStr">
        <is>
          <t>Required</t>
        </is>
      </c>
      <c r="D188" t="inlineStr">
        <is>
          <t>list</t>
        </is>
      </c>
      <c r="E188" s="2" t="inlineStr">
        <is>
          <t>Tray route 1, Tray route 2</t>
        </is>
      </c>
      <c r="F188" t="inlineStr">
        <is>
          <t>Trunk.route</t>
        </is>
      </c>
      <c r="G188" s="2" t="inlineStr">
        <is>
          <t>Tray route. Two diverse routes let dual-homed devices survive one cut tray.</t>
        </is>
      </c>
      <c r="H188" t="inlineStr">
        <is>
          <t>Tray route 1</t>
        </is>
      </c>
    </row>
    <row r="189">
      <c r="A189" t="inlineStr">
        <is>
          <t>Trunk_Cables</t>
        </is>
      </c>
      <c r="B189" t="inlineStr">
        <is>
          <t>length_m</t>
        </is>
      </c>
      <c r="C189" t="inlineStr">
        <is>
          <t>Optional</t>
        </is>
      </c>
      <c r="D189" t="inlineStr">
        <is>
          <t>decimal</t>
        </is>
      </c>
      <c r="E189" s="2" t="inlineStr"/>
      <c r="F189" t="inlineStr">
        <is>
          <t>Trunk.lengthM</t>
        </is>
      </c>
      <c r="G189" s="2" t="inlineStr"/>
      <c r="H189" t="inlineStr">
        <is>
          <t>50</t>
        </is>
      </c>
    </row>
    <row r="190">
      <c r="A190" t="inlineStr">
        <is>
          <t>Cable_Paths</t>
        </is>
      </c>
      <c r="B190" t="inlineStr">
        <is>
          <t>link_id</t>
        </is>
      </c>
      <c r="C190" t="inlineStr">
        <is>
          <t>Required</t>
        </is>
      </c>
      <c r="D190" t="inlineStr">
        <is>
          <t>ref</t>
        </is>
      </c>
      <c r="E190" s="2" t="inlineStr">
        <is>
          <t>an ID from Links</t>
        </is>
      </c>
      <c r="F190" t="inlineStr">
        <is>
          <t>CablePath.linkId</t>
        </is>
      </c>
      <c r="G190" s="2" t="inlineStr"/>
      <c r="H190" t="inlineStr">
        <is>
          <t>LNK-00001</t>
        </is>
      </c>
    </row>
    <row r="191">
      <c r="A191" t="inlineStr">
        <is>
          <t>Cable_Paths</t>
        </is>
      </c>
      <c r="B191" t="inlineStr">
        <is>
          <t>end</t>
        </is>
      </c>
      <c r="C191" t="inlineStr">
        <is>
          <t>Required</t>
        </is>
      </c>
      <c r="D191" t="inlineStr">
        <is>
          <t>list</t>
        </is>
      </c>
      <c r="E191" s="2" t="inlineStr">
        <is>
          <t>A, Z</t>
        </is>
      </c>
      <c r="F191" t="inlineStr">
        <is>
          <t>(A / Z end)</t>
        </is>
      </c>
      <c r="G191" s="2" t="inlineStr">
        <is>
          <t>A = the a_device of the link, Z = the z_device.</t>
        </is>
      </c>
      <c r="H191" t="inlineStr">
        <is>
          <t>A</t>
        </is>
      </c>
    </row>
    <row r="192">
      <c r="A192" t="inlineStr">
        <is>
          <t>Cable_Paths</t>
        </is>
      </c>
      <c r="B192" t="inlineStr">
        <is>
          <t>device_id</t>
        </is>
      </c>
      <c r="C192" t="inlineStr">
        <is>
          <t>Required</t>
        </is>
      </c>
      <c r="D192" t="inlineStr">
        <is>
          <t>ref</t>
        </is>
      </c>
      <c r="E192" s="2" t="inlineStr">
        <is>
          <t>an ID from Devices</t>
        </is>
      </c>
      <c r="F192" t="inlineStr">
        <is>
          <t>CableHop (port)</t>
        </is>
      </c>
      <c r="G192" s="2" t="inlineStr"/>
      <c r="H192" t="inlineStr">
        <is>
          <t>MH-DC-001-PE-T4-01</t>
        </is>
      </c>
    </row>
    <row r="193">
      <c r="A193" t="inlineStr">
        <is>
          <t>Cable_Paths</t>
        </is>
      </c>
      <c r="B193" t="inlineStr">
        <is>
          <t>patch_cord_id</t>
        </is>
      </c>
      <c r="C193" t="inlineStr">
        <is>
          <t>Optional</t>
        </is>
      </c>
      <c r="D193" t="inlineStr">
        <is>
          <t>text</t>
        </is>
      </c>
      <c r="E193" s="2" t="inlineStr"/>
      <c r="F193" t="inlineStr">
        <is>
          <t>CableHop (cord)</t>
        </is>
      </c>
      <c r="G193" s="2" t="inlineStr">
        <is>
          <t>Label on the patch cord or DAC / AOC cable.</t>
        </is>
      </c>
      <c r="H193" t="inlineStr">
        <is>
          <t>MH-DC-001-PC-00001</t>
        </is>
      </c>
    </row>
    <row r="194">
      <c r="A194" t="inlineStr">
        <is>
          <t>Cable_Paths</t>
        </is>
      </c>
      <c r="B194" t="inlineStr">
        <is>
          <t>panel_id</t>
        </is>
      </c>
      <c r="C194" t="inlineStr">
        <is>
          <t>Conditional</t>
        </is>
      </c>
      <c r="D194" t="inlineStr">
        <is>
          <t>ref</t>
        </is>
      </c>
      <c r="E194" s="2" t="inlineStr">
        <is>
          <t>an ID from Patch_Panels</t>
        </is>
      </c>
      <c r="F194" t="inlineStr">
        <is>
          <t>CableHop (panel)</t>
        </is>
      </c>
      <c r="G194" s="2" t="inlineStr">
        <is>
          <t>Required when the cable leaves the cabinet: the cabinet's patch panel.</t>
        </is>
      </c>
      <c r="H194" t="inlineStr">
        <is>
          <t>MH-DC-001-RACK-B-PP-F1</t>
        </is>
      </c>
    </row>
    <row r="195">
      <c r="A195" t="inlineStr">
        <is>
          <t>Cable_Paths</t>
        </is>
      </c>
      <c r="B195" t="inlineStr">
        <is>
          <t>panel_port</t>
        </is>
      </c>
      <c r="C195" t="inlineStr">
        <is>
          <t>Conditional</t>
        </is>
      </c>
      <c r="D195" t="inlineStr">
        <is>
          <t>integer</t>
        </is>
      </c>
      <c r="E195" s="2" t="inlineStr"/>
      <c r="F195" t="inlineStr">
        <is>
          <t>CableHop (panel)</t>
        </is>
      </c>
      <c r="G195" s="2" t="inlineStr"/>
      <c r="H195" t="inlineStr">
        <is>
          <t>1</t>
        </is>
      </c>
    </row>
    <row r="196">
      <c r="A196" t="inlineStr">
        <is>
          <t>Cable_Paths</t>
        </is>
      </c>
      <c r="B196" t="inlineStr">
        <is>
          <t>trunk_id</t>
        </is>
      </c>
      <c r="C196" t="inlineStr">
        <is>
          <t>Conditional</t>
        </is>
      </c>
      <c r="D196" t="inlineStr">
        <is>
          <t>ref</t>
        </is>
      </c>
      <c r="E196" s="2" t="inlineStr">
        <is>
          <t>an ID from Trunk_Cables</t>
        </is>
      </c>
      <c r="F196" t="inlineStr">
        <is>
          <t>CableHop (trunk)</t>
        </is>
      </c>
      <c r="G196" s="2" t="inlineStr">
        <is>
          <t>Trunk from that panel to the ODF.</t>
        </is>
      </c>
      <c r="H196" t="inlineStr">
        <is>
          <t>MH-DC-001-RACK-B-TRK-1</t>
        </is>
      </c>
    </row>
    <row r="197">
      <c r="A197" t="inlineStr">
        <is>
          <t>Cable_Paths</t>
        </is>
      </c>
      <c r="B197" t="inlineStr">
        <is>
          <t>odf_panel_id</t>
        </is>
      </c>
      <c r="C197" t="inlineStr">
        <is>
          <t>Conditional</t>
        </is>
      </c>
      <c r="D197" t="inlineStr">
        <is>
          <t>ref</t>
        </is>
      </c>
      <c r="E197" s="2" t="inlineStr">
        <is>
          <t>an ID from Patch_Panels</t>
        </is>
      </c>
      <c r="F197" t="inlineStr">
        <is>
          <t>CableHop (panel)</t>
        </is>
      </c>
      <c r="G197" s="2" t="inlineStr">
        <is>
          <t>ODF panel where the trunk lands; the cross-connect jumper is patched here.</t>
        </is>
      </c>
      <c r="H197" t="inlineStr">
        <is>
          <t>MH-DC-001-RACK-T-ODF-1</t>
        </is>
      </c>
    </row>
    <row r="198">
      <c r="A198" t="inlineStr">
        <is>
          <t>Cable_Paths</t>
        </is>
      </c>
      <c r="B198" t="inlineStr">
        <is>
          <t>odf_port</t>
        </is>
      </c>
      <c r="C198" t="inlineStr">
        <is>
          <t>Conditional</t>
        </is>
      </c>
      <c r="D198" t="inlineStr">
        <is>
          <t>integer</t>
        </is>
      </c>
      <c r="E198" s="2" t="inlineStr"/>
      <c r="F198" t="inlineStr">
        <is>
          <t>CableHop (panel)</t>
        </is>
      </c>
      <c r="G198" s="2" t="inlineStr"/>
      <c r="H198" t="inlineStr">
        <is>
          <t>1</t>
        </is>
      </c>
    </row>
    <row r="199">
      <c r="A199" t="inlineStr">
        <is>
          <t>Cable_Paths</t>
        </is>
      </c>
      <c r="B199" t="inlineStr">
        <is>
          <t>osp_core</t>
        </is>
      </c>
      <c r="C199" t="inlineStr">
        <is>
          <t>Conditional</t>
        </is>
      </c>
      <c r="D199" t="inlineStr">
        <is>
          <t>integer</t>
        </is>
      </c>
      <c r="E199" s="2" t="inlineStr"/>
      <c r="F199" t="inlineStr">
        <is>
          <t>CableHop (osp)</t>
        </is>
      </c>
      <c r="G199" s="2" t="inlineStr">
        <is>
          <t>Backhaul only: core of the outside-plant cable on the ODF.</t>
        </is>
      </c>
      <c r="H199" t="inlineStr"/>
    </row>
    <row r="200">
      <c r="A200" t="inlineStr">
        <is>
          <t>Cooling_Coverage</t>
        </is>
      </c>
      <c r="B200" t="inlineStr">
        <is>
          <t>rack_id</t>
        </is>
      </c>
      <c r="C200" t="inlineStr">
        <is>
          <t>Required</t>
        </is>
      </c>
      <c r="D200" t="inlineStr">
        <is>
          <t>ref</t>
        </is>
      </c>
      <c r="E200" s="2" t="inlineStr">
        <is>
          <t>an ID from Racks</t>
        </is>
      </c>
      <c r="F200" t="inlineStr">
        <is>
          <t>RackCooling.rackId</t>
        </is>
      </c>
      <c r="G200" s="2" t="inlineStr"/>
      <c r="H200" t="inlineStr">
        <is>
          <t>MH-DC-001-RACK-A</t>
        </is>
      </c>
    </row>
    <row r="201">
      <c r="A201" t="inlineStr">
        <is>
          <t>Cooling_Coverage</t>
        </is>
      </c>
      <c r="B201" t="inlineStr">
        <is>
          <t>primary_unit_id</t>
        </is>
      </c>
      <c r="C201" t="inlineStr">
        <is>
          <t>Required</t>
        </is>
      </c>
      <c r="D201" t="inlineStr">
        <is>
          <t>ref</t>
        </is>
      </c>
      <c r="E201" s="2" t="inlineStr">
        <is>
          <t>an ID from Cooling_Units</t>
        </is>
      </c>
      <c r="F201" t="inlineStr">
        <is>
          <t>RackCooling.primaryId</t>
        </is>
      </c>
      <c r="G201" s="2" t="inlineStr">
        <is>
          <t>The CRAH / CRAC this rack depends on first.</t>
        </is>
      </c>
      <c r="H201" t="inlineStr">
        <is>
          <t>MH-DC-001-CRAH-11</t>
        </is>
      </c>
    </row>
    <row r="202">
      <c r="A202" t="inlineStr">
        <is>
          <t>Cooling_Coverage</t>
        </is>
      </c>
      <c r="B202" t="inlineStr">
        <is>
          <t>cdu_id</t>
        </is>
      </c>
      <c r="C202" t="inlineStr">
        <is>
          <t>Conditional</t>
        </is>
      </c>
      <c r="D202" t="inlineStr">
        <is>
          <t>ref</t>
        </is>
      </c>
      <c r="E202" s="2" t="inlineStr">
        <is>
          <t>an ID from CDUs</t>
        </is>
      </c>
      <c r="F202" t="inlineStr">
        <is>
          <t>RackCooling.cduId</t>
        </is>
      </c>
      <c r="G202" s="2" t="inlineStr">
        <is>
          <t>Liquid-cooled racks.</t>
        </is>
      </c>
      <c r="H202" t="inlineStr">
        <is>
          <t>MH-DC-002-CDU-1</t>
        </is>
      </c>
    </row>
    <row r="203">
      <c r="A203" t="inlineStr">
        <is>
          <t>GPU_Clusters</t>
        </is>
      </c>
      <c r="B203" t="inlineStr">
        <is>
          <t>cluster_id</t>
        </is>
      </c>
      <c r="C203" t="inlineStr">
        <is>
          <t>Required</t>
        </is>
      </c>
      <c r="D203" t="inlineStr">
        <is>
          <t>text</t>
        </is>
      </c>
      <c r="E203" s="2" t="inlineStr"/>
      <c r="F203" t="inlineStr">
        <is>
          <t>GpuCluster.id</t>
        </is>
      </c>
      <c r="G203" s="2" t="inlineStr"/>
      <c r="H203" t="inlineStr"/>
    </row>
    <row r="204">
      <c r="A204" t="inlineStr">
        <is>
          <t>GPU_Clusters</t>
        </is>
      </c>
      <c r="B204" t="inlineStr">
        <is>
          <t>site_id</t>
        </is>
      </c>
      <c r="C204" t="inlineStr">
        <is>
          <t>Required</t>
        </is>
      </c>
      <c r="D204" t="inlineStr">
        <is>
          <t>ref</t>
        </is>
      </c>
      <c r="E204" s="2" t="inlineStr">
        <is>
          <t>an ID from Sites</t>
        </is>
      </c>
      <c r="F204" t="inlineStr">
        <is>
          <t>GpuCluster.dcId</t>
        </is>
      </c>
      <c r="G204" s="2" t="inlineStr"/>
      <c r="H204" t="inlineStr"/>
    </row>
    <row r="205">
      <c r="A205" t="inlineStr">
        <is>
          <t>GPU_Clusters</t>
        </is>
      </c>
      <c r="B205" t="inlineStr">
        <is>
          <t>room_id</t>
        </is>
      </c>
      <c r="C205" t="inlineStr">
        <is>
          <t>Required</t>
        </is>
      </c>
      <c r="D205" t="inlineStr">
        <is>
          <t>ref</t>
        </is>
      </c>
      <c r="E205" s="2" t="inlineStr">
        <is>
          <t>an ID from Rooms</t>
        </is>
      </c>
      <c r="F205" t="inlineStr">
        <is>
          <t>GpuCluster.room</t>
        </is>
      </c>
      <c r="G205" s="2" t="inlineStr"/>
      <c r="H205" t="inlineStr"/>
    </row>
    <row r="206">
      <c r="A206" t="inlineStr">
        <is>
          <t>GPU_Clusters</t>
        </is>
      </c>
      <c r="B206" t="inlineStr">
        <is>
          <t>name</t>
        </is>
      </c>
      <c r="C206" t="inlineStr">
        <is>
          <t>Required</t>
        </is>
      </c>
      <c r="D206" t="inlineStr">
        <is>
          <t>text</t>
        </is>
      </c>
      <c r="E206" s="2" t="inlineStr"/>
      <c r="F206" t="inlineStr">
        <is>
          <t>GpuCluster.name</t>
        </is>
      </c>
      <c r="G206" s="2" t="inlineStr"/>
      <c r="H206" t="inlineStr"/>
    </row>
    <row r="207">
      <c r="A207" t="inlineStr">
        <is>
          <t>GPU_Clusters</t>
        </is>
      </c>
      <c r="B207" t="inlineStr">
        <is>
          <t>scheduler</t>
        </is>
      </c>
      <c r="C207" t="inlineStr">
        <is>
          <t>Required</t>
        </is>
      </c>
      <c r="D207" t="inlineStr">
        <is>
          <t>list</t>
        </is>
      </c>
      <c r="E207" s="2" t="inlineStr">
        <is>
          <t>Kubernetes, Slurm</t>
        </is>
      </c>
      <c r="F207" t="inlineStr">
        <is>
          <t>GpuCluster.scheduler</t>
        </is>
      </c>
      <c r="G207" s="2" t="inlineStr"/>
      <c r="H207" t="inlineStr"/>
    </row>
    <row r="208">
      <c r="A208" t="inlineStr">
        <is>
          <t>GPU_Clusters</t>
        </is>
      </c>
      <c r="B208" t="inlineStr">
        <is>
          <t>fabric</t>
        </is>
      </c>
      <c r="C208" t="inlineStr">
        <is>
          <t>Required</t>
        </is>
      </c>
      <c r="D208" t="inlineStr">
        <is>
          <t>text</t>
        </is>
      </c>
      <c r="E208" s="2" t="inlineStr"/>
      <c r="F208" t="inlineStr">
        <is>
          <t>GpuCluster.fabric</t>
        </is>
      </c>
      <c r="G208" s="2" t="inlineStr">
        <is>
          <t>For example "InfiniBand NDR 400G, rail-optimised".</t>
        </is>
      </c>
      <c r="H208" t="inlineStr"/>
    </row>
    <row r="209">
      <c r="A209" t="inlineStr">
        <is>
          <t>GPU_Clusters</t>
        </is>
      </c>
      <c r="B209" t="inlineStr">
        <is>
          <t>gpu_model</t>
        </is>
      </c>
      <c r="C209" t="inlineStr">
        <is>
          <t>Required</t>
        </is>
      </c>
      <c r="D209" t="inlineStr">
        <is>
          <t>list</t>
        </is>
      </c>
      <c r="E209" s="2" t="inlineStr">
        <is>
          <t>B200 SXM 192 GB, H200 SXM 141 GB, H100 SXM 80 GB, A100 SXM 80 GB, L40S PCIe 48 GB, T4 PCIe 16 GB, Gaudi 3 OAM 128 GB, Max 1550 OAM 128 GB</t>
        </is>
      </c>
      <c r="F209" t="inlineStr">
        <is>
          <t>GpuCluster.model</t>
        </is>
      </c>
      <c r="G209" s="2" t="inlineStr">
        <is>
          <t>One model per cluster.</t>
        </is>
      </c>
      <c r="H209" t="inlineStr"/>
    </row>
    <row r="210">
      <c r="A210" t="inlineStr">
        <is>
          <t>GPU_Clusters</t>
        </is>
      </c>
      <c r="B210" t="inlineStr">
        <is>
          <t>cooling</t>
        </is>
      </c>
      <c r="C210" t="inlineStr">
        <is>
          <t>Required</t>
        </is>
      </c>
      <c r="D210" t="inlineStr">
        <is>
          <t>list</t>
        </is>
      </c>
      <c r="E210" s="2" t="inlineStr">
        <is>
          <t>air, liquid</t>
        </is>
      </c>
      <c r="F210" t="inlineStr">
        <is>
          <t>GpuCluster.cooling</t>
        </is>
      </c>
      <c r="G210" s="2" t="inlineStr"/>
      <c r="H210" t="inlineStr"/>
    </row>
    <row r="211">
      <c r="A211" t="inlineStr">
        <is>
          <t>GPU_Clusters</t>
        </is>
      </c>
      <c r="B211" t="inlineStr">
        <is>
          <t>node_count (calc)</t>
        </is>
      </c>
      <c r="C211" t="inlineStr">
        <is>
          <t>Calculated</t>
        </is>
      </c>
      <c r="D211" t="inlineStr">
        <is>
          <t>formula</t>
        </is>
      </c>
      <c r="E211" s="2" t="inlineStr"/>
      <c r="F211" t="inlineStr">
        <is>
          <t>GpuCluster.nodes</t>
        </is>
      </c>
      <c r="G211" s="2" t="inlineStr">
        <is>
          <t>Calculated from GPU_Nodes.</t>
        </is>
      </c>
      <c r="H211" t="inlineStr"/>
    </row>
    <row r="212">
      <c r="A212" t="inlineStr">
        <is>
          <t>GPU_Nodes</t>
        </is>
      </c>
      <c r="B212" t="inlineStr">
        <is>
          <t>device_id</t>
        </is>
      </c>
      <c r="C212" t="inlineStr">
        <is>
          <t>Required</t>
        </is>
      </c>
      <c r="D212" t="inlineStr">
        <is>
          <t>ref</t>
        </is>
      </c>
      <c r="E212" s="2" t="inlineStr">
        <is>
          <t>an ID from Devices</t>
        </is>
      </c>
      <c r="F212" t="inlineStr">
        <is>
          <t>GpuNode.neId</t>
        </is>
      </c>
      <c r="G212" s="2" t="inlineStr"/>
      <c r="H212" t="inlineStr"/>
    </row>
    <row r="213">
      <c r="A213" t="inlineStr">
        <is>
          <t>GPU_Nodes</t>
        </is>
      </c>
      <c r="B213" t="inlineStr">
        <is>
          <t>cluster_id</t>
        </is>
      </c>
      <c r="C213" t="inlineStr">
        <is>
          <t>Required</t>
        </is>
      </c>
      <c r="D213" t="inlineStr">
        <is>
          <t>ref</t>
        </is>
      </c>
      <c r="E213" s="2" t="inlineStr">
        <is>
          <t>an ID from GPU_Clusters</t>
        </is>
      </c>
      <c r="F213" t="inlineStr">
        <is>
          <t>GpuNode.clusterId</t>
        </is>
      </c>
      <c r="G213" s="2" t="inlineStr"/>
      <c r="H213" t="inlineStr"/>
    </row>
    <row r="214">
      <c r="A214" t="inlineStr">
        <is>
          <t>GPU_Nodes</t>
        </is>
      </c>
      <c r="B214" t="inlineStr">
        <is>
          <t>gpu_model</t>
        </is>
      </c>
      <c r="C214" t="inlineStr">
        <is>
          <t>Required</t>
        </is>
      </c>
      <c r="D214" t="inlineStr">
        <is>
          <t>list</t>
        </is>
      </c>
      <c r="E214" s="2" t="inlineStr">
        <is>
          <t>B200 SXM 192 GB, H200 SXM 141 GB, H100 SXM 80 GB, A100 SXM 80 GB, L40S PCIe 48 GB, T4 PCIe 16 GB, Gaudi 3 OAM 128 GB, Max 1550 OAM 128 GB</t>
        </is>
      </c>
      <c r="F214" t="inlineStr">
        <is>
          <t>GpuNode.model</t>
        </is>
      </c>
      <c r="G214" s="2" t="inlineStr">
        <is>
          <t>Must match the cluster.</t>
        </is>
      </c>
      <c r="H214" t="inlineStr"/>
    </row>
    <row r="215">
      <c r="A215" t="inlineStr">
        <is>
          <t>GPU_Nodes</t>
        </is>
      </c>
      <c r="B215" t="inlineStr">
        <is>
          <t>gpu_vendor</t>
        </is>
      </c>
      <c r="C215" t="inlineStr">
        <is>
          <t>Required</t>
        </is>
      </c>
      <c r="D215" t="inlineStr">
        <is>
          <t>list</t>
        </is>
      </c>
      <c r="E215" s="2" t="inlineStr">
        <is>
          <t>NVIDIA, Intel</t>
        </is>
      </c>
      <c r="F215" t="inlineStr">
        <is>
          <t>GpuNode.vendor</t>
        </is>
      </c>
      <c r="G215" s="2" t="inlineStr"/>
      <c r="H215" t="inlineStr"/>
    </row>
    <row r="216">
      <c r="A216" t="inlineStr">
        <is>
          <t>GPU_Nodes</t>
        </is>
      </c>
      <c r="B216" t="inlineStr">
        <is>
          <t>gpu_count</t>
        </is>
      </c>
      <c r="C216" t="inlineStr">
        <is>
          <t>Required</t>
        </is>
      </c>
      <c r="D216" t="inlineStr">
        <is>
          <t>integer</t>
        </is>
      </c>
      <c r="E216" s="2" t="inlineStr"/>
      <c r="F216" t="inlineStr">
        <is>
          <t>GpuNode.gpus.length</t>
        </is>
      </c>
      <c r="G216" s="2" t="inlineStr">
        <is>
          <t>Usually 8.</t>
        </is>
      </c>
      <c r="H216" t="inlineStr"/>
    </row>
    <row r="217">
      <c r="A217" t="inlineStr">
        <is>
          <t>GPU_Nodes</t>
        </is>
      </c>
      <c r="B217" t="inlineStr">
        <is>
          <t>server_model</t>
        </is>
      </c>
      <c r="C217" t="inlineStr">
        <is>
          <t>Required</t>
        </is>
      </c>
      <c r="D217" t="inlineStr">
        <is>
          <t>text</t>
        </is>
      </c>
      <c r="E217" s="2" t="inlineStr"/>
      <c r="F217" t="inlineStr">
        <is>
          <t>GpuNode.server</t>
        </is>
      </c>
      <c r="G217" s="2" t="inlineStr"/>
      <c r="H217" t="inlineStr"/>
    </row>
    <row r="218">
      <c r="A218" t="inlineStr">
        <is>
          <t>GPU_Nodes</t>
        </is>
      </c>
      <c r="B218" t="inlineStr">
        <is>
          <t>cooling</t>
        </is>
      </c>
      <c r="C218" t="inlineStr">
        <is>
          <t>Required</t>
        </is>
      </c>
      <c r="D218" t="inlineStr">
        <is>
          <t>list</t>
        </is>
      </c>
      <c r="E218" s="2" t="inlineStr">
        <is>
          <t>air, liquid</t>
        </is>
      </c>
      <c r="F218" t="inlineStr">
        <is>
          <t>GpuNode.cooling</t>
        </is>
      </c>
      <c r="G218" s="2" t="inlineStr"/>
      <c r="H218" t="inlineStr"/>
    </row>
    <row r="219">
      <c r="A219" t="inlineStr">
        <is>
          <t>GPU_Nodes</t>
        </is>
      </c>
      <c r="B219" t="inlineStr">
        <is>
          <t>driver</t>
        </is>
      </c>
      <c r="C219" t="inlineStr">
        <is>
          <t>Optional</t>
        </is>
      </c>
      <c r="D219" t="inlineStr">
        <is>
          <t>text</t>
        </is>
      </c>
      <c r="E219" s="2" t="inlineStr"/>
      <c r="F219" t="inlineStr">
        <is>
          <t>GpuNode.driver</t>
        </is>
      </c>
      <c r="G219" s="2" t="inlineStr">
        <is>
          <t>Installed driver version.</t>
        </is>
      </c>
      <c r="H219" t="inlineStr"/>
    </row>
    <row r="220">
      <c r="A220" t="inlineStr">
        <is>
          <t>GPU_Nodes</t>
        </is>
      </c>
      <c r="B220" t="inlineStr">
        <is>
          <t>firmware</t>
        </is>
      </c>
      <c r="C220" t="inlineStr">
        <is>
          <t>Optional</t>
        </is>
      </c>
      <c r="D220" t="inlineStr">
        <is>
          <t>text</t>
        </is>
      </c>
      <c r="E220" s="2" t="inlineStr"/>
      <c r="F220" t="inlineStr">
        <is>
          <t>GpuNode.firmware</t>
        </is>
      </c>
      <c r="G220" s="2" t="inlineStr"/>
      <c r="H220" t="inlineStr"/>
    </row>
    <row r="221">
      <c r="A221" t="inlineStr">
        <is>
          <t>Customers</t>
        </is>
      </c>
      <c r="B221" t="inlineStr">
        <is>
          <t>customer_id</t>
        </is>
      </c>
      <c r="C221" t="inlineStr">
        <is>
          <t>Required</t>
        </is>
      </c>
      <c r="D221" t="inlineStr">
        <is>
          <t>text</t>
        </is>
      </c>
      <c r="E221" s="2" t="inlineStr"/>
      <c r="F221" t="inlineStr">
        <is>
          <t>Customer.id</t>
        </is>
      </c>
      <c r="G221" s="2" t="inlineStr"/>
      <c r="H221" t="inlineStr">
        <is>
          <t>CUST-1202</t>
        </is>
      </c>
    </row>
    <row r="222">
      <c r="A222" t="inlineStr">
        <is>
          <t>Customers</t>
        </is>
      </c>
      <c r="B222" t="inlineStr">
        <is>
          <t>name</t>
        </is>
      </c>
      <c r="C222" t="inlineStr">
        <is>
          <t>Required</t>
        </is>
      </c>
      <c r="D222" t="inlineStr">
        <is>
          <t>text</t>
        </is>
      </c>
      <c r="E222" s="2" t="inlineStr"/>
      <c r="F222" t="inlineStr">
        <is>
          <t>Customer.name</t>
        </is>
      </c>
      <c r="G222" s="2" t="inlineStr"/>
      <c r="H222" t="inlineStr">
        <is>
          <t>Hyperscale Cloud East</t>
        </is>
      </c>
    </row>
    <row r="223">
      <c r="A223" t="inlineStr">
        <is>
          <t>Customers</t>
        </is>
      </c>
      <c r="B223" t="inlineStr">
        <is>
          <t>segment</t>
        </is>
      </c>
      <c r="C223" t="inlineStr">
        <is>
          <t>Required</t>
        </is>
      </c>
      <c r="D223" t="inlineStr">
        <is>
          <t>text</t>
        </is>
      </c>
      <c r="E223" s="2" t="inlineStr"/>
      <c r="F223" t="inlineStr">
        <is>
          <t>Customer.segment</t>
        </is>
      </c>
      <c r="G223" s="2" t="inlineStr">
        <is>
          <t>For example BFSI, Media, AI / ML, Healthcare.</t>
        </is>
      </c>
      <c r="H223" t="inlineStr">
        <is>
          <t>Hyperscaler</t>
        </is>
      </c>
    </row>
    <row r="224">
      <c r="A224" t="inlineStr">
        <is>
          <t>Customers</t>
        </is>
      </c>
      <c r="B224" t="inlineStr">
        <is>
          <t>city</t>
        </is>
      </c>
      <c r="C224" t="inlineStr">
        <is>
          <t>Required</t>
        </is>
      </c>
      <c r="D224" t="inlineStr">
        <is>
          <t>text</t>
        </is>
      </c>
      <c r="E224" s="2" t="inlineStr"/>
      <c r="F224" t="inlineStr">
        <is>
          <t>Customer.city</t>
        </is>
      </c>
      <c r="G224" s="2" t="inlineStr">
        <is>
          <t>Billing city.</t>
        </is>
      </c>
      <c r="H224" t="inlineStr">
        <is>
          <t>Mumbai</t>
        </is>
      </c>
    </row>
    <row r="225">
      <c r="A225" t="inlineStr">
        <is>
          <t>Customers</t>
        </is>
      </c>
      <c r="B225" t="inlineStr">
        <is>
          <t>state</t>
        </is>
      </c>
      <c r="C225" t="inlineStr">
        <is>
          <t>Required</t>
        </is>
      </c>
      <c r="D225" t="inlineStr">
        <is>
          <t>text</t>
        </is>
      </c>
      <c r="E225" s="2" t="inlineStr"/>
      <c r="F225" t="inlineStr">
        <is>
          <t>Customer.state</t>
        </is>
      </c>
      <c r="G225" s="2" t="inlineStr"/>
      <c r="H225" t="inlineStr">
        <is>
          <t>Maharashtra</t>
        </is>
      </c>
    </row>
    <row r="226">
      <c r="A226" t="inlineStr">
        <is>
          <t>Customers</t>
        </is>
      </c>
      <c r="B226" t="inlineStr">
        <is>
          <t>plan</t>
        </is>
      </c>
      <c r="C226" t="inlineStr">
        <is>
          <t>Required</t>
        </is>
      </c>
      <c r="D226" t="inlineStr">
        <is>
          <t>text</t>
        </is>
      </c>
      <c r="E226" s="2" t="inlineStr"/>
      <c r="F226" t="inlineStr">
        <is>
          <t>Customer.plan</t>
        </is>
      </c>
      <c r="G226" s="2" t="inlineStr">
        <is>
          <t>Contract or plan name.</t>
        </is>
      </c>
      <c r="H226" t="inlineStr">
        <is>
          <t>Private cage · 2N</t>
        </is>
      </c>
    </row>
    <row r="227">
      <c r="A227" t="inlineStr">
        <is>
          <t>Customers</t>
        </is>
      </c>
      <c r="B227" t="inlineStr">
        <is>
          <t>premium</t>
        </is>
      </c>
      <c r="C227" t="inlineStr">
        <is>
          <t>Required</t>
        </is>
      </c>
      <c r="D227" t="inlineStr">
        <is>
          <t>list</t>
        </is>
      </c>
      <c r="E227" s="2" t="inlineStr">
        <is>
          <t>Y, N</t>
        </is>
      </c>
      <c r="F227" t="inlineStr">
        <is>
          <t>Customer.premium</t>
        </is>
      </c>
      <c r="G227" s="2" t="inlineStr">
        <is>
          <t>Y = premium SLA (counted on the Command center).</t>
        </is>
      </c>
      <c r="H227" t="inlineStr">
        <is>
          <t>Y</t>
        </is>
      </c>
    </row>
    <row r="228">
      <c r="A228" t="inlineStr">
        <is>
          <t>Customers</t>
        </is>
      </c>
      <c r="B228" t="inlineStr">
        <is>
          <t>account_manager</t>
        </is>
      </c>
      <c r="C228" t="inlineStr">
        <is>
          <t>Optional</t>
        </is>
      </c>
      <c r="D228" t="inlineStr">
        <is>
          <t>text</t>
        </is>
      </c>
      <c r="E228" s="2" t="inlineStr"/>
      <c r="F228" t="inlineStr">
        <is>
          <t>Customer.accountManager</t>
        </is>
      </c>
      <c r="G228" s="2" t="inlineStr"/>
      <c r="H228" t="inlineStr">
        <is>
          <t>Neha Kapoor</t>
        </is>
      </c>
    </row>
    <row r="229">
      <c r="A229" t="inlineStr">
        <is>
          <t>Customers</t>
        </is>
      </c>
      <c r="B229" t="inlineStr">
        <is>
          <t>monthly_revenue (calc)</t>
        </is>
      </c>
      <c r="C229" t="inlineStr">
        <is>
          <t>Calculated</t>
        </is>
      </c>
      <c r="D229" t="inlineStr">
        <is>
          <t>formula</t>
        </is>
      </c>
      <c r="E229" s="2" t="inlineStr"/>
      <c r="F229" t="inlineStr">
        <is>
          <t>Customer.revenueMonthly</t>
        </is>
      </c>
      <c r="G229" s="2" t="inlineStr">
        <is>
          <t>Calculated: the sum of this customer's Services. Don't type it.</t>
        </is>
      </c>
      <c r="H229" t="inlineStr"/>
    </row>
    <row r="230">
      <c r="A230" t="inlineStr">
        <is>
          <t>Services</t>
        </is>
      </c>
      <c r="B230" t="inlineStr">
        <is>
          <t>service_id</t>
        </is>
      </c>
      <c r="C230" t="inlineStr">
        <is>
          <t>Required</t>
        </is>
      </c>
      <c r="D230" t="inlineStr">
        <is>
          <t>text</t>
        </is>
      </c>
      <c r="E230" s="2" t="inlineStr"/>
      <c r="F230" t="inlineStr">
        <is>
          <t>Service.id</t>
        </is>
      </c>
      <c r="G230" s="2" t="inlineStr"/>
      <c r="H230" t="inlineStr">
        <is>
          <t>SVC-CB-1100</t>
        </is>
      </c>
    </row>
    <row r="231">
      <c r="A231" t="inlineStr">
        <is>
          <t>Services</t>
        </is>
      </c>
      <c r="B231" t="inlineStr">
        <is>
          <t>customer_id</t>
        </is>
      </c>
      <c r="C231" t="inlineStr">
        <is>
          <t>Required</t>
        </is>
      </c>
      <c r="D231" t="inlineStr">
        <is>
          <t>ref</t>
        </is>
      </c>
      <c r="E231" s="2" t="inlineStr">
        <is>
          <t>an ID from Customers</t>
        </is>
      </c>
      <c r="F231" t="inlineStr">
        <is>
          <t>Service.customerId</t>
        </is>
      </c>
      <c r="G231" s="2" t="inlineStr"/>
      <c r="H231" t="inlineStr">
        <is>
          <t>CUST-7349</t>
        </is>
      </c>
    </row>
    <row r="232">
      <c r="A232" t="inlineStr">
        <is>
          <t>Services</t>
        </is>
      </c>
      <c r="B232" t="inlineStr">
        <is>
          <t>type</t>
        </is>
      </c>
      <c r="C232" t="inlineStr">
        <is>
          <t>Required</t>
        </is>
      </c>
      <c r="D232" t="inlineStr">
        <is>
          <t>list</t>
        </is>
      </c>
      <c r="E232" s="2" t="inlineStr">
        <is>
          <t>Cabinet lease, Power circuit, Cross-connect, Remote hands, Reserved cluster, On-demand GPUs, CPU instances, VM, Storage volume, Managed DB, GPU cluster, Kubernetes, IRV, Leased Line, L2VPN, L3VPN, Core application, Database, Collaboration, Analytics, Backup &amp; DR, AI platform, Other</t>
        </is>
      </c>
      <c r="F232" t="inlineStr">
        <is>
          <t>Service.type</t>
        </is>
      </c>
      <c r="G232" s="2" t="inlineStr"/>
      <c r="H232" t="inlineStr">
        <is>
          <t>Cabinet lease</t>
        </is>
      </c>
    </row>
    <row r="233">
      <c r="A233" t="inlineStr">
        <is>
          <t>Services</t>
        </is>
      </c>
      <c r="B233" t="inlineStr">
        <is>
          <t>site_id</t>
        </is>
      </c>
      <c r="C233" t="inlineStr">
        <is>
          <t>Required</t>
        </is>
      </c>
      <c r="D233" t="inlineStr">
        <is>
          <t>ref</t>
        </is>
      </c>
      <c r="E233" s="2" t="inlineStr">
        <is>
          <t>an ID from Sites</t>
        </is>
      </c>
      <c r="F233" t="inlineStr">
        <is>
          <t>Service.dcId</t>
        </is>
      </c>
      <c r="G233" s="2" t="inlineStr"/>
      <c r="H233" t="inlineStr">
        <is>
          <t>MH-DC-001</t>
        </is>
      </c>
    </row>
    <row r="234">
      <c r="A234" t="inlineStr">
        <is>
          <t>Services</t>
        </is>
      </c>
      <c r="B234" t="inlineStr">
        <is>
          <t>device_id</t>
        </is>
      </c>
      <c r="C234" t="inlineStr">
        <is>
          <t>Conditional</t>
        </is>
      </c>
      <c r="D234" t="inlineStr">
        <is>
          <t>ref</t>
        </is>
      </c>
      <c r="E234" s="2" t="inlineStr">
        <is>
          <t>an ID from Devices</t>
        </is>
      </c>
      <c r="F234" t="inlineStr">
        <is>
          <t>Service.neId</t>
        </is>
      </c>
      <c r="G234" s="2" t="inlineStr">
        <is>
          <t>The device the service is delivered on (port, GPU node, MMR switch…).</t>
        </is>
      </c>
      <c r="H234" t="inlineStr">
        <is>
          <t>MH-DC-001-TN-003</t>
        </is>
      </c>
    </row>
    <row r="235">
      <c r="A235" t="inlineStr">
        <is>
          <t>Services</t>
        </is>
      </c>
      <c r="B235" t="inlineStr">
        <is>
          <t>if_name</t>
        </is>
      </c>
      <c r="C235" t="inlineStr">
        <is>
          <t>Optional</t>
        </is>
      </c>
      <c r="D235" t="inlineStr">
        <is>
          <t>text</t>
        </is>
      </c>
      <c r="E235" s="2" t="inlineStr"/>
      <c r="F235" t="inlineStr">
        <is>
          <t>Service.ifName</t>
        </is>
      </c>
      <c r="G235" s="2" t="inlineStr">
        <is>
          <t>Hand-off port for circuits and cross-connects.</t>
        </is>
      </c>
      <c r="H235" t="inlineStr">
        <is>
          <t>RACK-C</t>
        </is>
      </c>
    </row>
    <row r="236">
      <c r="A236" t="inlineStr">
        <is>
          <t>Services</t>
        </is>
      </c>
      <c r="B236" t="inlineStr">
        <is>
          <t>rack_ids</t>
        </is>
      </c>
      <c r="C236" t="inlineStr">
        <is>
          <t>Conditional</t>
        </is>
      </c>
      <c r="D236" t="inlineStr">
        <is>
          <t>text</t>
        </is>
      </c>
      <c r="E236" s="2" t="inlineStr"/>
      <c r="F236" t="inlineStr">
        <is>
          <t>Service path (racks)</t>
        </is>
      </c>
      <c r="G236" s="2" t="inlineStr">
        <is>
          <t>Cabinet leases / power circuits: rack ids, separated by ";".</t>
        </is>
      </c>
      <c r="H236" t="inlineStr"/>
    </row>
    <row r="237">
      <c r="A237" t="inlineStr">
        <is>
          <t>Services</t>
        </is>
      </c>
      <c r="B237" t="inlineStr">
        <is>
          <t>gpu_node_ids</t>
        </is>
      </c>
      <c r="C237" t="inlineStr">
        <is>
          <t>Conditional</t>
        </is>
      </c>
      <c r="D237" t="inlineStr">
        <is>
          <t>text</t>
        </is>
      </c>
      <c r="E237" s="2" t="inlineStr"/>
      <c r="F237" t="inlineStr">
        <is>
          <t>Service.path (job nodes)</t>
        </is>
      </c>
      <c r="G237" s="2" t="inlineStr">
        <is>
          <t>GPU services: GPU node device ids, separated by ";".</t>
        </is>
      </c>
      <c r="H237" t="inlineStr"/>
    </row>
    <row r="238">
      <c r="A238" t="inlineStr">
        <is>
          <t>Services</t>
        </is>
      </c>
      <c r="B238" t="inlineStr">
        <is>
          <t>qty</t>
        </is>
      </c>
      <c r="C238" t="inlineStr">
        <is>
          <t>Required</t>
        </is>
      </c>
      <c r="D238" t="inlineStr">
        <is>
          <t>decimal</t>
        </is>
      </c>
      <c r="E238" s="2" t="inlineStr"/>
      <c r="F238" t="inlineStr">
        <is>
          <t>Service.qty</t>
        </is>
      </c>
      <c r="G238" s="2" t="inlineStr"/>
      <c r="H238" t="inlineStr">
        <is>
          <t>1</t>
        </is>
      </c>
    </row>
    <row r="239">
      <c r="A239" t="inlineStr">
        <is>
          <t>Services</t>
        </is>
      </c>
      <c r="B239" t="inlineStr">
        <is>
          <t>unit</t>
        </is>
      </c>
      <c r="C239" t="inlineStr">
        <is>
          <t>Required</t>
        </is>
      </c>
      <c r="D239" t="inlineStr">
        <is>
          <t>list</t>
        </is>
      </c>
      <c r="E239" s="2" t="inlineStr">
        <is>
          <t>cabinets, kW, Mbps, hours, GPU, vCPU, TB, users</t>
        </is>
      </c>
      <c r="F239" t="inlineStr">
        <is>
          <t>Service.unit</t>
        </is>
      </c>
      <c r="G239" s="2" t="inlineStr"/>
      <c r="H239" t="inlineStr">
        <is>
          <t>cabinets</t>
        </is>
      </c>
    </row>
    <row r="240">
      <c r="A240" t="inlineStr">
        <is>
          <t>Services</t>
        </is>
      </c>
      <c r="B240" t="inlineStr">
        <is>
          <t>bandwidth_mbps</t>
        </is>
      </c>
      <c r="C240" t="inlineStr">
        <is>
          <t>Optional</t>
        </is>
      </c>
      <c r="D240" t="inlineStr">
        <is>
          <t>integer</t>
        </is>
      </c>
      <c r="E240" s="2" t="inlineStr"/>
      <c r="F240" t="inlineStr">
        <is>
          <t>Service.bandwidthMbps</t>
        </is>
      </c>
      <c r="G240" s="2" t="inlineStr">
        <is>
          <t>Circuits and cross-connects.</t>
        </is>
      </c>
      <c r="H240" t="inlineStr">
        <is>
          <t>10000</t>
        </is>
      </c>
    </row>
    <row r="241">
      <c r="A241" t="inlineStr">
        <is>
          <t>Services</t>
        </is>
      </c>
      <c r="B241" t="inlineStr">
        <is>
          <t>sla_target_pct</t>
        </is>
      </c>
      <c r="C241" t="inlineStr">
        <is>
          <t>Required</t>
        </is>
      </c>
      <c r="D241" t="inlineStr">
        <is>
          <t>decimal</t>
        </is>
      </c>
      <c r="E241" s="2" t="inlineStr"/>
      <c r="F241" t="inlineStr">
        <is>
          <t>Service.slaTarget</t>
        </is>
      </c>
      <c r="G241" s="2" t="inlineStr">
        <is>
          <t>For example 99.95.</t>
        </is>
      </c>
      <c r="H241" t="inlineStr">
        <is>
          <t>99.99</t>
        </is>
      </c>
    </row>
    <row r="242">
      <c r="A242" t="inlineStr">
        <is>
          <t>Services</t>
        </is>
      </c>
      <c r="B242" t="inlineStr">
        <is>
          <t>monthly_revenue</t>
        </is>
      </c>
      <c r="C242" t="inlineStr">
        <is>
          <t>Required</t>
        </is>
      </c>
      <c r="D242" t="inlineStr">
        <is>
          <t>decimal</t>
        </is>
      </c>
      <c r="E242" s="2" t="inlineStr"/>
      <c r="F242" t="inlineStr">
        <is>
          <t>Service.revenueMonthly</t>
        </is>
      </c>
      <c r="G242" s="2" t="inlineStr">
        <is>
          <t>Monthly charge in the site currency (₹).</t>
        </is>
      </c>
      <c r="H242" t="inlineStr">
        <is>
          <t>120000</t>
        </is>
      </c>
    </row>
    <row r="243">
      <c r="A243" t="inlineStr">
        <is>
          <t>Services</t>
        </is>
      </c>
      <c r="B243" t="inlineStr">
        <is>
          <t>critical</t>
        </is>
      </c>
      <c r="C243" t="inlineStr">
        <is>
          <t>Required</t>
        </is>
      </c>
      <c r="D243" t="inlineStr">
        <is>
          <t>list</t>
        </is>
      </c>
      <c r="E243" s="2" t="inlineStr">
        <is>
          <t>Y, N</t>
        </is>
      </c>
      <c r="F243" t="inlineStr">
        <is>
          <t>Service.critical</t>
        </is>
      </c>
      <c r="G243" s="2" t="inlineStr">
        <is>
          <t>Y = business-critical for the customer.</t>
        </is>
      </c>
      <c r="H243" t="inlineStr">
        <is>
          <t>N</t>
        </is>
      </c>
    </row>
    <row r="244">
      <c r="A244" t="inlineStr">
        <is>
          <t>Services</t>
        </is>
      </c>
      <c r="B244" t="inlineStr">
        <is>
          <t>start_date</t>
        </is>
      </c>
      <c r="C244" t="inlineStr">
        <is>
          <t>Optional</t>
        </is>
      </c>
      <c r="D244" t="inlineStr">
        <is>
          <t>date</t>
        </is>
      </c>
      <c r="E244" s="2" t="inlineStr"/>
      <c r="F244" t="inlineStr">
        <is>
          <t>(reference only)</t>
        </is>
      </c>
      <c r="G244" s="2" t="inlineStr"/>
      <c r="H244" t="inlineStr"/>
    </row>
    <row r="245">
      <c r="A245" t="inlineStr">
        <is>
          <t>Collectors</t>
        </is>
      </c>
      <c r="B245" t="inlineStr">
        <is>
          <t>collector_id</t>
        </is>
      </c>
      <c r="C245" t="inlineStr">
        <is>
          <t>Required</t>
        </is>
      </c>
      <c r="D245" t="inlineStr">
        <is>
          <t>text</t>
        </is>
      </c>
      <c r="E245" s="2" t="inlineStr"/>
      <c r="F245" t="inlineStr">
        <is>
          <t>collectors[].id</t>
        </is>
      </c>
      <c r="G245" s="2" t="inlineStr"/>
      <c r="H245" t="inlineStr">
        <is>
          <t>COL-MH-DC-001-1</t>
        </is>
      </c>
    </row>
    <row r="246">
      <c r="A246" t="inlineStr">
        <is>
          <t>Collectors</t>
        </is>
      </c>
      <c r="B246" t="inlineStr">
        <is>
          <t>site_id</t>
        </is>
      </c>
      <c r="C246" t="inlineStr">
        <is>
          <t>Required</t>
        </is>
      </c>
      <c r="D246" t="inlineStr">
        <is>
          <t>ref</t>
        </is>
      </c>
      <c r="E246" s="2" t="inlineStr">
        <is>
          <t>an ID from Sites</t>
        </is>
      </c>
      <c r="F246" t="inlineStr">
        <is>
          <t>Datacenter.id</t>
        </is>
      </c>
      <c r="G246" s="2" t="inlineStr"/>
      <c r="H246" t="inlineStr">
        <is>
          <t>MH-DC-001</t>
        </is>
      </c>
    </row>
    <row r="247">
      <c r="A247" t="inlineStr">
        <is>
          <t>Collectors</t>
        </is>
      </c>
      <c r="B247" t="inlineStr">
        <is>
          <t>name</t>
        </is>
      </c>
      <c r="C247" t="inlineStr">
        <is>
          <t>Required</t>
        </is>
      </c>
      <c r="D247" t="inlineStr">
        <is>
          <t>text</t>
        </is>
      </c>
      <c r="E247" s="2" t="inlineStr"/>
      <c r="F247" t="inlineStr">
        <is>
          <t>collectors[].name</t>
        </is>
      </c>
      <c r="G247" s="2" t="inlineStr"/>
      <c r="H247" t="inlineStr">
        <is>
          <t>Collector Pune A</t>
        </is>
      </c>
    </row>
    <row r="248">
      <c r="A248" t="inlineStr">
        <is>
          <t>Collectors</t>
        </is>
      </c>
      <c r="B248" t="inlineStr">
        <is>
          <t>protocol</t>
        </is>
      </c>
      <c r="C248" t="inlineStr">
        <is>
          <t>Required</t>
        </is>
      </c>
      <c r="D248" t="inlineStr">
        <is>
          <t>list</t>
        </is>
      </c>
      <c r="E248" s="2" t="inlineStr">
        <is>
          <t>SNMP, gNMI, Redfish, DCGM exporter, Modbus TCP, BACnet, Syslog</t>
        </is>
      </c>
      <c r="F248" t="inlineStr">
        <is>
          <t>(integration)</t>
        </is>
      </c>
      <c r="G248" s="2" t="inlineStr"/>
      <c r="H248" t="inlineStr">
        <is>
          <t>gNMI</t>
        </is>
      </c>
    </row>
    <row r="249">
      <c r="A249" t="inlineStr">
        <is>
          <t>Collectors</t>
        </is>
      </c>
      <c r="B249" t="inlineStr">
        <is>
          <t>domain</t>
        </is>
      </c>
      <c r="C249" t="inlineStr">
        <is>
          <t>Required</t>
        </is>
      </c>
      <c r="D249" t="inlineStr">
        <is>
          <t>list</t>
        </is>
      </c>
      <c r="E249" s="2" t="inlineStr">
        <is>
          <t>Network, Facility, Compute, GPU</t>
        </is>
      </c>
      <c r="F249" t="inlineStr">
        <is>
          <t>(integration)</t>
        </is>
      </c>
      <c r="G249" s="2" t="inlineStr">
        <is>
          <t>Network, Facility (BMS / EPMS), Compute (BMC), GPU (DCGM).</t>
        </is>
      </c>
      <c r="H249" t="inlineStr">
        <is>
          <t>Network</t>
        </is>
      </c>
    </row>
    <row r="250">
      <c r="A250" t="inlineStr">
        <is>
          <t>Collectors</t>
        </is>
      </c>
      <c r="B250" t="inlineStr">
        <is>
          <t>host_ip</t>
        </is>
      </c>
      <c r="C250" t="inlineStr">
        <is>
          <t>Optional</t>
        </is>
      </c>
      <c r="D250" t="inlineStr">
        <is>
          <t>ip</t>
        </is>
      </c>
      <c r="E250" s="2" t="inlineStr"/>
      <c r="F250" t="inlineStr">
        <is>
          <t>(integration)</t>
        </is>
      </c>
      <c r="G250" s="2" t="inlineStr"/>
      <c r="H250" t="inlineStr"/>
    </row>
    <row r="251">
      <c r="A251" t="inlineStr">
        <is>
          <t>Collectors</t>
        </is>
      </c>
      <c r="B251" t="inlineStr">
        <is>
          <t>covers</t>
        </is>
      </c>
      <c r="C251" t="inlineStr">
        <is>
          <t>Optional</t>
        </is>
      </c>
      <c r="D251" t="inlineStr">
        <is>
          <t>text</t>
        </is>
      </c>
      <c r="E251" s="2" t="inlineStr"/>
      <c r="F251" t="inlineStr">
        <is>
          <t>(integration)</t>
        </is>
      </c>
      <c r="G251" s="2" t="inlineStr">
        <is>
          <t>What it polls.</t>
        </is>
      </c>
      <c r="H251" t="inlineStr"/>
    </row>
    <row r="252">
      <c r="A252" t="inlineStr">
        <is>
          <t>Fire_Systems</t>
        </is>
      </c>
      <c r="B252" t="inlineStr">
        <is>
          <t>zone_id</t>
        </is>
      </c>
      <c r="C252" t="inlineStr">
        <is>
          <t>Required</t>
        </is>
      </c>
      <c r="D252" t="inlineStr">
        <is>
          <t>text</t>
        </is>
      </c>
      <c r="E252" s="2" t="inlineStr"/>
      <c r="F252" t="inlineStr">
        <is>
          <t>FireZone.id</t>
        </is>
      </c>
      <c r="G252" s="2" t="inlineStr"/>
      <c r="H252" t="inlineStr">
        <is>
          <t>MH-DC-001-FZ-01</t>
        </is>
      </c>
    </row>
    <row r="253">
      <c r="A253" t="inlineStr">
        <is>
          <t>Fire_Systems</t>
        </is>
      </c>
      <c r="B253" t="inlineStr">
        <is>
          <t>site_id</t>
        </is>
      </c>
      <c r="C253" t="inlineStr">
        <is>
          <t>Required</t>
        </is>
      </c>
      <c r="D253" t="inlineStr">
        <is>
          <t>ref</t>
        </is>
      </c>
      <c r="E253" s="2" t="inlineStr">
        <is>
          <t>an ID from Sites</t>
        </is>
      </c>
      <c r="F253" t="inlineStr">
        <is>
          <t>FireZone.dcId</t>
        </is>
      </c>
      <c r="G253" s="2" t="inlineStr"/>
      <c r="H253" t="inlineStr">
        <is>
          <t>MH-DC-001</t>
        </is>
      </c>
    </row>
    <row r="254">
      <c r="A254" t="inlineStr">
        <is>
          <t>Fire_Systems</t>
        </is>
      </c>
      <c r="B254" t="inlineStr">
        <is>
          <t>room_id</t>
        </is>
      </c>
      <c r="C254" t="inlineStr">
        <is>
          <t>Required</t>
        </is>
      </c>
      <c r="D254" t="inlineStr">
        <is>
          <t>ref</t>
        </is>
      </c>
      <c r="E254" s="2" t="inlineStr">
        <is>
          <t>an ID from Rooms</t>
        </is>
      </c>
      <c r="F254" t="inlineStr">
        <is>
          <t>FireZone.zone</t>
        </is>
      </c>
      <c r="G254" s="2" t="inlineStr"/>
      <c r="H254" t="inlineStr">
        <is>
          <t>MH-DC-001-F0-R1</t>
        </is>
      </c>
    </row>
    <row r="255">
      <c r="A255" t="inlineStr">
        <is>
          <t>Fire_Systems</t>
        </is>
      </c>
      <c r="B255" t="inlineStr">
        <is>
          <t>detection</t>
        </is>
      </c>
      <c r="C255" t="inlineStr">
        <is>
          <t>Required</t>
        </is>
      </c>
      <c r="D255" t="inlineStr">
        <is>
          <t>list</t>
        </is>
      </c>
      <c r="E255" s="2" t="inlineStr">
        <is>
          <t>VESDA aspirating, Point smoke + heat</t>
        </is>
      </c>
      <c r="F255" t="inlineStr">
        <is>
          <t>FireZone.detection</t>
        </is>
      </c>
      <c r="G255" s="2" t="inlineStr">
        <is>
          <t>VESDA (aspirating) in data halls; point smoke + heat elsewhere.</t>
        </is>
      </c>
      <c r="H255" t="inlineStr">
        <is>
          <t>VESDA aspirating</t>
        </is>
      </c>
    </row>
    <row r="256">
      <c r="A256" t="inlineStr">
        <is>
          <t>Fire_Systems</t>
        </is>
      </c>
      <c r="B256" t="inlineStr">
        <is>
          <t>suppression</t>
        </is>
      </c>
      <c r="C256" t="inlineStr">
        <is>
          <t>Required</t>
        </is>
      </c>
      <c r="D256" t="inlineStr">
        <is>
          <t>list</t>
        </is>
      </c>
      <c r="E256" s="2" t="inlineStr">
        <is>
          <t>Novec 1230 gas, Inert gas (IG-541), Pre-action sprinkler</t>
        </is>
      </c>
      <c r="F256" t="inlineStr">
        <is>
          <t>FireZone.suppression</t>
        </is>
      </c>
      <c r="G256" s="2" t="inlineStr"/>
      <c r="H256" t="inlineStr">
        <is>
          <t>Inert gas (IG-541)</t>
        </is>
      </c>
    </row>
    <row r="257">
      <c r="A257" t="inlineStr">
        <is>
          <t>Fire_Systems</t>
        </is>
      </c>
      <c r="B257" t="inlineStr">
        <is>
          <t>release_mode</t>
        </is>
      </c>
      <c r="C257" t="inlineStr">
        <is>
          <t>Required</t>
        </is>
      </c>
      <c r="D257" t="inlineStr">
        <is>
          <t>list</t>
        </is>
      </c>
      <c r="E257" s="2" t="inlineStr">
        <is>
          <t>Armed (auto), Manual only, Isolated</t>
        </is>
      </c>
      <c r="F257" t="inlineStr">
        <is>
          <t>FireZone.release</t>
        </is>
      </c>
      <c r="G257" s="2" t="inlineStr">
        <is>
          <t>Armed (auto) in normal operation.</t>
        </is>
      </c>
      <c r="H257" t="inlineStr">
        <is>
          <t>Armed (auto)</t>
        </is>
      </c>
    </row>
    <row r="258">
      <c r="A258" t="inlineStr">
        <is>
          <t>Fire_Systems</t>
        </is>
      </c>
      <c r="B258" t="inlineStr">
        <is>
          <t>last_inspection</t>
        </is>
      </c>
      <c r="C258" t="inlineStr">
        <is>
          <t>Required</t>
        </is>
      </c>
      <c r="D258" t="inlineStr">
        <is>
          <t>date</t>
        </is>
      </c>
      <c r="E258" s="2" t="inlineStr"/>
      <c r="F258" t="inlineStr">
        <is>
          <t>FireZone.lastInspection</t>
        </is>
      </c>
      <c r="G258" s="2" t="inlineStr">
        <is>
          <t>Quarterly inspection; the tool flags it overdue after 91 days.</t>
        </is>
      </c>
      <c r="H258" t="inlineStr">
        <is>
          <t>2026-07-29</t>
        </is>
      </c>
    </row>
    <row r="259">
      <c r="A259" t="inlineStr">
        <is>
          <t>Fire_Systems</t>
        </is>
      </c>
      <c r="B259" t="inlineStr">
        <is>
          <t>panel_point</t>
        </is>
      </c>
      <c r="C259" t="inlineStr">
        <is>
          <t>Optional</t>
        </is>
      </c>
      <c r="D259" t="inlineStr">
        <is>
          <t>text</t>
        </is>
      </c>
      <c r="E259" s="2" t="inlineStr"/>
      <c r="F259" t="inlineStr">
        <is>
          <t>(collector mapping)</t>
        </is>
      </c>
      <c r="G259" s="2" t="inlineStr">
        <is>
          <t>Fire-panel / BMS point for live detector state.</t>
        </is>
      </c>
      <c r="H259" t="inlineStr"/>
    </row>
    <row r="260">
      <c r="A260" t="inlineStr">
        <is>
          <t>Leak_Detection</t>
        </is>
      </c>
      <c r="B260" t="inlineStr">
        <is>
          <t>zone_id</t>
        </is>
      </c>
      <c r="C260" t="inlineStr">
        <is>
          <t>Required</t>
        </is>
      </c>
      <c r="D260" t="inlineStr">
        <is>
          <t>text</t>
        </is>
      </c>
      <c r="E260" s="2" t="inlineStr"/>
      <c r="F260" t="inlineStr">
        <is>
          <t>LeakZone.id</t>
        </is>
      </c>
      <c r="G260" s="2" t="inlineStr"/>
      <c r="H260" t="inlineStr">
        <is>
          <t>MH-DC-001-LK-01</t>
        </is>
      </c>
    </row>
    <row r="261">
      <c r="A261" t="inlineStr">
        <is>
          <t>Leak_Detection</t>
        </is>
      </c>
      <c r="B261" t="inlineStr">
        <is>
          <t>site_id</t>
        </is>
      </c>
      <c r="C261" t="inlineStr">
        <is>
          <t>Required</t>
        </is>
      </c>
      <c r="D261" t="inlineStr">
        <is>
          <t>ref</t>
        </is>
      </c>
      <c r="E261" s="2" t="inlineStr">
        <is>
          <t>an ID from Sites</t>
        </is>
      </c>
      <c r="F261" t="inlineStr">
        <is>
          <t>LeakZone.dcId</t>
        </is>
      </c>
      <c r="G261" s="2" t="inlineStr"/>
      <c r="H261" t="inlineStr">
        <is>
          <t>MH-DC-001</t>
        </is>
      </c>
    </row>
    <row r="262">
      <c r="A262" t="inlineStr">
        <is>
          <t>Leak_Detection</t>
        </is>
      </c>
      <c r="B262" t="inlineStr">
        <is>
          <t>room_id</t>
        </is>
      </c>
      <c r="C262" t="inlineStr">
        <is>
          <t>Required</t>
        </is>
      </c>
      <c r="D262" t="inlineStr">
        <is>
          <t>ref</t>
        </is>
      </c>
      <c r="E262" s="2" t="inlineStr">
        <is>
          <t>an ID from Rooms</t>
        </is>
      </c>
      <c r="F262" t="inlineStr">
        <is>
          <t>LeakZone.zone</t>
        </is>
      </c>
      <c r="G262" s="2" t="inlineStr"/>
      <c r="H262" t="inlineStr">
        <is>
          <t>MH-DC-001-F0-R1</t>
        </is>
      </c>
    </row>
    <row r="263">
      <c r="A263" t="inlineStr">
        <is>
          <t>Leak_Detection</t>
        </is>
      </c>
      <c r="B263" t="inlineStr">
        <is>
          <t>guards</t>
        </is>
      </c>
      <c r="C263" t="inlineStr">
        <is>
          <t>Required</t>
        </is>
      </c>
      <c r="D263" t="inlineStr">
        <is>
          <t>text</t>
        </is>
      </c>
      <c r="E263" s="2" t="inlineStr"/>
      <c r="F263" t="inlineStr">
        <is>
          <t>LeakZone.covers</t>
        </is>
      </c>
      <c r="G263" s="2" t="inlineStr">
        <is>
          <t>What the rope runs under (CRAH-11, CDU-01 manifold…).</t>
        </is>
      </c>
      <c r="H263" t="inlineStr">
        <is>
          <t>Under CRAH-11, CRAH-15</t>
        </is>
      </c>
    </row>
    <row r="264">
      <c r="A264" t="inlineStr">
        <is>
          <t>Leak_Detection</t>
        </is>
      </c>
      <c r="B264" t="inlineStr">
        <is>
          <t>length_m</t>
        </is>
      </c>
      <c r="C264" t="inlineStr">
        <is>
          <t>Optional</t>
        </is>
      </c>
      <c r="D264" t="inlineStr">
        <is>
          <t>decimal</t>
        </is>
      </c>
      <c r="E264" s="2" t="inlineStr"/>
      <c r="F264" t="inlineStr">
        <is>
          <t>LeakZone.lengthM</t>
        </is>
      </c>
      <c r="G264" s="2" t="inlineStr"/>
      <c r="H264" t="inlineStr">
        <is>
          <t>14</t>
        </is>
      </c>
    </row>
    <row r="265">
      <c r="A265" t="inlineStr">
        <is>
          <t>Leak_Detection</t>
        </is>
      </c>
      <c r="B265" t="inlineStr">
        <is>
          <t>last_test</t>
        </is>
      </c>
      <c r="C265" t="inlineStr">
        <is>
          <t>Optional</t>
        </is>
      </c>
      <c r="D265" t="inlineStr">
        <is>
          <t>date</t>
        </is>
      </c>
      <c r="E265" s="2" t="inlineStr"/>
      <c r="F265" t="inlineStr">
        <is>
          <t>LeakZone.lastTest</t>
        </is>
      </c>
      <c r="G265" s="2" t="inlineStr">
        <is>
          <t>Last wet test.</t>
        </is>
      </c>
      <c r="H265" t="inlineStr">
        <is>
          <t>2026-08-25</t>
        </is>
      </c>
    </row>
    <row r="266">
      <c r="A266" t="inlineStr">
        <is>
          <t>Access_Points</t>
        </is>
      </c>
      <c r="B266" t="inlineStr">
        <is>
          <t>door_id</t>
        </is>
      </c>
      <c r="C266" t="inlineStr">
        <is>
          <t>Required</t>
        </is>
      </c>
      <c r="D266" t="inlineStr">
        <is>
          <t>text</t>
        </is>
      </c>
      <c r="E266" s="2" t="inlineStr"/>
      <c r="F266" t="inlineStr">
        <is>
          <t>AccessPoint.id</t>
        </is>
      </c>
      <c r="G266" s="2" t="inlineStr"/>
      <c r="H266" t="inlineStr">
        <is>
          <t>MH-DC-001-DR-01</t>
        </is>
      </c>
    </row>
    <row r="267">
      <c r="A267" t="inlineStr">
        <is>
          <t>Access_Points</t>
        </is>
      </c>
      <c r="B267" t="inlineStr">
        <is>
          <t>site_id</t>
        </is>
      </c>
      <c r="C267" t="inlineStr">
        <is>
          <t>Required</t>
        </is>
      </c>
      <c r="D267" t="inlineStr">
        <is>
          <t>ref</t>
        </is>
      </c>
      <c r="E267" s="2" t="inlineStr">
        <is>
          <t>an ID from Sites</t>
        </is>
      </c>
      <c r="F267" t="inlineStr">
        <is>
          <t>AccessPoint.dcId</t>
        </is>
      </c>
      <c r="G267" s="2" t="inlineStr"/>
      <c r="H267" t="inlineStr">
        <is>
          <t>MH-DC-001</t>
        </is>
      </c>
    </row>
    <row r="268">
      <c r="A268" t="inlineStr">
        <is>
          <t>Access_Points</t>
        </is>
      </c>
      <c r="B268" t="inlineStr">
        <is>
          <t>name</t>
        </is>
      </c>
      <c r="C268" t="inlineStr">
        <is>
          <t>Required</t>
        </is>
      </c>
      <c r="D268" t="inlineStr">
        <is>
          <t>text</t>
        </is>
      </c>
      <c r="E268" s="2" t="inlineStr"/>
      <c r="F268" t="inlineStr">
        <is>
          <t>AccessPoint.name</t>
        </is>
      </c>
      <c r="G268" s="2" t="inlineStr"/>
      <c r="H268" t="inlineStr">
        <is>
          <t>Main entrance · mantrap</t>
        </is>
      </c>
    </row>
    <row r="269">
      <c r="A269" t="inlineStr">
        <is>
          <t>Access_Points</t>
        </is>
      </c>
      <c r="B269" t="inlineStr">
        <is>
          <t>room_id</t>
        </is>
      </c>
      <c r="C269" t="inlineStr">
        <is>
          <t>Optional</t>
        </is>
      </c>
      <c r="D269" t="inlineStr">
        <is>
          <t>ref</t>
        </is>
      </c>
      <c r="E269" s="2" t="inlineStr">
        <is>
          <t>an ID from Rooms</t>
        </is>
      </c>
      <c r="F269" t="inlineStr">
        <is>
          <t>AccessPoint.zone</t>
        </is>
      </c>
      <c r="G269" s="2" t="inlineStr"/>
      <c r="H269" t="inlineStr">
        <is>
          <t>MH-DC-001-F0-R1</t>
        </is>
      </c>
    </row>
    <row r="270">
      <c r="A270" t="inlineStr">
        <is>
          <t>Access_Points</t>
        </is>
      </c>
      <c r="B270" t="inlineStr">
        <is>
          <t>kind</t>
        </is>
      </c>
      <c r="C270" t="inlineStr">
        <is>
          <t>Required</t>
        </is>
      </c>
      <c r="D270" t="inlineStr">
        <is>
          <t>list</t>
        </is>
      </c>
      <c r="E270" s="2" t="inlineStr">
        <is>
          <t>Building entry, Data hall door, Cage door, Plant room door, Meet-me room door</t>
        </is>
      </c>
      <c r="F270" t="inlineStr">
        <is>
          <t>AccessPoint.kind</t>
        </is>
      </c>
      <c r="G270" s="2" t="inlineStr"/>
      <c r="H270" t="inlineStr">
        <is>
          <t>Building entry</t>
        </is>
      </c>
    </row>
    <row r="271">
      <c r="A271" t="inlineStr">
        <is>
          <t>Access_Points</t>
        </is>
      </c>
      <c r="B271" t="inlineStr">
        <is>
          <t>reader</t>
        </is>
      </c>
      <c r="C271" t="inlineStr">
        <is>
          <t>Required</t>
        </is>
      </c>
      <c r="D271" t="inlineStr">
        <is>
          <t>list</t>
        </is>
      </c>
      <c r="E271" s="2" t="inlineStr">
        <is>
          <t>Card + biometric, Card + PIN, Card</t>
        </is>
      </c>
      <c r="F271" t="inlineStr">
        <is>
          <t>AccessPoint.reader</t>
        </is>
      </c>
      <c r="G271" s="2" t="inlineStr"/>
      <c r="H271" t="inlineStr">
        <is>
          <t>Card + biometric</t>
        </is>
      </c>
    </row>
    <row r="272">
      <c r="A272" t="inlineStr">
        <is>
          <t>Access_Points</t>
        </is>
      </c>
      <c r="B272" t="inlineStr">
        <is>
          <t>tenant_customer_id</t>
        </is>
      </c>
      <c r="C272" t="inlineStr">
        <is>
          <t>Conditional</t>
        </is>
      </c>
      <c r="D272" t="inlineStr">
        <is>
          <t>ref</t>
        </is>
      </c>
      <c r="E272" s="2" t="inlineStr">
        <is>
          <t>an ID from Customers</t>
        </is>
      </c>
      <c r="F272" t="inlineStr">
        <is>
          <t>AccessPoint.tenantId</t>
        </is>
      </c>
      <c r="G272" s="2" t="inlineStr">
        <is>
          <t>Cage doors: the tenant whose badges open it.</t>
        </is>
      </c>
      <c r="H272" t="inlineStr">
        <is>
          <t>CUST-7349</t>
        </is>
      </c>
    </row>
    <row r="273">
      <c r="A273" t="inlineStr">
        <is>
          <t>Support_Contracts</t>
        </is>
      </c>
      <c r="B273" t="inlineStr">
        <is>
          <t>contract_id</t>
        </is>
      </c>
      <c r="C273" t="inlineStr">
        <is>
          <t>Required</t>
        </is>
      </c>
      <c r="D273" t="inlineStr">
        <is>
          <t>text</t>
        </is>
      </c>
      <c r="E273" s="2" t="inlineStr"/>
      <c r="F273" t="inlineStr">
        <is>
          <t>contract.id</t>
        </is>
      </c>
      <c r="G273" s="2" t="inlineStr"/>
      <c r="H273" t="inlineStr">
        <is>
          <t>AMC-MH-94990</t>
        </is>
      </c>
    </row>
    <row r="274">
      <c r="A274" t="inlineStr">
        <is>
          <t>Support_Contracts</t>
        </is>
      </c>
      <c r="B274" t="inlineStr">
        <is>
          <t>site_id</t>
        </is>
      </c>
      <c r="C274" t="inlineStr">
        <is>
          <t>Required</t>
        </is>
      </c>
      <c r="D274" t="inlineStr">
        <is>
          <t>ref</t>
        </is>
      </c>
      <c r="E274" s="2" t="inlineStr">
        <is>
          <t>an ID from Sites</t>
        </is>
      </c>
      <c r="F274" t="inlineStr">
        <is>
          <t>(scope)</t>
        </is>
      </c>
      <c r="G274" s="2" t="inlineStr"/>
      <c r="H274" t="inlineStr">
        <is>
          <t>MH-DC-001</t>
        </is>
      </c>
    </row>
    <row r="275">
      <c r="A275" t="inlineStr">
        <is>
          <t>Support_Contracts</t>
        </is>
      </c>
      <c r="B275" t="inlineStr">
        <is>
          <t>vendor</t>
        </is>
      </c>
      <c r="C275" t="inlineStr">
        <is>
          <t>Required</t>
        </is>
      </c>
      <c r="D275" t="inlineStr">
        <is>
          <t>text</t>
        </is>
      </c>
      <c r="E275" s="2" t="inlineStr"/>
      <c r="F275" t="inlineStr">
        <is>
          <t>(vendor)</t>
        </is>
      </c>
      <c r="G275" s="2" t="inlineStr"/>
      <c r="H275" t="inlineStr">
        <is>
          <t>JUNIPER</t>
        </is>
      </c>
    </row>
    <row r="276">
      <c r="A276" t="inlineStr">
        <is>
          <t>Support_Contracts</t>
        </is>
      </c>
      <c r="B276" t="inlineStr">
        <is>
          <t>level</t>
        </is>
      </c>
      <c r="C276" t="inlineStr">
        <is>
          <t>Required</t>
        </is>
      </c>
      <c r="D276" t="inlineStr">
        <is>
          <t>list</t>
        </is>
      </c>
      <c r="E276" s="2" t="inlineStr">
        <is>
          <t>24×7×4, NBD, 8×5 NBD, None</t>
        </is>
      </c>
      <c r="F276" t="inlineStr">
        <is>
          <t>contract.level</t>
        </is>
      </c>
      <c r="G276" s="2" t="inlineStr">
        <is>
          <t>24×7×4 = 4-hour on-site response; NBD = next business day.</t>
        </is>
      </c>
      <c r="H276" t="inlineStr">
        <is>
          <t>24×7×4</t>
        </is>
      </c>
    </row>
    <row r="277">
      <c r="A277" t="inlineStr">
        <is>
          <t>Support_Contracts</t>
        </is>
      </c>
      <c r="B277" t="inlineStr">
        <is>
          <t>start</t>
        </is>
      </c>
      <c r="C277" t="inlineStr">
        <is>
          <t>Optional</t>
        </is>
      </c>
      <c r="D277" t="inlineStr">
        <is>
          <t>date</t>
        </is>
      </c>
      <c r="E277" s="2" t="inlineStr"/>
      <c r="F277" t="inlineStr">
        <is>
          <t>(reference only)</t>
        </is>
      </c>
      <c r="G277" s="2" t="inlineStr"/>
      <c r="H277" t="inlineStr"/>
    </row>
    <row r="278">
      <c r="A278" t="inlineStr">
        <is>
          <t>Support_Contracts</t>
        </is>
      </c>
      <c r="B278" t="inlineStr">
        <is>
          <t>expires</t>
        </is>
      </c>
      <c r="C278" t="inlineStr">
        <is>
          <t>Required</t>
        </is>
      </c>
      <c r="D278" t="inlineStr">
        <is>
          <t>date</t>
        </is>
      </c>
      <c r="E278" s="2" t="inlineStr"/>
      <c r="F278" t="inlineStr">
        <is>
          <t>contract.expires</t>
        </is>
      </c>
      <c r="G278" s="2" t="inlineStr">
        <is>
          <t>The tool flags devices whose contract ends within 90 days.</t>
        </is>
      </c>
      <c r="H278" t="inlineStr">
        <is>
          <t>2028-02-05</t>
        </is>
      </c>
    </row>
    <row r="279">
      <c r="A279" t="inlineStr">
        <is>
          <t>Asset_Lifecycle</t>
        </is>
      </c>
      <c r="B279" t="inlineStr">
        <is>
          <t>device_id</t>
        </is>
      </c>
      <c r="C279" t="inlineStr">
        <is>
          <t>Required</t>
        </is>
      </c>
      <c r="D279" t="inlineStr">
        <is>
          <t>ref</t>
        </is>
      </c>
      <c r="E279" s="2" t="inlineStr">
        <is>
          <t>an ID from Devices</t>
        </is>
      </c>
      <c r="F279" t="inlineStr">
        <is>
          <t>AssetLife.neId</t>
        </is>
      </c>
      <c r="G279" s="2" t="inlineStr"/>
      <c r="H279" t="inlineStr">
        <is>
          <t>MH-DC-001-PE-T4-01</t>
        </is>
      </c>
    </row>
    <row r="280">
      <c r="A280" t="inlineStr">
        <is>
          <t>Asset_Lifecycle</t>
        </is>
      </c>
      <c r="B280" t="inlineStr">
        <is>
          <t>installed</t>
        </is>
      </c>
      <c r="C280" t="inlineStr">
        <is>
          <t>Required</t>
        </is>
      </c>
      <c r="D280" t="inlineStr">
        <is>
          <t>date</t>
        </is>
      </c>
      <c r="E280" s="2" t="inlineStr"/>
      <c r="F280" t="inlineStr">
        <is>
          <t>AssetLife.installed</t>
        </is>
      </c>
      <c r="G280" s="2" t="inlineStr"/>
      <c r="H280" t="inlineStr">
        <is>
          <t>2024-07-24</t>
        </is>
      </c>
    </row>
    <row r="281">
      <c r="A281" t="inlineStr">
        <is>
          <t>Asset_Lifecycle</t>
        </is>
      </c>
      <c r="B281" t="inlineStr">
        <is>
          <t>warranty_end</t>
        </is>
      </c>
      <c r="C281" t="inlineStr">
        <is>
          <t>Required</t>
        </is>
      </c>
      <c r="D281" t="inlineStr">
        <is>
          <t>date</t>
        </is>
      </c>
      <c r="E281" s="2" t="inlineStr"/>
      <c r="F281" t="inlineStr">
        <is>
          <t>AssetLife.warrantyEnd</t>
        </is>
      </c>
      <c r="G281" s="2" t="inlineStr"/>
      <c r="H281" t="inlineStr">
        <is>
          <t>2029-07-23</t>
        </is>
      </c>
    </row>
    <row r="282">
      <c r="A282" t="inlineStr">
        <is>
          <t>Asset_Lifecycle</t>
        </is>
      </c>
      <c r="B282" t="inlineStr">
        <is>
          <t>contract_id</t>
        </is>
      </c>
      <c r="C282" t="inlineStr">
        <is>
          <t>Optional</t>
        </is>
      </c>
      <c r="D282" t="inlineStr">
        <is>
          <t>ref</t>
        </is>
      </c>
      <c r="E282" s="2" t="inlineStr">
        <is>
          <t>an ID from Support_Contracts</t>
        </is>
      </c>
      <c r="F282" t="inlineStr">
        <is>
          <t>AssetLife.contract</t>
        </is>
      </c>
      <c r="G282" s="2" t="inlineStr">
        <is>
          <t>Blank = warranty only.</t>
        </is>
      </c>
      <c r="H282" t="inlineStr">
        <is>
          <t>AMC-MH-94990</t>
        </is>
      </c>
    </row>
    <row r="283">
      <c r="A283" t="inlineStr">
        <is>
          <t>Model_Lifecycle</t>
        </is>
      </c>
      <c r="B283" t="inlineStr">
        <is>
          <t>vendor</t>
        </is>
      </c>
      <c r="C283" t="inlineStr">
        <is>
          <t>Required</t>
        </is>
      </c>
      <c r="D283" t="inlineStr">
        <is>
          <t>text</t>
        </is>
      </c>
      <c r="E283" s="2" t="inlineStr"/>
      <c r="F283" t="inlineStr">
        <is>
          <t>AssetLife.vendor</t>
        </is>
      </c>
      <c r="G283" s="2" t="inlineStr"/>
      <c r="H283" t="inlineStr">
        <is>
          <t>JUNIPER</t>
        </is>
      </c>
    </row>
    <row r="284">
      <c r="A284" t="inlineStr">
        <is>
          <t>Model_Lifecycle</t>
        </is>
      </c>
      <c r="B284" t="inlineStr">
        <is>
          <t>model</t>
        </is>
      </c>
      <c r="C284" t="inlineStr">
        <is>
          <t>Required</t>
        </is>
      </c>
      <c r="D284" t="inlineStr">
        <is>
          <t>text</t>
        </is>
      </c>
      <c r="E284" s="2" t="inlineStr"/>
      <c r="F284" t="inlineStr">
        <is>
          <t>AssetLife.model</t>
        </is>
      </c>
      <c r="G284" s="2" t="inlineStr">
        <is>
          <t>Exactly as in Devices.model.</t>
        </is>
      </c>
      <c r="H284" t="inlineStr">
        <is>
          <t>MX204</t>
        </is>
      </c>
    </row>
    <row r="285">
      <c r="A285" t="inlineStr">
        <is>
          <t>Model_Lifecycle</t>
        </is>
      </c>
      <c r="B285" t="inlineStr">
        <is>
          <t>end_of_sale</t>
        </is>
      </c>
      <c r="C285" t="inlineStr">
        <is>
          <t>Required</t>
        </is>
      </c>
      <c r="D285" t="inlineStr">
        <is>
          <t>date</t>
        </is>
      </c>
      <c r="E285" s="2" t="inlineStr"/>
      <c r="F285" t="inlineStr">
        <is>
          <t>AssetLife.endOfSale</t>
        </is>
      </c>
      <c r="G285" s="2" t="inlineStr"/>
      <c r="H285" t="inlineStr">
        <is>
          <t>2030-07-05</t>
        </is>
      </c>
    </row>
    <row r="286">
      <c r="A286" t="inlineStr">
        <is>
          <t>Model_Lifecycle</t>
        </is>
      </c>
      <c r="B286" t="inlineStr">
        <is>
          <t>end_of_support</t>
        </is>
      </c>
      <c r="C286" t="inlineStr">
        <is>
          <t>Required</t>
        </is>
      </c>
      <c r="D286" t="inlineStr">
        <is>
          <t>date</t>
        </is>
      </c>
      <c r="E286" s="2" t="inlineStr"/>
      <c r="F286" t="inlineStr">
        <is>
          <t>AssetLife.endOfSupport</t>
        </is>
      </c>
      <c r="G286" s="2" t="inlineStr">
        <is>
          <t>Past this date the device is flagged End of support.</t>
        </is>
      </c>
      <c r="H286" t="inlineStr">
        <is>
          <t>2035-07-04</t>
        </is>
      </c>
    </row>
    <row r="287">
      <c r="A287" t="inlineStr">
        <is>
          <t>Spares</t>
        </is>
      </c>
      <c r="B287" t="inlineStr">
        <is>
          <t>site_id</t>
        </is>
      </c>
      <c r="C287" t="inlineStr">
        <is>
          <t>Required</t>
        </is>
      </c>
      <c r="D287" t="inlineStr">
        <is>
          <t>ref</t>
        </is>
      </c>
      <c r="E287" s="2" t="inlineStr">
        <is>
          <t>an ID from Sites</t>
        </is>
      </c>
      <c r="F287" t="inlineStr">
        <is>
          <t>SparePart.dcId</t>
        </is>
      </c>
      <c r="G287" s="2" t="inlineStr"/>
      <c r="H287" t="inlineStr">
        <is>
          <t>MH-DC-001</t>
        </is>
      </c>
    </row>
    <row r="288">
      <c r="A288" t="inlineStr">
        <is>
          <t>Spares</t>
        </is>
      </c>
      <c r="B288" t="inlineStr">
        <is>
          <t>part</t>
        </is>
      </c>
      <c r="C288" t="inlineStr">
        <is>
          <t>Required</t>
        </is>
      </c>
      <c r="D288" t="inlineStr">
        <is>
          <t>text</t>
        </is>
      </c>
      <c r="E288" s="2" t="inlineStr"/>
      <c r="F288" t="inlineStr">
        <is>
          <t>SparePart.part</t>
        </is>
      </c>
      <c r="G288" s="2" t="inlineStr">
        <is>
          <t>Part family, for example "DELL power supply", "SFP-10G-LR", "H200 SXM 141 GB board".</t>
        </is>
      </c>
      <c r="H288" t="inlineStr">
        <is>
          <t>NOKIA fan module</t>
        </is>
      </c>
    </row>
    <row r="289">
      <c r="A289" t="inlineStr">
        <is>
          <t>Spares</t>
        </is>
      </c>
      <c r="B289" t="inlineStr">
        <is>
          <t>fits</t>
        </is>
      </c>
      <c r="C289" t="inlineStr">
        <is>
          <t>Optional</t>
        </is>
      </c>
      <c r="D289" t="inlineStr">
        <is>
          <t>text</t>
        </is>
      </c>
      <c r="E289" s="2" t="inlineStr"/>
      <c r="F289" t="inlineStr">
        <is>
          <t>SparePart.fits</t>
        </is>
      </c>
      <c r="G289" s="2" t="inlineStr"/>
      <c r="H289" t="inlineStr">
        <is>
          <t>NOKIA</t>
        </is>
      </c>
    </row>
    <row r="290">
      <c r="A290" t="inlineStr">
        <is>
          <t>Spares</t>
        </is>
      </c>
      <c r="B290" t="inlineStr">
        <is>
          <t>on_hand</t>
        </is>
      </c>
      <c r="C290" t="inlineStr">
        <is>
          <t>Required</t>
        </is>
      </c>
      <c r="D290" t="inlineStr">
        <is>
          <t>integer</t>
        </is>
      </c>
      <c r="E290" s="2" t="inlineStr"/>
      <c r="F290" t="inlineStr">
        <is>
          <t>SparePart.onHand</t>
        </is>
      </c>
      <c r="G290" s="2" t="inlineStr"/>
      <c r="H290" t="inlineStr">
        <is>
          <t>0</t>
        </is>
      </c>
    </row>
    <row r="291">
      <c r="A291" t="inlineStr">
        <is>
          <t>Spares</t>
        </is>
      </c>
      <c r="B291" t="inlineStr">
        <is>
          <t>min_level</t>
        </is>
      </c>
      <c r="C291" t="inlineStr">
        <is>
          <t>Required</t>
        </is>
      </c>
      <c r="D291" t="inlineStr">
        <is>
          <t>integer</t>
        </is>
      </c>
      <c r="E291" s="2" t="inlineStr"/>
      <c r="F291" t="inlineStr">
        <is>
          <t>SparePart.min</t>
        </is>
      </c>
      <c r="G291" s="2" t="inlineStr">
        <is>
          <t>The tool flags Low when the free count falls below it.</t>
        </is>
      </c>
      <c r="H291" t="inlineStr">
        <is>
          <t>1</t>
        </is>
      </c>
    </row>
    <row r="292">
      <c r="A292" t="inlineStr">
        <is>
          <t>PM_Plan</t>
        </is>
      </c>
      <c r="B292" t="inlineStr">
        <is>
          <t>task_id</t>
        </is>
      </c>
      <c r="C292" t="inlineStr">
        <is>
          <t>Required</t>
        </is>
      </c>
      <c r="D292" t="inlineStr">
        <is>
          <t>text</t>
        </is>
      </c>
      <c r="E292" s="2" t="inlineStr"/>
      <c r="F292" t="inlineStr">
        <is>
          <t>PmTask.id</t>
        </is>
      </c>
      <c r="G292" s="2" t="inlineStr"/>
      <c r="H292" t="inlineStr">
        <is>
          <t>MH-DC-001-PM-024</t>
        </is>
      </c>
    </row>
    <row r="293">
      <c r="A293" t="inlineStr">
        <is>
          <t>PM_Plan</t>
        </is>
      </c>
      <c r="B293" t="inlineStr">
        <is>
          <t>site_id</t>
        </is>
      </c>
      <c r="C293" t="inlineStr">
        <is>
          <t>Required</t>
        </is>
      </c>
      <c r="D293" t="inlineStr">
        <is>
          <t>ref</t>
        </is>
      </c>
      <c r="E293" s="2" t="inlineStr">
        <is>
          <t>an ID from Sites</t>
        </is>
      </c>
      <c r="F293" t="inlineStr">
        <is>
          <t>PmTask.dcId</t>
        </is>
      </c>
      <c r="G293" s="2" t="inlineStr"/>
      <c r="H293" t="inlineStr">
        <is>
          <t>MH-DC-001</t>
        </is>
      </c>
    </row>
    <row r="294">
      <c r="A294" t="inlineStr">
        <is>
          <t>PM_Plan</t>
        </is>
      </c>
      <c r="B294" t="inlineStr">
        <is>
          <t>asset_id</t>
        </is>
      </c>
      <c r="C294" t="inlineStr">
        <is>
          <t>Required</t>
        </is>
      </c>
      <c r="D294" t="inlineStr">
        <is>
          <t>text</t>
        </is>
      </c>
      <c r="E294" s="2" t="inlineStr"/>
      <c r="F294" t="inlineStr">
        <is>
          <t>PmTask.assetId</t>
        </is>
      </c>
      <c r="G294" s="2" t="inlineStr">
        <is>
          <t>UPS, cooling unit, fire zone, DG… id from the sheets above.</t>
        </is>
      </c>
      <c r="H294" t="inlineStr">
        <is>
          <t>MH-DC-001-LV</t>
        </is>
      </c>
    </row>
    <row r="295">
      <c r="A295" t="inlineStr">
        <is>
          <t>PM_Plan</t>
        </is>
      </c>
      <c r="B295" t="inlineStr">
        <is>
          <t>kind</t>
        </is>
      </c>
      <c r="C295" t="inlineStr">
        <is>
          <t>Required</t>
        </is>
      </c>
      <c r="D295" t="inlineStr">
        <is>
          <t>list</t>
        </is>
      </c>
      <c r="E295" s="2" t="inlineStr">
        <is>
          <t>UPS, Battery, Generator, Cooling, CDU, Fire, Electrical</t>
        </is>
      </c>
      <c r="F295" t="inlineStr">
        <is>
          <t>PmTask.kind</t>
        </is>
      </c>
      <c r="G295" s="2" t="inlineStr"/>
      <c r="H295" t="inlineStr">
        <is>
          <t>Electrical</t>
        </is>
      </c>
    </row>
    <row r="296">
      <c r="A296" t="inlineStr">
        <is>
          <t>PM_Plan</t>
        </is>
      </c>
      <c r="B296" t="inlineStr">
        <is>
          <t>task</t>
        </is>
      </c>
      <c r="C296" t="inlineStr">
        <is>
          <t>Required</t>
        </is>
      </c>
      <c r="D296" t="inlineStr">
        <is>
          <t>text</t>
        </is>
      </c>
      <c r="E296" s="2" t="inlineStr"/>
      <c r="F296" t="inlineStr">
        <is>
          <t>PmTask.task</t>
        </is>
      </c>
      <c r="G296" s="2" t="inlineStr"/>
      <c r="H296" t="inlineStr">
        <is>
          <t>Annual thermography and ATS transfer test</t>
        </is>
      </c>
    </row>
    <row r="297">
      <c r="A297" t="inlineStr">
        <is>
          <t>PM_Plan</t>
        </is>
      </c>
      <c r="B297" t="inlineStr">
        <is>
          <t>interval_days</t>
        </is>
      </c>
      <c r="C297" t="inlineStr">
        <is>
          <t>Required</t>
        </is>
      </c>
      <c r="D297" t="inlineStr">
        <is>
          <t>integer</t>
        </is>
      </c>
      <c r="E297" s="2" t="inlineStr"/>
      <c r="F297" t="inlineStr">
        <is>
          <t>PmTask.intervalDays</t>
        </is>
      </c>
      <c r="G297" s="2" t="inlineStr"/>
      <c r="H297" t="inlineStr">
        <is>
          <t>365</t>
        </is>
      </c>
    </row>
    <row r="298">
      <c r="A298" t="inlineStr">
        <is>
          <t>PM_Plan</t>
        </is>
      </c>
      <c r="B298" t="inlineStr">
        <is>
          <t>last_done</t>
        </is>
      </c>
      <c r="C298" t="inlineStr">
        <is>
          <t>Required</t>
        </is>
      </c>
      <c r="D298" t="inlineStr">
        <is>
          <t>date</t>
        </is>
      </c>
      <c r="E298" s="2" t="inlineStr"/>
      <c r="F298" t="inlineStr">
        <is>
          <t>PmTask.lastDone</t>
        </is>
      </c>
      <c r="G298" s="2" t="inlineStr">
        <is>
          <t>Next due = last done + interval.</t>
        </is>
      </c>
      <c r="H298" t="inlineStr">
        <is>
          <t>2025-06-24</t>
        </is>
      </c>
    </row>
    <row r="299">
      <c r="A299" t="inlineStr">
        <is>
          <t>PM_Plan</t>
        </is>
      </c>
      <c r="B299" t="inlineStr">
        <is>
          <t>owner</t>
        </is>
      </c>
      <c r="C299" t="inlineStr">
        <is>
          <t>Optional</t>
        </is>
      </c>
      <c r="D299" t="inlineStr">
        <is>
          <t>text</t>
        </is>
      </c>
      <c r="E299" s="2" t="inlineStr"/>
      <c r="F299" t="inlineStr">
        <is>
          <t>PmTask.owner</t>
        </is>
      </c>
      <c r="G299" s="2" t="inlineStr"/>
      <c r="H299" t="inlineStr">
        <is>
          <t>Sarah Chen</t>
        </is>
      </c>
    </row>
    <row r="300">
      <c r="A300" t="inlineStr">
        <is>
          <t>On_Call</t>
        </is>
      </c>
      <c r="B300" t="inlineStr">
        <is>
          <t>region</t>
        </is>
      </c>
      <c r="C300" t="inlineStr">
        <is>
          <t>Required</t>
        </is>
      </c>
      <c r="D300" t="inlineStr">
        <is>
          <t>text</t>
        </is>
      </c>
      <c r="E300" s="2" t="inlineStr"/>
      <c r="F300" t="inlineStr">
        <is>
          <t>Region.name</t>
        </is>
      </c>
      <c r="G300" s="2" t="inlineStr">
        <is>
          <t>Region as in Sites.region.</t>
        </is>
      </c>
      <c r="H300" t="inlineStr">
        <is>
          <t>West</t>
        </is>
      </c>
    </row>
    <row r="301">
      <c r="A301" t="inlineStr">
        <is>
          <t>On_Call</t>
        </is>
      </c>
      <c r="B301" t="inlineStr">
        <is>
          <t>role</t>
        </is>
      </c>
      <c r="C301" t="inlineStr">
        <is>
          <t>Required</t>
        </is>
      </c>
      <c r="D301" t="inlineStr">
        <is>
          <t>list</t>
        </is>
      </c>
      <c r="E301" s="2" t="inlineStr">
        <is>
          <t>NOC shift lead, Network engineer, Facility engineer, Field technician, Duty manager, AI infrastructure engineer</t>
        </is>
      </c>
      <c r="F301" t="inlineStr">
        <is>
          <t>OnCall.role</t>
        </is>
      </c>
      <c r="G301" s="2" t="inlineStr"/>
      <c r="H301" t="inlineStr">
        <is>
          <t>NOC shift lead</t>
        </is>
      </c>
    </row>
    <row r="302">
      <c r="A302" t="inlineStr">
        <is>
          <t>On_Call</t>
        </is>
      </c>
      <c r="B302" t="inlineStr">
        <is>
          <t>name</t>
        </is>
      </c>
      <c r="C302" t="inlineStr">
        <is>
          <t>Required</t>
        </is>
      </c>
      <c r="D302" t="inlineStr">
        <is>
          <t>text</t>
        </is>
      </c>
      <c r="E302" s="2" t="inlineStr"/>
      <c r="F302" t="inlineStr">
        <is>
          <t>OnCall.name</t>
        </is>
      </c>
      <c r="G302" s="2" t="inlineStr"/>
      <c r="H302" t="inlineStr">
        <is>
          <t>Sarah Chen</t>
        </is>
      </c>
    </row>
    <row r="303">
      <c r="A303" t="inlineStr">
        <is>
          <t>On_Call</t>
        </is>
      </c>
      <c r="B303" t="inlineStr">
        <is>
          <t>tier</t>
        </is>
      </c>
      <c r="C303" t="inlineStr">
        <is>
          <t>Required</t>
        </is>
      </c>
      <c r="D303" t="inlineStr">
        <is>
          <t>integer</t>
        </is>
      </c>
      <c r="E303" s="2" t="inlineStr"/>
      <c r="F303" t="inlineStr">
        <is>
          <t>OnCall.tier</t>
        </is>
      </c>
      <c r="G303" s="2" t="inlineStr">
        <is>
          <t>1, 2 or 3.</t>
        </is>
      </c>
      <c r="H303" t="inlineStr">
        <is>
          <t>1</t>
        </is>
      </c>
    </row>
    <row r="304">
      <c r="A304" t="inlineStr">
        <is>
          <t>On_Call</t>
        </is>
      </c>
      <c r="B304" t="inlineStr">
        <is>
          <t>escalate_after_min</t>
        </is>
      </c>
      <c r="C304" t="inlineStr">
        <is>
          <t>Required</t>
        </is>
      </c>
      <c r="D304" t="inlineStr">
        <is>
          <t>integer</t>
        </is>
      </c>
      <c r="E304" s="2" t="inlineStr"/>
      <c r="F304" t="inlineStr">
        <is>
          <t>OnCall.escalateAfterMin</t>
        </is>
      </c>
      <c r="G304" s="2" t="inlineStr">
        <is>
          <t>Minutes before an unacknowledged page escalates.</t>
        </is>
      </c>
      <c r="H304" t="inlineStr">
        <is>
          <t>15</t>
        </is>
      </c>
    </row>
    <row r="305">
      <c r="A305" t="inlineStr">
        <is>
          <t>On_Call</t>
        </is>
      </c>
      <c r="B305" t="inlineStr">
        <is>
          <t>phone</t>
        </is>
      </c>
      <c r="C305" t="inlineStr">
        <is>
          <t>Optional</t>
        </is>
      </c>
      <c r="D305" t="inlineStr">
        <is>
          <t>text</t>
        </is>
      </c>
      <c r="E305" s="2" t="inlineStr"/>
      <c r="F305" t="inlineStr">
        <is>
          <t>(paging)</t>
        </is>
      </c>
      <c r="G305" s="2" t="inlineStr"/>
      <c r="H305" t="inlineStr"/>
    </row>
    <row r="306">
      <c r="A306" t="inlineStr">
        <is>
          <t>Snapshot_Alerts</t>
        </is>
      </c>
      <c r="B306" t="inlineStr">
        <is>
          <t>alert_id</t>
        </is>
      </c>
      <c r="C306" t="inlineStr">
        <is>
          <t>Optional</t>
        </is>
      </c>
      <c r="D306" t="inlineStr">
        <is>
          <t>text</t>
        </is>
      </c>
      <c r="E306" s="2" t="inlineStr"/>
      <c r="F306" t="inlineStr">
        <is>
          <t>Alert.id</t>
        </is>
      </c>
      <c r="G306" s="2" t="inlineStr"/>
      <c r="H306" t="inlineStr">
        <is>
          <t>ALM-1930</t>
        </is>
      </c>
    </row>
    <row r="307">
      <c r="A307" t="inlineStr">
        <is>
          <t>Snapshot_Alerts</t>
        </is>
      </c>
      <c r="B307" t="inlineStr">
        <is>
          <t>site_id</t>
        </is>
      </c>
      <c r="C307" t="inlineStr">
        <is>
          <t>Optional</t>
        </is>
      </c>
      <c r="D307" t="inlineStr">
        <is>
          <t>text</t>
        </is>
      </c>
      <c r="E307" s="2" t="inlineStr"/>
      <c r="F307" t="inlineStr">
        <is>
          <t>Alert.dcId</t>
        </is>
      </c>
      <c r="G307" s="2" t="inlineStr"/>
      <c r="H307" t="inlineStr">
        <is>
          <t>MH-DC-001</t>
        </is>
      </c>
    </row>
    <row r="308">
      <c r="A308" t="inlineStr">
        <is>
          <t>Snapshot_Alerts</t>
        </is>
      </c>
      <c r="B308" t="inlineStr">
        <is>
          <t>severity</t>
        </is>
      </c>
      <c r="C308" t="inlineStr">
        <is>
          <t>Optional</t>
        </is>
      </c>
      <c r="D308" t="inlineStr">
        <is>
          <t>text</t>
        </is>
      </c>
      <c r="E308" s="2" t="inlineStr"/>
      <c r="F308" t="inlineStr">
        <is>
          <t>Alert.severity</t>
        </is>
      </c>
      <c r="G308" s="2" t="inlineStr"/>
      <c r="H308" t="inlineStr">
        <is>
          <t>critical</t>
        </is>
      </c>
    </row>
    <row r="309">
      <c r="A309" t="inlineStr">
        <is>
          <t>Snapshot_Alerts</t>
        </is>
      </c>
      <c r="B309" t="inlineStr">
        <is>
          <t>state</t>
        </is>
      </c>
      <c r="C309" t="inlineStr">
        <is>
          <t>Optional</t>
        </is>
      </c>
      <c r="D309" t="inlineStr">
        <is>
          <t>text</t>
        </is>
      </c>
      <c r="E309" s="2" t="inlineStr"/>
      <c r="F309" t="inlineStr">
        <is>
          <t>Alert.state</t>
        </is>
      </c>
      <c r="G309" s="2" t="inlineStr"/>
      <c r="H309" t="inlineStr">
        <is>
          <t>active</t>
        </is>
      </c>
    </row>
    <row r="310">
      <c r="A310" t="inlineStr">
        <is>
          <t>Snapshot_Alerts</t>
        </is>
      </c>
      <c r="B310" t="inlineStr">
        <is>
          <t>title</t>
        </is>
      </c>
      <c r="C310" t="inlineStr">
        <is>
          <t>Optional</t>
        </is>
      </c>
      <c r="D310" t="inlineStr">
        <is>
          <t>text</t>
        </is>
      </c>
      <c r="E310" s="2" t="inlineStr"/>
      <c r="F310" t="inlineStr">
        <is>
          <t>Alert.title</t>
        </is>
      </c>
      <c r="G310" s="2" t="inlineStr"/>
      <c r="H310" t="inlineStr">
        <is>
          <t>Interface Flapping Detected</t>
        </is>
      </c>
    </row>
    <row r="311">
      <c r="A311" t="inlineStr">
        <is>
          <t>Snapshot_Alerts</t>
        </is>
      </c>
      <c r="B311" t="inlineStr">
        <is>
          <t>source</t>
        </is>
      </c>
      <c r="C311" t="inlineStr">
        <is>
          <t>Optional</t>
        </is>
      </c>
      <c r="D311" t="inlineStr">
        <is>
          <t>text</t>
        </is>
      </c>
      <c r="E311" s="2" t="inlineStr"/>
      <c r="F311" t="inlineStr">
        <is>
          <t>Alert.source</t>
        </is>
      </c>
      <c r="G311" s="2" t="inlineStr"/>
      <c r="H311" t="inlineStr">
        <is>
          <t>Interface</t>
        </is>
      </c>
    </row>
    <row r="312">
      <c r="A312" t="inlineStr">
        <is>
          <t>Snapshot_Alerts</t>
        </is>
      </c>
      <c r="B312" t="inlineStr">
        <is>
          <t>category</t>
        </is>
      </c>
      <c r="C312" t="inlineStr">
        <is>
          <t>Optional</t>
        </is>
      </c>
      <c r="D312" t="inlineStr">
        <is>
          <t>text</t>
        </is>
      </c>
      <c r="E312" s="2" t="inlineStr"/>
      <c r="F312" t="inlineStr">
        <is>
          <t>Alert.category</t>
        </is>
      </c>
      <c r="G312" s="2" t="inlineStr"/>
      <c r="H312" t="inlineStr">
        <is>
          <t>Network</t>
        </is>
      </c>
    </row>
    <row r="313">
      <c r="A313" t="inlineStr">
        <is>
          <t>Snapshot_Alerts</t>
        </is>
      </c>
      <c r="B313" t="inlineStr">
        <is>
          <t>scope</t>
        </is>
      </c>
      <c r="C313" t="inlineStr">
        <is>
          <t>Optional</t>
        </is>
      </c>
      <c r="D313" t="inlineStr">
        <is>
          <t>text</t>
        </is>
      </c>
      <c r="E313" s="2" t="inlineStr"/>
      <c r="F313" t="inlineStr">
        <is>
          <t>Alert.scope</t>
        </is>
      </c>
      <c r="G313" s="2" t="inlineStr"/>
      <c r="H313" t="inlineStr">
        <is>
          <t>edge</t>
        </is>
      </c>
    </row>
    <row r="314">
      <c r="A314" t="inlineStr">
        <is>
          <t>Snapshot_Alerts</t>
        </is>
      </c>
      <c r="B314" t="inlineStr">
        <is>
          <t>device_or_node</t>
        </is>
      </c>
      <c r="C314" t="inlineStr">
        <is>
          <t>Optional</t>
        </is>
      </c>
      <c r="D314" t="inlineStr">
        <is>
          <t>text</t>
        </is>
      </c>
      <c r="E314" s="2" t="inlineStr"/>
      <c r="F314" t="inlineStr">
        <is>
          <t>Alert.neId / node</t>
        </is>
      </c>
      <c r="G314" s="2" t="inlineStr"/>
      <c r="H314" t="inlineStr">
        <is>
          <t>MH-DC-001-PE-T4-01</t>
        </is>
      </c>
    </row>
    <row r="315">
      <c r="A315" t="inlineStr">
        <is>
          <t>Snapshot_Alerts</t>
        </is>
      </c>
      <c r="B315" t="inlineStr">
        <is>
          <t>if_name</t>
        </is>
      </c>
      <c r="C315" t="inlineStr">
        <is>
          <t>Optional</t>
        </is>
      </c>
      <c r="D315" t="inlineStr">
        <is>
          <t>text</t>
        </is>
      </c>
      <c r="E315" s="2" t="inlineStr"/>
      <c r="F315" t="inlineStr">
        <is>
          <t>Alert.ifName</t>
        </is>
      </c>
      <c r="G315" s="2" t="inlineStr"/>
      <c r="H315" t="inlineStr">
        <is>
          <t>xe-0/0/3</t>
        </is>
      </c>
    </row>
    <row r="316">
      <c r="A316" t="inlineStr">
        <is>
          <t>Snapshot_Alerts</t>
        </is>
      </c>
      <c r="B316" t="inlineStr">
        <is>
          <t>link_or_rack</t>
        </is>
      </c>
      <c r="C316" t="inlineStr">
        <is>
          <t>Optional</t>
        </is>
      </c>
      <c r="D316" t="inlineStr">
        <is>
          <t>text</t>
        </is>
      </c>
      <c r="E316" s="2" t="inlineStr"/>
      <c r="F316" t="inlineStr">
        <is>
          <t>Alert.linkId / rackId</t>
        </is>
      </c>
      <c r="G316" s="2" t="inlineStr"/>
      <c r="H316" t="inlineStr">
        <is>
          <t>LNK-00017</t>
        </is>
      </c>
    </row>
    <row r="317">
      <c r="A317" t="inlineStr">
        <is>
          <t>Snapshot_Alerts</t>
        </is>
      </c>
      <c r="B317" t="inlineStr">
        <is>
          <t>raised_at</t>
        </is>
      </c>
      <c r="C317" t="inlineStr">
        <is>
          <t>Optional</t>
        </is>
      </c>
      <c r="D317" t="inlineStr">
        <is>
          <t>text</t>
        </is>
      </c>
      <c r="E317" s="2" t="inlineStr"/>
      <c r="F317" t="inlineStr">
        <is>
          <t>Alert.start</t>
        </is>
      </c>
      <c r="G317" s="2" t="inlineStr"/>
      <c r="H317" t="inlineStr">
        <is>
          <t>2026-10-01 07:07</t>
        </is>
      </c>
    </row>
    <row r="318">
      <c r="A318" t="inlineStr">
        <is>
          <t>Snapshot_Alerts</t>
        </is>
      </c>
      <c r="B318" t="inlineStr">
        <is>
          <t>incident_id</t>
        </is>
      </c>
      <c r="C318" t="inlineStr">
        <is>
          <t>Optional</t>
        </is>
      </c>
      <c r="D318" t="inlineStr">
        <is>
          <t>text</t>
        </is>
      </c>
      <c r="E318" s="2" t="inlineStr"/>
      <c r="F318" t="inlineStr">
        <is>
          <t>Alert.incidentId</t>
        </is>
      </c>
      <c r="G318" s="2" t="inlineStr"/>
      <c r="H318" t="inlineStr">
        <is>
          <t>INC-0001</t>
        </is>
      </c>
    </row>
    <row r="319">
      <c r="A319" t="inlineStr">
        <is>
          <t>Snapshot_Incidents</t>
        </is>
      </c>
      <c r="B319" t="inlineStr">
        <is>
          <t>incident_id</t>
        </is>
      </c>
      <c r="C319" t="inlineStr">
        <is>
          <t>Optional</t>
        </is>
      </c>
      <c r="D319" t="inlineStr">
        <is>
          <t>text</t>
        </is>
      </c>
      <c r="E319" s="2" t="inlineStr"/>
      <c r="F319" t="inlineStr">
        <is>
          <t>Incident.id</t>
        </is>
      </c>
      <c r="G319" s="2" t="inlineStr"/>
      <c r="H319" t="inlineStr">
        <is>
          <t>INC-0001</t>
        </is>
      </c>
    </row>
    <row r="320">
      <c r="A320" t="inlineStr">
        <is>
          <t>Snapshot_Incidents</t>
        </is>
      </c>
      <c r="B320" t="inlineStr">
        <is>
          <t>site_id</t>
        </is>
      </c>
      <c r="C320" t="inlineStr">
        <is>
          <t>Optional</t>
        </is>
      </c>
      <c r="D320" t="inlineStr">
        <is>
          <t>text</t>
        </is>
      </c>
      <c r="E320" s="2" t="inlineStr"/>
      <c r="F320" t="inlineStr">
        <is>
          <t>Incident.dcId</t>
        </is>
      </c>
      <c r="G320" s="2" t="inlineStr"/>
      <c r="H320" t="inlineStr">
        <is>
          <t>MH-DC-001</t>
        </is>
      </c>
    </row>
    <row r="321">
      <c r="A321" t="inlineStr">
        <is>
          <t>Snapshot_Incidents</t>
        </is>
      </c>
      <c r="B321" t="inlineStr">
        <is>
          <t>severity</t>
        </is>
      </c>
      <c r="C321" t="inlineStr">
        <is>
          <t>Optional</t>
        </is>
      </c>
      <c r="D321" t="inlineStr">
        <is>
          <t>text</t>
        </is>
      </c>
      <c r="E321" s="2" t="inlineStr"/>
      <c r="F321" t="inlineStr">
        <is>
          <t>Incident.sev</t>
        </is>
      </c>
      <c r="G321" s="2" t="inlineStr"/>
      <c r="H321" t="inlineStr">
        <is>
          <t>High</t>
        </is>
      </c>
    </row>
    <row r="322">
      <c r="A322" t="inlineStr">
        <is>
          <t>Snapshot_Incidents</t>
        </is>
      </c>
      <c r="B322" t="inlineStr">
        <is>
          <t>status</t>
        </is>
      </c>
      <c r="C322" t="inlineStr">
        <is>
          <t>Optional</t>
        </is>
      </c>
      <c r="D322" t="inlineStr">
        <is>
          <t>text</t>
        </is>
      </c>
      <c r="E322" s="2" t="inlineStr"/>
      <c r="F322" t="inlineStr">
        <is>
          <t>Incident.status</t>
        </is>
      </c>
      <c r="G322" s="2" t="inlineStr"/>
      <c r="H322" t="inlineStr">
        <is>
          <t>Open</t>
        </is>
      </c>
    </row>
    <row r="323">
      <c r="A323" t="inlineStr">
        <is>
          <t>Snapshot_Incidents</t>
        </is>
      </c>
      <c r="B323" t="inlineStr">
        <is>
          <t>type</t>
        </is>
      </c>
      <c r="C323" t="inlineStr">
        <is>
          <t>Optional</t>
        </is>
      </c>
      <c r="D323" t="inlineStr">
        <is>
          <t>text</t>
        </is>
      </c>
      <c r="E323" s="2" t="inlineStr"/>
      <c r="F323" t="inlineStr">
        <is>
          <t>Incident.type</t>
        </is>
      </c>
      <c r="G323" s="2" t="inlineStr"/>
      <c r="H323" t="inlineStr">
        <is>
          <t>Network</t>
        </is>
      </c>
    </row>
    <row r="324">
      <c r="A324" t="inlineStr">
        <is>
          <t>Snapshot_Incidents</t>
        </is>
      </c>
      <c r="B324" t="inlineStr">
        <is>
          <t>title</t>
        </is>
      </c>
      <c r="C324" t="inlineStr">
        <is>
          <t>Optional</t>
        </is>
      </c>
      <c r="D324" t="inlineStr">
        <is>
          <t>text</t>
        </is>
      </c>
      <c r="E324" s="2" t="inlineStr"/>
      <c r="F324" t="inlineStr">
        <is>
          <t>Incident.title</t>
        </is>
      </c>
      <c r="G324" s="2" t="inlineStr"/>
      <c r="H324" t="inlineStr">
        <is>
          <t>Optical degradation on PE-T4-01 xe-0/0/3 — backhaul flapping</t>
        </is>
      </c>
    </row>
    <row r="325">
      <c r="A325" t="inlineStr">
        <is>
          <t>Snapshot_Incidents</t>
        </is>
      </c>
      <c r="B325" t="inlineStr">
        <is>
          <t>owner</t>
        </is>
      </c>
      <c r="C325" t="inlineStr">
        <is>
          <t>Optional</t>
        </is>
      </c>
      <c r="D325" t="inlineStr">
        <is>
          <t>text</t>
        </is>
      </c>
      <c r="E325" s="2" t="inlineStr"/>
      <c r="F325" t="inlineStr">
        <is>
          <t>Incident.owner</t>
        </is>
      </c>
      <c r="G325" s="2" t="inlineStr"/>
      <c r="H325" t="inlineStr">
        <is>
          <t>Mike Johnson</t>
        </is>
      </c>
    </row>
    <row r="326">
      <c r="A326" t="inlineStr">
        <is>
          <t>Snapshot_Incidents</t>
        </is>
      </c>
      <c r="B326" t="inlineStr">
        <is>
          <t>detected_at</t>
        </is>
      </c>
      <c r="C326" t="inlineStr">
        <is>
          <t>Optional</t>
        </is>
      </c>
      <c r="D326" t="inlineStr">
        <is>
          <t>text</t>
        </is>
      </c>
      <c r="E326" s="2" t="inlineStr"/>
      <c r="F326" t="inlineStr">
        <is>
          <t>Incident.detected</t>
        </is>
      </c>
      <c r="G326" s="2" t="inlineStr"/>
      <c r="H326" t="inlineStr">
        <is>
          <t>2026-10-01 07:08</t>
        </is>
      </c>
    </row>
    <row r="327">
      <c r="A327" t="inlineStr">
        <is>
          <t>Snapshot_Incidents</t>
        </is>
      </c>
      <c r="B327" t="inlineStr">
        <is>
          <t>resolved_at</t>
        </is>
      </c>
      <c r="C327" t="inlineStr">
        <is>
          <t>Optional</t>
        </is>
      </c>
      <c r="D327" t="inlineStr">
        <is>
          <t>text</t>
        </is>
      </c>
      <c r="E327" s="2" t="inlineStr"/>
      <c r="F327" t="inlineStr">
        <is>
          <t>Incident.resolved</t>
        </is>
      </c>
      <c r="G327" s="2" t="inlineStr"/>
      <c r="H327" t="inlineStr">
        <is>
          <t>2026-09-15 18:58</t>
        </is>
      </c>
    </row>
    <row r="328">
      <c r="A328" t="inlineStr">
        <is>
          <t>Snapshot_Incidents</t>
        </is>
      </c>
      <c r="B328" t="inlineStr">
        <is>
          <t>alarms</t>
        </is>
      </c>
      <c r="C328" t="inlineStr">
        <is>
          <t>Optional</t>
        </is>
      </c>
      <c r="D328" t="inlineStr">
        <is>
          <t>text</t>
        </is>
      </c>
      <c r="E328" s="2" t="inlineStr"/>
      <c r="F328" t="inlineStr">
        <is>
          <t>Incident.alertIds</t>
        </is>
      </c>
      <c r="G328" s="2" t="inlineStr"/>
      <c r="H328" t="inlineStr">
        <is>
          <t>4</t>
        </is>
      </c>
    </row>
    <row r="329">
      <c r="A329" t="inlineStr">
        <is>
          <t>Snapshot_Incidents</t>
        </is>
      </c>
      <c r="B329" t="inlineStr">
        <is>
          <t>services_hit</t>
        </is>
      </c>
      <c r="C329" t="inlineStr">
        <is>
          <t>Optional</t>
        </is>
      </c>
      <c r="D329" t="inlineStr">
        <is>
          <t>text</t>
        </is>
      </c>
      <c r="E329" s="2" t="inlineStr"/>
      <c r="F329" t="inlineStr">
        <is>
          <t>impact.services</t>
        </is>
      </c>
      <c r="G329" s="2" t="inlineStr"/>
      <c r="H329" t="inlineStr">
        <is>
          <t>0</t>
        </is>
      </c>
    </row>
    <row r="330">
      <c r="A330" t="inlineStr">
        <is>
          <t>Snapshot_Incidents</t>
        </is>
      </c>
      <c r="B330" t="inlineStr">
        <is>
          <t>customers_hit</t>
        </is>
      </c>
      <c r="C330" t="inlineStr">
        <is>
          <t>Optional</t>
        </is>
      </c>
      <c r="D330" t="inlineStr">
        <is>
          <t>text</t>
        </is>
      </c>
      <c r="E330" s="2" t="inlineStr"/>
      <c r="F330" t="inlineStr">
        <is>
          <t>impact.customers</t>
        </is>
      </c>
      <c r="G330" s="2" t="inlineStr"/>
      <c r="H330" t="inlineStr">
        <is>
          <t>0</t>
        </is>
      </c>
    </row>
    <row r="331">
      <c r="A331" t="inlineStr">
        <is>
          <t>Snapshot_Incidents</t>
        </is>
      </c>
      <c r="B331" t="inlineStr">
        <is>
          <t>revenue_at_risk</t>
        </is>
      </c>
      <c r="C331" t="inlineStr">
        <is>
          <t>Optional</t>
        </is>
      </c>
      <c r="D331" t="inlineStr">
        <is>
          <t>text</t>
        </is>
      </c>
      <c r="E331" s="2" t="inlineStr"/>
      <c r="F331" t="inlineStr">
        <is>
          <t>impact.revenueAtRisk</t>
        </is>
      </c>
      <c r="G331" s="2" t="inlineStr"/>
      <c r="H331" t="inlineStr">
        <is>
          <t>0</t>
        </is>
      </c>
    </row>
    <row r="332">
      <c r="A332" t="inlineStr">
        <is>
          <t>Snapshot_Changes</t>
        </is>
      </c>
      <c r="B332" t="inlineStr">
        <is>
          <t>change_id</t>
        </is>
      </c>
      <c r="C332" t="inlineStr">
        <is>
          <t>Optional</t>
        </is>
      </c>
      <c r="D332" t="inlineStr">
        <is>
          <t>text</t>
        </is>
      </c>
      <c r="E332" s="2" t="inlineStr"/>
      <c r="F332" t="inlineStr">
        <is>
          <t>Change.id</t>
        </is>
      </c>
      <c r="G332" s="2" t="inlineStr"/>
      <c r="H332" t="inlineStr">
        <is>
          <t>CHG-2001</t>
        </is>
      </c>
    </row>
    <row r="333">
      <c r="A333" t="inlineStr">
        <is>
          <t>Snapshot_Changes</t>
        </is>
      </c>
      <c r="B333" t="inlineStr">
        <is>
          <t>site_id</t>
        </is>
      </c>
      <c r="C333" t="inlineStr">
        <is>
          <t>Optional</t>
        </is>
      </c>
      <c r="D333" t="inlineStr">
        <is>
          <t>text</t>
        </is>
      </c>
      <c r="E333" s="2" t="inlineStr"/>
      <c r="F333" t="inlineStr">
        <is>
          <t>Change.dcId</t>
        </is>
      </c>
      <c r="G333" s="2" t="inlineStr"/>
      <c r="H333" t="inlineStr">
        <is>
          <t>MH-DC-001</t>
        </is>
      </c>
    </row>
    <row r="334">
      <c r="A334" t="inlineStr">
        <is>
          <t>Snapshot_Changes</t>
        </is>
      </c>
      <c r="B334" t="inlineStr">
        <is>
          <t>kind</t>
        </is>
      </c>
      <c r="C334" t="inlineStr">
        <is>
          <t>Optional</t>
        </is>
      </c>
      <c r="D334" t="inlineStr">
        <is>
          <t>text</t>
        </is>
      </c>
      <c r="E334" s="2" t="inlineStr"/>
      <c r="F334" t="inlineStr">
        <is>
          <t>Change.kind</t>
        </is>
      </c>
      <c r="G334" s="2" t="inlineStr"/>
      <c r="H334" t="inlineStr">
        <is>
          <t>Change</t>
        </is>
      </c>
    </row>
    <row r="335">
      <c r="A335" t="inlineStr">
        <is>
          <t>Snapshot_Changes</t>
        </is>
      </c>
      <c r="B335" t="inlineStr">
        <is>
          <t>title</t>
        </is>
      </c>
      <c r="C335" t="inlineStr">
        <is>
          <t>Optional</t>
        </is>
      </c>
      <c r="D335" t="inlineStr">
        <is>
          <t>text</t>
        </is>
      </c>
      <c r="E335" s="2" t="inlineStr"/>
      <c r="F335" t="inlineStr">
        <is>
          <t>Change.title</t>
        </is>
      </c>
      <c r="G335" s="2" t="inlineStr"/>
      <c r="H335" t="inlineStr">
        <is>
          <t>Re-patch ODF RACK-D core 7 to PE-T4-01 xe-0/0/3 (new backhaul span)</t>
        </is>
      </c>
    </row>
    <row r="336">
      <c r="A336" t="inlineStr">
        <is>
          <t>Snapshot_Changes</t>
        </is>
      </c>
      <c r="B336" t="inlineStr">
        <is>
          <t>status</t>
        </is>
      </c>
      <c r="C336" t="inlineStr">
        <is>
          <t>Optional</t>
        </is>
      </c>
      <c r="D336" t="inlineStr">
        <is>
          <t>text</t>
        </is>
      </c>
      <c r="E336" s="2" t="inlineStr"/>
      <c r="F336" t="inlineStr">
        <is>
          <t>Change.status</t>
        </is>
      </c>
      <c r="G336" s="2" t="inlineStr"/>
      <c r="H336" t="inlineStr">
        <is>
          <t>Completed</t>
        </is>
      </c>
    </row>
    <row r="337">
      <c r="A337" t="inlineStr">
        <is>
          <t>Snapshot_Changes</t>
        </is>
      </c>
      <c r="B337" t="inlineStr">
        <is>
          <t>risk</t>
        </is>
      </c>
      <c r="C337" t="inlineStr">
        <is>
          <t>Optional</t>
        </is>
      </c>
      <c r="D337" t="inlineStr">
        <is>
          <t>text</t>
        </is>
      </c>
      <c r="E337" s="2" t="inlineStr"/>
      <c r="F337" t="inlineStr">
        <is>
          <t>Change.risk</t>
        </is>
      </c>
      <c r="G337" s="2" t="inlineStr"/>
      <c r="H337" t="inlineStr">
        <is>
          <t>Medium</t>
        </is>
      </c>
    </row>
    <row r="338">
      <c r="A338" t="inlineStr">
        <is>
          <t>Snapshot_Changes</t>
        </is>
      </c>
      <c r="B338" t="inlineStr">
        <is>
          <t>window_start</t>
        </is>
      </c>
      <c r="C338" t="inlineStr">
        <is>
          <t>Optional</t>
        </is>
      </c>
      <c r="D338" t="inlineStr">
        <is>
          <t>text</t>
        </is>
      </c>
      <c r="E338" s="2" t="inlineStr"/>
      <c r="F338" t="inlineStr">
        <is>
          <t>Change.windowStart</t>
        </is>
      </c>
      <c r="G338" s="2" t="inlineStr"/>
      <c r="H338" t="inlineStr">
        <is>
          <t>2026-09-30 16:30</t>
        </is>
      </c>
    </row>
    <row r="339">
      <c r="A339" t="inlineStr">
        <is>
          <t>Snapshot_Changes</t>
        </is>
      </c>
      <c r="B339" t="inlineStr">
        <is>
          <t>window_end</t>
        </is>
      </c>
      <c r="C339" t="inlineStr">
        <is>
          <t>Optional</t>
        </is>
      </c>
      <c r="D339" t="inlineStr">
        <is>
          <t>text</t>
        </is>
      </c>
      <c r="E339" s="2" t="inlineStr"/>
      <c r="F339" t="inlineStr">
        <is>
          <t>Change.windowEnd</t>
        </is>
      </c>
      <c r="G339" s="2" t="inlineStr"/>
      <c r="H339" t="inlineStr">
        <is>
          <t>2026-09-30 17:30</t>
        </is>
      </c>
    </row>
    <row r="340">
      <c r="A340" t="inlineStr">
        <is>
          <t>Snapshot_Changes</t>
        </is>
      </c>
      <c r="B340" t="inlineStr">
        <is>
          <t>requester</t>
        </is>
      </c>
      <c r="C340" t="inlineStr">
        <is>
          <t>Optional</t>
        </is>
      </c>
      <c r="D340" t="inlineStr">
        <is>
          <t>text</t>
        </is>
      </c>
      <c r="E340" s="2" t="inlineStr"/>
      <c r="F340" t="inlineStr">
        <is>
          <t>Change.requester</t>
        </is>
      </c>
      <c r="G340" s="2" t="inlineStr"/>
      <c r="H340" t="inlineStr">
        <is>
          <t>Rahul Deshpande</t>
        </is>
      </c>
    </row>
    <row r="341">
      <c r="A341" t="inlineStr">
        <is>
          <t>Snapshot_Changes</t>
        </is>
      </c>
      <c r="B341" t="inlineStr">
        <is>
          <t>approver</t>
        </is>
      </c>
      <c r="C341" t="inlineStr">
        <is>
          <t>Optional</t>
        </is>
      </c>
      <c r="D341" t="inlineStr">
        <is>
          <t>text</t>
        </is>
      </c>
      <c r="E341" s="2" t="inlineStr"/>
      <c r="F341" t="inlineStr">
        <is>
          <t>Change.approver</t>
        </is>
      </c>
      <c r="G341" s="2" t="inlineStr"/>
      <c r="H341" t="inlineStr">
        <is>
          <t>Priya Nair</t>
        </is>
      </c>
    </row>
    <row r="342">
      <c r="A342" t="inlineStr">
        <is>
          <t>Snapshot_Changes</t>
        </is>
      </c>
      <c r="B342" t="inlineStr">
        <is>
          <t>scope</t>
        </is>
      </c>
      <c r="C342" t="inlineStr">
        <is>
          <t>Optional</t>
        </is>
      </c>
      <c r="D342" t="inlineStr">
        <is>
          <t>text</t>
        </is>
      </c>
      <c r="E342" s="2" t="inlineStr"/>
      <c r="F342" t="inlineStr">
        <is>
          <t>Change.scope</t>
        </is>
      </c>
      <c r="G342" s="2" t="inlineStr"/>
      <c r="H342" t="inlineStr">
        <is>
          <t>MH-DC-001-PE-T4-01</t>
        </is>
      </c>
    </row>
    <row r="343">
      <c r="A343" t="inlineStr">
        <is>
          <t>Snapshot_RMA</t>
        </is>
      </c>
      <c r="B343" t="inlineStr">
        <is>
          <t>rma_id</t>
        </is>
      </c>
      <c r="C343" t="inlineStr">
        <is>
          <t>Optional</t>
        </is>
      </c>
      <c r="D343" t="inlineStr">
        <is>
          <t>text</t>
        </is>
      </c>
      <c r="E343" s="2" t="inlineStr"/>
      <c r="F343" t="inlineStr">
        <is>
          <t>RmaCase.id</t>
        </is>
      </c>
      <c r="G343" s="2" t="inlineStr"/>
      <c r="H343" t="inlineStr">
        <is>
          <t>RMA-48287</t>
        </is>
      </c>
    </row>
    <row r="344">
      <c r="A344" t="inlineStr">
        <is>
          <t>Snapshot_RMA</t>
        </is>
      </c>
      <c r="B344" t="inlineStr">
        <is>
          <t>site_id</t>
        </is>
      </c>
      <c r="C344" t="inlineStr">
        <is>
          <t>Optional</t>
        </is>
      </c>
      <c r="D344" t="inlineStr">
        <is>
          <t>text</t>
        </is>
      </c>
      <c r="E344" s="2" t="inlineStr"/>
      <c r="F344" t="inlineStr">
        <is>
          <t>RmaCase.dcId</t>
        </is>
      </c>
      <c r="G344" s="2" t="inlineStr"/>
      <c r="H344" t="inlineStr">
        <is>
          <t>MH-DC-001</t>
        </is>
      </c>
    </row>
    <row r="345">
      <c r="A345" t="inlineStr">
        <is>
          <t>Snapshot_RMA</t>
        </is>
      </c>
      <c r="B345" t="inlineStr">
        <is>
          <t>device_id</t>
        </is>
      </c>
      <c r="C345" t="inlineStr">
        <is>
          <t>Optional</t>
        </is>
      </c>
      <c r="D345" t="inlineStr">
        <is>
          <t>text</t>
        </is>
      </c>
      <c r="E345" s="2" t="inlineStr"/>
      <c r="F345" t="inlineStr">
        <is>
          <t>RmaCase.neId</t>
        </is>
      </c>
      <c r="G345" s="2" t="inlineStr"/>
      <c r="H345" t="inlineStr">
        <is>
          <t>MH-DC-001-BMS-01</t>
        </is>
      </c>
    </row>
    <row r="346">
      <c r="A346" t="inlineStr">
        <is>
          <t>Snapshot_RMA</t>
        </is>
      </c>
      <c r="B346" t="inlineStr">
        <is>
          <t>slot</t>
        </is>
      </c>
      <c r="C346" t="inlineStr">
        <is>
          <t>Optional</t>
        </is>
      </c>
      <c r="D346" t="inlineStr">
        <is>
          <t>text</t>
        </is>
      </c>
      <c r="E346" s="2" t="inlineStr"/>
      <c r="F346" t="inlineStr">
        <is>
          <t>RmaCase.slot</t>
        </is>
      </c>
      <c r="G346" s="2" t="inlineStr"/>
      <c r="H346" t="inlineStr">
        <is>
          <t>PSU2</t>
        </is>
      </c>
    </row>
    <row r="347">
      <c r="A347" t="inlineStr">
        <is>
          <t>Snapshot_RMA</t>
        </is>
      </c>
      <c r="B347" t="inlineStr">
        <is>
          <t>part</t>
        </is>
      </c>
      <c r="C347" t="inlineStr">
        <is>
          <t>Optional</t>
        </is>
      </c>
      <c r="D347" t="inlineStr">
        <is>
          <t>text</t>
        </is>
      </c>
      <c r="E347" s="2" t="inlineStr"/>
      <c r="F347" t="inlineStr">
        <is>
          <t>RmaCase.part</t>
        </is>
      </c>
      <c r="G347" s="2" t="inlineStr"/>
      <c r="H347" t="inlineStr">
        <is>
          <t>Power supply</t>
        </is>
      </c>
    </row>
    <row r="348">
      <c r="A348" t="inlineStr">
        <is>
          <t>Snapshot_RMA</t>
        </is>
      </c>
      <c r="B348" t="inlineStr">
        <is>
          <t>vendor_case</t>
        </is>
      </c>
      <c r="C348" t="inlineStr">
        <is>
          <t>Optional</t>
        </is>
      </c>
      <c r="D348" t="inlineStr">
        <is>
          <t>text</t>
        </is>
      </c>
      <c r="E348" s="2" t="inlineStr"/>
      <c r="F348" t="inlineStr">
        <is>
          <t>RmaCase.ref</t>
        </is>
      </c>
      <c r="G348" s="2" t="inlineStr"/>
      <c r="H348" t="inlineStr">
        <is>
          <t>DEL-8205146</t>
        </is>
      </c>
    </row>
    <row r="349">
      <c r="A349" t="inlineStr">
        <is>
          <t>Snapshot_RMA</t>
        </is>
      </c>
      <c r="B349" t="inlineStr">
        <is>
          <t>status</t>
        </is>
      </c>
      <c r="C349" t="inlineStr">
        <is>
          <t>Optional</t>
        </is>
      </c>
      <c r="D349" t="inlineStr">
        <is>
          <t>text</t>
        </is>
      </c>
      <c r="E349" s="2" t="inlineStr"/>
      <c r="F349" t="inlineStr">
        <is>
          <t>RmaCase.status</t>
        </is>
      </c>
      <c r="G349" s="2" t="inlineStr"/>
      <c r="H349" t="inlineStr">
        <is>
          <t>Opened</t>
        </is>
      </c>
    </row>
    <row r="350">
      <c r="A350" t="inlineStr">
        <is>
          <t>Snapshot_RMA</t>
        </is>
      </c>
      <c r="B350" t="inlineStr">
        <is>
          <t>opened</t>
        </is>
      </c>
      <c r="C350" t="inlineStr">
        <is>
          <t>Optional</t>
        </is>
      </c>
      <c r="D350" t="inlineStr">
        <is>
          <t>text</t>
        </is>
      </c>
      <c r="E350" s="2" t="inlineStr"/>
      <c r="F350" t="inlineStr">
        <is>
          <t>RmaCase.opened</t>
        </is>
      </c>
      <c r="G350" s="2" t="inlineStr"/>
      <c r="H350" t="inlineStr">
        <is>
          <t>2026-09-30 23:50</t>
        </is>
      </c>
    </row>
    <row r="351">
      <c r="A351" t="inlineStr">
        <is>
          <t>Snapshot_RMA</t>
        </is>
      </c>
      <c r="B351" t="inlineStr">
        <is>
          <t>spare_on_site</t>
        </is>
      </c>
      <c r="C351" t="inlineStr">
        <is>
          <t>Optional</t>
        </is>
      </c>
      <c r="D351" t="inlineStr">
        <is>
          <t>text</t>
        </is>
      </c>
      <c r="E351" s="2" t="inlineStr"/>
      <c r="F351" t="inlineStr">
        <is>
          <t>RmaCase.spareOnSite</t>
        </is>
      </c>
      <c r="G351" s="2" t="inlineStr"/>
      <c r="H351" t="inlineStr">
        <is>
          <t>Y</t>
        </is>
      </c>
    </row>
    <row r="352">
      <c r="A352" t="inlineStr">
        <is>
          <t>Snapshot_Problems</t>
        </is>
      </c>
      <c r="B352" t="inlineStr">
        <is>
          <t>problem_id</t>
        </is>
      </c>
      <c r="C352" t="inlineStr">
        <is>
          <t>Optional</t>
        </is>
      </c>
      <c r="D352" t="inlineStr">
        <is>
          <t>text</t>
        </is>
      </c>
      <c r="E352" s="2" t="inlineStr"/>
      <c r="F352" t="inlineStr">
        <is>
          <t>Problem.id</t>
        </is>
      </c>
      <c r="G352" s="2" t="inlineStr"/>
      <c r="H352" t="inlineStr">
        <is>
          <t>PRB-4445</t>
        </is>
      </c>
    </row>
    <row r="353">
      <c r="A353" t="inlineStr">
        <is>
          <t>Snapshot_Problems</t>
        </is>
      </c>
      <c r="B353" t="inlineStr">
        <is>
          <t>title</t>
        </is>
      </c>
      <c r="C353" t="inlineStr">
        <is>
          <t>Optional</t>
        </is>
      </c>
      <c r="D353" t="inlineStr">
        <is>
          <t>text</t>
        </is>
      </c>
      <c r="E353" s="2" t="inlineStr"/>
      <c r="F353" t="inlineStr">
        <is>
          <t>Problem.title</t>
        </is>
      </c>
      <c r="G353" s="2" t="inlineStr"/>
      <c r="H353" t="inlineStr">
        <is>
          <t>Optic degradation (SFP lot 22B)</t>
        </is>
      </c>
    </row>
    <row r="354">
      <c r="A354" t="inlineStr">
        <is>
          <t>Snapshot_Problems</t>
        </is>
      </c>
      <c r="B354" t="inlineStr">
        <is>
          <t>type</t>
        </is>
      </c>
      <c r="C354" t="inlineStr">
        <is>
          <t>Optional</t>
        </is>
      </c>
      <c r="D354" t="inlineStr">
        <is>
          <t>text</t>
        </is>
      </c>
      <c r="E354" s="2" t="inlineStr"/>
      <c r="F354" t="inlineStr">
        <is>
          <t>Problem.type</t>
        </is>
      </c>
      <c r="G354" s="2" t="inlineStr"/>
      <c r="H354" t="inlineStr">
        <is>
          <t>Network</t>
        </is>
      </c>
    </row>
    <row r="355">
      <c r="A355" t="inlineStr">
        <is>
          <t>Snapshot_Problems</t>
        </is>
      </c>
      <c r="B355" t="inlineStr">
        <is>
          <t>state</t>
        </is>
      </c>
      <c r="C355" t="inlineStr">
        <is>
          <t>Optional</t>
        </is>
      </c>
      <c r="D355" t="inlineStr">
        <is>
          <t>text</t>
        </is>
      </c>
      <c r="E355" s="2" t="inlineStr"/>
      <c r="F355" t="inlineStr">
        <is>
          <t>Problem.state</t>
        </is>
      </c>
      <c r="G355" s="2" t="inlineStr"/>
      <c r="H355" t="inlineStr">
        <is>
          <t>Investigating</t>
        </is>
      </c>
    </row>
    <row r="356">
      <c r="A356" t="inlineStr">
        <is>
          <t>Snapshot_Problems</t>
        </is>
      </c>
      <c r="B356" t="inlineStr">
        <is>
          <t>incidents</t>
        </is>
      </c>
      <c r="C356" t="inlineStr">
        <is>
          <t>Optional</t>
        </is>
      </c>
      <c r="D356" t="inlineStr">
        <is>
          <t>text</t>
        </is>
      </c>
      <c r="E356" s="2" t="inlineStr"/>
      <c r="F356" t="inlineStr">
        <is>
          <t>Problem.incidents</t>
        </is>
      </c>
      <c r="G356" s="2" t="inlineStr"/>
      <c r="H356" t="inlineStr">
        <is>
          <t>INC-0001;INC-0024;INC-0034</t>
        </is>
      </c>
    </row>
    <row r="357">
      <c r="A357" t="inlineStr">
        <is>
          <t>Snapshot_Problems</t>
        </is>
      </c>
      <c r="B357" t="inlineStr">
        <is>
          <t>open</t>
        </is>
      </c>
      <c r="C357" t="inlineStr">
        <is>
          <t>Optional</t>
        </is>
      </c>
      <c r="D357" t="inlineStr">
        <is>
          <t>text</t>
        </is>
      </c>
      <c r="E357" s="2" t="inlineStr"/>
      <c r="F357" t="inlineStr">
        <is>
          <t>Problem.open</t>
        </is>
      </c>
      <c r="G357" s="2" t="inlineStr"/>
      <c r="H357" t="inlineStr">
        <is>
          <t>1</t>
        </is>
      </c>
    </row>
    <row r="358">
      <c r="A358" t="inlineStr">
        <is>
          <t>Snapshot_Problems</t>
        </is>
      </c>
      <c r="B358" t="inlineStr">
        <is>
          <t>sites</t>
        </is>
      </c>
      <c r="C358" t="inlineStr">
        <is>
          <t>Optional</t>
        </is>
      </c>
      <c r="D358" t="inlineStr">
        <is>
          <t>text</t>
        </is>
      </c>
      <c r="E358" s="2" t="inlineStr"/>
      <c r="F358" t="inlineStr">
        <is>
          <t>Problem.sites</t>
        </is>
      </c>
      <c r="G358" s="2" t="inlineStr"/>
      <c r="H358" t="inlineStr">
        <is>
          <t>MH-DC-001;MH-DC-004;WB-DC-017</t>
        </is>
      </c>
    </row>
    <row r="359">
      <c r="A359" t="inlineStr">
        <is>
          <t>Snapshot_Problems</t>
        </is>
      </c>
      <c r="B359" t="inlineStr">
        <is>
          <t>workaround</t>
        </is>
      </c>
      <c r="C359" t="inlineStr">
        <is>
          <t>Optional</t>
        </is>
      </c>
      <c r="D359" t="inlineStr">
        <is>
          <t>text</t>
        </is>
      </c>
      <c r="E359" s="2" t="inlineStr"/>
      <c r="F359" t="inlineStr">
        <is>
          <t>Problem.workaround</t>
        </is>
      </c>
      <c r="G359" s="2" t="inlineStr"/>
      <c r="H359" t="inlineStr">
        <is>
          <t>Move traffic to the parallel span; swap the optic from a spare lot and clean the patch</t>
        </is>
      </c>
    </row>
    <row r="360">
      <c r="A360" t="inlineStr">
        <is>
          <t>Snapshot_Problems</t>
        </is>
      </c>
      <c r="B360" t="inlineStr">
        <is>
          <t>fix</t>
        </is>
      </c>
      <c r="C360" t="inlineStr">
        <is>
          <t>Optional</t>
        </is>
      </c>
      <c r="D360" t="inlineStr">
        <is>
          <t>text</t>
        </is>
      </c>
      <c r="E360" s="2" t="inlineStr"/>
      <c r="F360" t="inlineStr">
        <is>
          <t>Problem.fix</t>
        </is>
      </c>
      <c r="G360" s="2" t="inlineStr"/>
      <c r="H360" t="inlineStr">
        <is>
          <t>Replace every optic from the affected lot under a vendor field notice; inspect the ODF jumpers</t>
        </is>
      </c>
    </row>
    <row r="361">
      <c r="A361" t="inlineStr">
        <is>
          <t>Snapshot_Problems</t>
        </is>
      </c>
      <c r="B361" t="inlineStr">
        <is>
          <t>owner</t>
        </is>
      </c>
      <c r="C361" t="inlineStr">
        <is>
          <t>Optional</t>
        </is>
      </c>
      <c r="D361" t="inlineStr">
        <is>
          <t>text</t>
        </is>
      </c>
      <c r="E361" s="2" t="inlineStr"/>
      <c r="F361" t="inlineStr">
        <is>
          <t>Problem.owner</t>
        </is>
      </c>
      <c r="G361" s="2" t="inlineStr"/>
      <c r="H361" t="inlineStr">
        <is>
          <t>Sneha Patil</t>
        </is>
      </c>
    </row>
    <row r="362">
      <c r="A362" t="inlineStr">
        <is>
          <t>Snapshot_Orders</t>
        </is>
      </c>
      <c r="B362" t="inlineStr">
        <is>
          <t>order_id</t>
        </is>
      </c>
      <c r="C362" t="inlineStr">
        <is>
          <t>Optional</t>
        </is>
      </c>
      <c r="D362" t="inlineStr">
        <is>
          <t>text</t>
        </is>
      </c>
      <c r="E362" s="2" t="inlineStr"/>
      <c r="F362" t="inlineStr">
        <is>
          <t>id</t>
        </is>
      </c>
      <c r="G362" s="2" t="inlineStr"/>
      <c r="H362" t="inlineStr">
        <is>
          <t>XC-76071</t>
        </is>
      </c>
    </row>
    <row r="363">
      <c r="A363" t="inlineStr">
        <is>
          <t>Snapshot_Orders</t>
        </is>
      </c>
      <c r="B363" t="inlineStr">
        <is>
          <t>kind</t>
        </is>
      </c>
      <c r="C363" t="inlineStr">
        <is>
          <t>Optional</t>
        </is>
      </c>
      <c r="D363" t="inlineStr">
        <is>
          <t>text</t>
        </is>
      </c>
      <c r="E363" s="2" t="inlineStr"/>
      <c r="F363" t="inlineStr">
        <is>
          <t>Cross-connect / Remote hands</t>
        </is>
      </c>
      <c r="G363" s="2" t="inlineStr"/>
      <c r="H363" t="inlineStr">
        <is>
          <t>Cross-connect</t>
        </is>
      </c>
    </row>
    <row r="364">
      <c r="A364" t="inlineStr">
        <is>
          <t>Snapshot_Orders</t>
        </is>
      </c>
      <c r="B364" t="inlineStr">
        <is>
          <t>site_id</t>
        </is>
      </c>
      <c r="C364" t="inlineStr">
        <is>
          <t>Optional</t>
        </is>
      </c>
      <c r="D364" t="inlineStr">
        <is>
          <t>text</t>
        </is>
      </c>
      <c r="E364" s="2" t="inlineStr"/>
      <c r="F364" t="inlineStr">
        <is>
          <t>dcId</t>
        </is>
      </c>
      <c r="G364" s="2" t="inlineStr"/>
      <c r="H364" t="inlineStr">
        <is>
          <t>MH-DC-001</t>
        </is>
      </c>
    </row>
    <row r="365">
      <c r="A365" t="inlineStr">
        <is>
          <t>Snapshot_Orders</t>
        </is>
      </c>
      <c r="B365" t="inlineStr">
        <is>
          <t>customer_id</t>
        </is>
      </c>
      <c r="C365" t="inlineStr">
        <is>
          <t>Optional</t>
        </is>
      </c>
      <c r="D365" t="inlineStr">
        <is>
          <t>text</t>
        </is>
      </c>
      <c r="E365" s="2" t="inlineStr"/>
      <c r="F365" t="inlineStr">
        <is>
          <t>customerId</t>
        </is>
      </c>
      <c r="G365" s="2" t="inlineStr"/>
      <c r="H365" t="inlineStr">
        <is>
          <t>CUST-8230</t>
        </is>
      </c>
    </row>
    <row r="366">
      <c r="A366" t="inlineStr">
        <is>
          <t>Snapshot_Orders</t>
        </is>
      </c>
      <c r="B366" t="inlineStr">
        <is>
          <t>detail</t>
        </is>
      </c>
      <c r="C366" t="inlineStr">
        <is>
          <t>Optional</t>
        </is>
      </c>
      <c r="D366" t="inlineStr">
        <is>
          <t>text</t>
        </is>
      </c>
      <c r="E366" s="2" t="inlineStr"/>
      <c r="F366" t="inlineStr">
        <is>
          <t>route or task</t>
        </is>
      </c>
      <c r="G366" s="2" t="inlineStr"/>
      <c r="H366" t="inlineStr">
        <is>
          <t>RACK-J (tenant cabinet) → Carrier POP · MMR panel 3</t>
        </is>
      </c>
    </row>
    <row r="367">
      <c r="A367" t="inlineStr">
        <is>
          <t>Snapshot_Orders</t>
        </is>
      </c>
      <c r="B367" t="inlineStr">
        <is>
          <t>state</t>
        </is>
      </c>
      <c r="C367" t="inlineStr">
        <is>
          <t>Optional</t>
        </is>
      </c>
      <c r="D367" t="inlineStr">
        <is>
          <t>text</t>
        </is>
      </c>
      <c r="E367" s="2" t="inlineStr"/>
      <c r="F367" t="inlineStr">
        <is>
          <t>state</t>
        </is>
      </c>
      <c r="G367" s="2" t="inlineStr"/>
      <c r="H367" t="inlineStr">
        <is>
          <t>Approved</t>
        </is>
      </c>
    </row>
    <row r="368">
      <c r="A368" t="inlineStr">
        <is>
          <t>Snapshot_Orders</t>
        </is>
      </c>
      <c r="B368" t="inlineStr">
        <is>
          <t>opened</t>
        </is>
      </c>
      <c r="C368" t="inlineStr">
        <is>
          <t>Optional</t>
        </is>
      </c>
      <c r="D368" t="inlineStr">
        <is>
          <t>text</t>
        </is>
      </c>
      <c r="E368" s="2" t="inlineStr"/>
      <c r="F368" t="inlineStr">
        <is>
          <t>ordered / opened</t>
        </is>
      </c>
      <c r="G368" s="2" t="inlineStr"/>
      <c r="H368" t="inlineStr">
        <is>
          <t>2026-09-24 07:50</t>
        </is>
      </c>
    </row>
    <row r="369">
      <c r="A369" t="inlineStr">
        <is>
          <t>Snapshot_Orders</t>
        </is>
      </c>
      <c r="B369" t="inlineStr">
        <is>
          <t>due_or_minutes</t>
        </is>
      </c>
      <c r="C369" t="inlineStr">
        <is>
          <t>Optional</t>
        </is>
      </c>
      <c r="D369" t="inlineStr">
        <is>
          <t>text</t>
        </is>
      </c>
      <c r="E369" s="2" t="inlineStr"/>
      <c r="F369" t="inlineStr">
        <is>
          <t>due / minutes</t>
        </is>
      </c>
      <c r="G369" s="2" t="inlineStr"/>
      <c r="H369" t="inlineStr">
        <is>
          <t>2026-09-29</t>
        </is>
      </c>
    </row>
  </sheetData>
  <autoFilter ref="A1:H369"/>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T24"/>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4" customWidth="1" min="3" max="3"/>
    <col width="15" customWidth="1" min="4" max="4"/>
    <col width="14" customWidth="1" min="5" max="5"/>
    <col width="14" customWidth="1" min="6" max="6"/>
    <col width="14" customWidth="1" min="7" max="7"/>
    <col width="16"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24" customWidth="1" min="18" max="18"/>
    <col width="14" customWidth="1" min="19" max="19"/>
    <col width="14" customWidth="1" min="20" max="20"/>
    <col width="17" customWidth="1" min="21" max="21"/>
    <col width="14" customWidth="1" min="22" max="22"/>
    <col width="14" customWidth="1" min="23" max="23"/>
    <col width="14" customWidth="1" min="24" max="24"/>
    <col width="21" customWidth="1" min="25" max="25"/>
    <col width="14" customWidth="1" min="26" max="26"/>
    <col width="14" customWidth="1" min="27" max="27"/>
    <col width="14" customWidth="1" min="28" max="28"/>
    <col width="18" customWidth="1" min="29" max="29"/>
    <col width="14" customWidth="1" min="30" max="30"/>
    <col width="20" customWidth="1" min="31" max="31"/>
    <col width="18" customWidth="1" min="32" max="32"/>
    <col width="14" customWidth="1" min="33" max="33"/>
    <col width="14" customWidth="1" min="34" max="34"/>
    <col width="14" customWidth="1" min="35" max="35"/>
    <col width="14" customWidth="1" min="36" max="36"/>
    <col width="14" customWidth="1" min="37" max="37"/>
    <col width="14" customWidth="1" min="38" max="38"/>
    <col width="20" customWidth="1" min="39" max="39"/>
    <col width="22" customWidth="1" min="40" max="40"/>
    <col width="14" customWidth="1" min="41" max="41"/>
    <col width="19" customWidth="1" min="42" max="42"/>
    <col width="18" customWidth="1" min="43" max="43"/>
    <col width="15" customWidth="1" min="44" max="44"/>
    <col width="14" customWidth="1" min="45" max="45"/>
    <col width="28" customWidth="1" min="46" max="46"/>
  </cols>
  <sheetData>
    <row r="1">
      <c r="A1" s="5" t="inlineStr">
        <is>
          <t>business_model</t>
        </is>
      </c>
      <c r="B1" s="5" t="inlineStr">
        <is>
          <t>site_status</t>
        </is>
      </c>
      <c r="C1" s="5" t="inlineStr">
        <is>
          <t>tier</t>
        </is>
      </c>
      <c r="D1" s="5" t="inlineStr">
        <is>
          <t>site_category</t>
        </is>
      </c>
      <c r="E1" s="5" t="inlineStr">
        <is>
          <t>redundancy</t>
        </is>
      </c>
      <c r="F1" s="5" t="inlineStr">
        <is>
          <t>room_type</t>
        </is>
      </c>
      <c r="G1" s="5" t="inlineStr">
        <is>
          <t>containment</t>
        </is>
      </c>
      <c r="H1" s="5" t="inlineStr">
        <is>
          <t>cooling_method</t>
        </is>
      </c>
      <c r="I1" s="5" t="inlineStr">
        <is>
          <t>rack_role</t>
        </is>
      </c>
      <c r="J1" s="5" t="inlineStr">
        <is>
          <t>owner</t>
        </is>
      </c>
      <c r="K1" s="5" t="inlineStr">
        <is>
          <t>density</t>
        </is>
      </c>
      <c r="L1" s="5" t="inlineStr">
        <is>
          <t>yes_no</t>
        </is>
      </c>
      <c r="M1" s="5" t="inlineStr">
        <is>
          <t>feed_type</t>
        </is>
      </c>
      <c r="N1" s="5" t="inlineStr">
        <is>
          <t>feed_role</t>
        </is>
      </c>
      <c r="O1" s="5" t="inlineStr">
        <is>
          <t>plant_kind</t>
        </is>
      </c>
      <c r="P1" s="5" t="inlineStr">
        <is>
          <t>test_result</t>
        </is>
      </c>
      <c r="Q1" s="5" t="inlineStr">
        <is>
          <t>cooling_type</t>
        </is>
      </c>
      <c r="R1" s="5" t="inlineStr">
        <is>
          <t>sensor_kind</t>
        </is>
      </c>
      <c r="S1" s="5" t="inlineStr">
        <is>
          <t>device_role</t>
        </is>
      </c>
      <c r="T1" s="5" t="inlineStr">
        <is>
          <t>layer</t>
        </is>
      </c>
      <c r="U1" s="5" t="inlineStr">
        <is>
          <t>lifecycle</t>
        </is>
      </c>
      <c r="V1" s="5" t="inlineStr">
        <is>
          <t>if_admin</t>
        </is>
      </c>
      <c r="W1" s="5" t="inlineStr">
        <is>
          <t>link_role</t>
        </is>
      </c>
      <c r="X1" s="5" t="inlineStr">
        <is>
          <t>protocol</t>
        </is>
      </c>
      <c r="Y1" s="5" t="inlineStr">
        <is>
          <t>gpu_model</t>
        </is>
      </c>
      <c r="Z1" s="5" t="inlineStr">
        <is>
          <t>gpu_vendor</t>
        </is>
      </c>
      <c r="AA1" s="5" t="inlineStr">
        <is>
          <t>scheduler</t>
        </is>
      </c>
      <c r="AB1" s="5" t="inlineStr">
        <is>
          <t>air_liquid</t>
        </is>
      </c>
      <c r="AC1" s="5" t="inlineStr">
        <is>
          <t>service_type</t>
        </is>
      </c>
      <c r="AD1" s="5" t="inlineStr">
        <is>
          <t>service_unit</t>
        </is>
      </c>
      <c r="AE1" s="5" t="inlineStr">
        <is>
          <t>collector_protocol</t>
        </is>
      </c>
      <c r="AF1" s="5" t="inlineStr">
        <is>
          <t>collector_domain</t>
        </is>
      </c>
      <c r="AG1" s="5" t="inlineStr">
        <is>
          <t>pdu_side</t>
        </is>
      </c>
      <c r="AH1" s="5" t="inlineStr">
        <is>
          <t>pdu_kind</t>
        </is>
      </c>
      <c r="AI1" s="5" t="inlineStr">
        <is>
          <t>panel_kind</t>
        </is>
      </c>
      <c r="AJ1" s="5" t="inlineStr">
        <is>
          <t>panel_role</t>
        </is>
      </c>
      <c r="AK1" s="5" t="inlineStr">
        <is>
          <t>link_end</t>
        </is>
      </c>
      <c r="AL1" s="5" t="inlineStr">
        <is>
          <t>tray_route</t>
        </is>
      </c>
      <c r="AM1" s="5" t="inlineStr">
        <is>
          <t>detection</t>
        </is>
      </c>
      <c r="AN1" s="5" t="inlineStr">
        <is>
          <t>suppression</t>
        </is>
      </c>
      <c r="AO1" s="5" t="inlineStr">
        <is>
          <t>release_mode</t>
        </is>
      </c>
      <c r="AP1" s="5" t="inlineStr">
        <is>
          <t>door_kind</t>
        </is>
      </c>
      <c r="AQ1" s="5" t="inlineStr">
        <is>
          <t>reader</t>
        </is>
      </c>
      <c r="AR1" s="5" t="inlineStr">
        <is>
          <t>support_level</t>
        </is>
      </c>
      <c r="AS1" s="5" t="inlineStr">
        <is>
          <t>pm_kind</t>
        </is>
      </c>
      <c r="AT1" s="5" t="inlineStr">
        <is>
          <t>oncall_role</t>
        </is>
      </c>
    </row>
    <row r="2">
      <c r="A2" t="inlineStr">
        <is>
          <t>colocation</t>
        </is>
      </c>
      <c r="B2" t="inlineStr">
        <is>
          <t>on-air</t>
        </is>
      </c>
      <c r="C2" t="inlineStr">
        <is>
          <t>Tier II</t>
        </is>
      </c>
      <c r="D2" t="inlineStr">
        <is>
          <t>Central</t>
        </is>
      </c>
      <c r="E2" t="inlineStr">
        <is>
          <t>N</t>
        </is>
      </c>
      <c r="F2" t="inlineStr">
        <is>
          <t>Data hall</t>
        </is>
      </c>
      <c r="G2" t="inlineStr">
        <is>
          <t>Cold aisle</t>
        </is>
      </c>
      <c r="H2" t="inlineStr">
        <is>
          <t>Air</t>
        </is>
      </c>
      <c r="I2" t="inlineStr">
        <is>
          <t>Core</t>
        </is>
      </c>
      <c r="J2" t="inlineStr">
        <is>
          <t>operator</t>
        </is>
      </c>
      <c r="K2" t="inlineStr">
        <is>
          <t>standard</t>
        </is>
      </c>
      <c r="L2" t="inlineStr">
        <is>
          <t>Y</t>
        </is>
      </c>
      <c r="M2" t="inlineStr">
        <is>
          <t>AC</t>
        </is>
      </c>
      <c r="N2" t="inlineStr">
        <is>
          <t>Active</t>
        </is>
      </c>
      <c r="O2" t="inlineStr">
        <is>
          <t>Rectifier</t>
        </is>
      </c>
      <c r="P2" t="inlineStr">
        <is>
          <t>Pass</t>
        </is>
      </c>
      <c r="Q2" t="inlineStr">
        <is>
          <t>CRAH</t>
        </is>
      </c>
      <c r="R2" t="inlineStr">
        <is>
          <t>Temperature + humidity</t>
        </is>
      </c>
      <c r="S2" t="inlineStr">
        <is>
          <t>Router</t>
        </is>
      </c>
      <c r="T2" t="inlineStr">
        <is>
          <t>core</t>
        </is>
      </c>
      <c r="U2" t="inlineStr">
        <is>
          <t>Ready</t>
        </is>
      </c>
      <c r="V2" t="inlineStr">
        <is>
          <t>up</t>
        </is>
      </c>
      <c r="W2" t="inlineStr">
        <is>
          <t>Fabric</t>
        </is>
      </c>
      <c r="X2" t="inlineStr">
        <is>
          <t>LLDP</t>
        </is>
      </c>
      <c r="Y2" t="inlineStr">
        <is>
          <t>B200 SXM 192 GB</t>
        </is>
      </c>
      <c r="Z2" t="inlineStr">
        <is>
          <t>NVIDIA</t>
        </is>
      </c>
      <c r="AA2" t="inlineStr">
        <is>
          <t>Kubernetes</t>
        </is>
      </c>
      <c r="AB2" t="inlineStr">
        <is>
          <t>air</t>
        </is>
      </c>
      <c r="AC2" t="inlineStr">
        <is>
          <t>Cabinet lease</t>
        </is>
      </c>
      <c r="AD2" t="inlineStr">
        <is>
          <t>cabinets</t>
        </is>
      </c>
      <c r="AE2" t="inlineStr">
        <is>
          <t>SNMP</t>
        </is>
      </c>
      <c r="AF2" t="inlineStr">
        <is>
          <t>Network</t>
        </is>
      </c>
      <c r="AG2" t="inlineStr">
        <is>
          <t>A</t>
        </is>
      </c>
      <c r="AH2" t="inlineStr">
        <is>
          <t>AC</t>
        </is>
      </c>
      <c r="AI2" t="inlineStr">
        <is>
          <t>LC duplex</t>
        </is>
      </c>
      <c r="AJ2" t="inlineStr">
        <is>
          <t>rack</t>
        </is>
      </c>
      <c r="AK2" t="inlineStr">
        <is>
          <t>A</t>
        </is>
      </c>
      <c r="AL2" t="inlineStr">
        <is>
          <t>Tray route 1</t>
        </is>
      </c>
      <c r="AM2" t="inlineStr">
        <is>
          <t>VESDA aspirating</t>
        </is>
      </c>
      <c r="AN2" t="inlineStr">
        <is>
          <t>Novec 1230 gas</t>
        </is>
      </c>
      <c r="AO2" t="inlineStr">
        <is>
          <t>Armed (auto)</t>
        </is>
      </c>
      <c r="AP2" t="inlineStr">
        <is>
          <t>Building entry</t>
        </is>
      </c>
      <c r="AQ2" t="inlineStr">
        <is>
          <t>Card + biometric</t>
        </is>
      </c>
      <c r="AR2" t="inlineStr">
        <is>
          <t>24×7×4</t>
        </is>
      </c>
      <c r="AS2" t="inlineStr">
        <is>
          <t>UPS</t>
        </is>
      </c>
      <c r="AT2" t="inlineStr">
        <is>
          <t>NOC shift lead</t>
        </is>
      </c>
    </row>
    <row r="3">
      <c r="A3" t="inlineStr">
        <is>
          <t>neocloud</t>
        </is>
      </c>
      <c r="B3" t="inlineStr">
        <is>
          <t>in-progress</t>
        </is>
      </c>
      <c r="C3" t="inlineStr">
        <is>
          <t>Tier III</t>
        </is>
      </c>
      <c r="D3" t="inlineStr">
        <is>
          <t>Regional</t>
        </is>
      </c>
      <c r="E3" t="inlineStr">
        <is>
          <t>N+1</t>
        </is>
      </c>
      <c r="F3" t="inlineStr">
        <is>
          <t>AI hall</t>
        </is>
      </c>
      <c r="G3" t="inlineStr">
        <is>
          <t>Hot aisle</t>
        </is>
      </c>
      <c r="H3" t="inlineStr">
        <is>
          <t>Liquid</t>
        </is>
      </c>
      <c r="I3" t="inlineStr">
        <is>
          <t>Meet-me room</t>
        </is>
      </c>
      <c r="J3" t="inlineStr">
        <is>
          <t>tenant</t>
        </is>
      </c>
      <c r="K3" t="inlineStr">
        <is>
          <t>ai</t>
        </is>
      </c>
      <c r="L3" t="inlineStr">
        <is>
          <t>N</t>
        </is>
      </c>
      <c r="M3" t="inlineStr">
        <is>
          <t>DC</t>
        </is>
      </c>
      <c r="N3" t="inlineStr">
        <is>
          <t>Standby</t>
        </is>
      </c>
      <c r="O3" t="inlineStr">
        <is>
          <t>Battery bank</t>
        </is>
      </c>
      <c r="P3" t="inlineStr">
        <is>
          <t>Fail</t>
        </is>
      </c>
      <c r="Q3" t="inlineStr">
        <is>
          <t>CRAC</t>
        </is>
      </c>
      <c r="R3" t="inlineStr">
        <is>
          <t>Leak</t>
        </is>
      </c>
      <c r="S3" t="inlineStr">
        <is>
          <t>Switch</t>
        </is>
      </c>
      <c r="T3" t="inlineStr">
        <is>
          <t>spine</t>
        </is>
      </c>
      <c r="U3" t="inlineStr">
        <is>
          <t>Planned</t>
        </is>
      </c>
      <c r="V3" t="inlineStr">
        <is>
          <t>admin-down</t>
        </is>
      </c>
      <c r="W3" t="inlineStr">
        <is>
          <t>Uplink</t>
        </is>
      </c>
      <c r="X3" t="inlineStr">
        <is>
          <t>OSPF</t>
        </is>
      </c>
      <c r="Y3" t="inlineStr">
        <is>
          <t>H200 SXM 141 GB</t>
        </is>
      </c>
      <c r="Z3" t="inlineStr">
        <is>
          <t>Intel</t>
        </is>
      </c>
      <c r="AA3" t="inlineStr">
        <is>
          <t>Slurm</t>
        </is>
      </c>
      <c r="AB3" t="inlineStr">
        <is>
          <t>liquid</t>
        </is>
      </c>
      <c r="AC3" t="inlineStr">
        <is>
          <t>Power circuit</t>
        </is>
      </c>
      <c r="AD3" t="inlineStr">
        <is>
          <t>kW</t>
        </is>
      </c>
      <c r="AE3" t="inlineStr">
        <is>
          <t>gNMI</t>
        </is>
      </c>
      <c r="AF3" t="inlineStr">
        <is>
          <t>Facility</t>
        </is>
      </c>
      <c r="AG3" t="inlineStr">
        <is>
          <t>B</t>
        </is>
      </c>
      <c r="AH3" t="inlineStr">
        <is>
          <t>DC</t>
        </is>
      </c>
      <c r="AI3" t="inlineStr">
        <is>
          <t>MPO</t>
        </is>
      </c>
      <c r="AJ3" t="inlineStr">
        <is>
          <t>odf</t>
        </is>
      </c>
      <c r="AK3" t="inlineStr">
        <is>
          <t>Z</t>
        </is>
      </c>
      <c r="AL3" t="inlineStr">
        <is>
          <t>Tray route 2</t>
        </is>
      </c>
      <c r="AM3" t="inlineStr">
        <is>
          <t>Point smoke + heat</t>
        </is>
      </c>
      <c r="AN3" t="inlineStr">
        <is>
          <t>Inert gas (IG-541)</t>
        </is>
      </c>
      <c r="AO3" t="inlineStr">
        <is>
          <t>Manual only</t>
        </is>
      </c>
      <c r="AP3" t="inlineStr">
        <is>
          <t>Data hall door</t>
        </is>
      </c>
      <c r="AQ3" t="inlineStr">
        <is>
          <t>Card + PIN</t>
        </is>
      </c>
      <c r="AR3" t="inlineStr">
        <is>
          <t>NBD</t>
        </is>
      </c>
      <c r="AS3" t="inlineStr">
        <is>
          <t>Battery</t>
        </is>
      </c>
      <c r="AT3" t="inlineStr">
        <is>
          <t>Network engineer</t>
        </is>
      </c>
    </row>
    <row r="4">
      <c r="A4" t="inlineStr">
        <is>
          <t>cloud</t>
        </is>
      </c>
      <c r="B4" t="inlineStr">
        <is>
          <t>planned</t>
        </is>
      </c>
      <c r="C4" t="inlineStr">
        <is>
          <t>Tier IV</t>
        </is>
      </c>
      <c r="D4" t="inlineStr">
        <is>
          <t>Edge</t>
        </is>
      </c>
      <c r="E4" t="inlineStr">
        <is>
          <t>2N</t>
        </is>
      </c>
      <c r="F4" t="inlineStr">
        <is>
          <t>Meet-me room</t>
        </is>
      </c>
      <c r="G4" t="inlineStr">
        <is>
          <t>None</t>
        </is>
      </c>
      <c r="H4" t="inlineStr">
        <is>
          <t>Hybrid</t>
        </is>
      </c>
      <c r="I4" t="inlineStr">
        <is>
          <t>Network</t>
        </is>
      </c>
      <c r="Q4" t="inlineStr">
        <is>
          <t>CDU</t>
        </is>
      </c>
      <c r="R4" t="inlineStr">
        <is>
          <t>Smoke</t>
        </is>
      </c>
      <c r="S4" t="inlineStr">
        <is>
          <t>DWDM</t>
        </is>
      </c>
      <c r="T4" t="inlineStr">
        <is>
          <t>leaf</t>
        </is>
      </c>
      <c r="U4" t="inlineStr">
        <is>
          <t>Maintenance</t>
        </is>
      </c>
      <c r="V4" t="inlineStr">
        <is>
          <t>reserved</t>
        </is>
      </c>
      <c r="W4" t="inlineStr">
        <is>
          <t>Backhaul</t>
        </is>
      </c>
      <c r="X4" t="inlineStr">
        <is>
          <t>BGP</t>
        </is>
      </c>
      <c r="Y4" t="inlineStr">
        <is>
          <t>H100 SXM 80 GB</t>
        </is>
      </c>
      <c r="AC4" t="inlineStr">
        <is>
          <t>Cross-connect</t>
        </is>
      </c>
      <c r="AD4" t="inlineStr">
        <is>
          <t>Mbps</t>
        </is>
      </c>
      <c r="AE4" t="inlineStr">
        <is>
          <t>Redfish</t>
        </is>
      </c>
      <c r="AF4" t="inlineStr">
        <is>
          <t>Compute</t>
        </is>
      </c>
      <c r="AI4" t="inlineStr">
        <is>
          <t>RJ45</t>
        </is>
      </c>
      <c r="AN4" t="inlineStr">
        <is>
          <t>Pre-action sprinkler</t>
        </is>
      </c>
      <c r="AO4" t="inlineStr">
        <is>
          <t>Isolated</t>
        </is>
      </c>
      <c r="AP4" t="inlineStr">
        <is>
          <t>Cage door</t>
        </is>
      </c>
      <c r="AQ4" t="inlineStr">
        <is>
          <t>Card</t>
        </is>
      </c>
      <c r="AR4" t="inlineStr">
        <is>
          <t>8×5 NBD</t>
        </is>
      </c>
      <c r="AS4" t="inlineStr">
        <is>
          <t>Generator</t>
        </is>
      </c>
      <c r="AT4" t="inlineStr">
        <is>
          <t>Facility engineer</t>
        </is>
      </c>
    </row>
    <row r="5">
      <c r="A5" t="inlineStr">
        <is>
          <t>enterprise</t>
        </is>
      </c>
      <c r="B5" t="inlineStr">
        <is>
          <t>failed</t>
        </is>
      </c>
      <c r="F5" t="inlineStr">
        <is>
          <t>Network room</t>
        </is>
      </c>
      <c r="I5" t="inlineStr">
        <is>
          <t>Aggregation</t>
        </is>
      </c>
      <c r="S5" t="inlineStr">
        <is>
          <t>Firewall</t>
        </is>
      </c>
      <c r="T5" t="inlineStr">
        <is>
          <t>access</t>
        </is>
      </c>
      <c r="U5" t="inlineStr">
        <is>
          <t>Decommissioning</t>
        </is>
      </c>
      <c r="W5" t="inlineStr">
        <is>
          <t>Peering</t>
        </is>
      </c>
      <c r="X5" t="inlineStr">
        <is>
          <t>ISIS</t>
        </is>
      </c>
      <c r="Y5" t="inlineStr">
        <is>
          <t>A100 SXM 80 GB</t>
        </is>
      </c>
      <c r="AC5" t="inlineStr">
        <is>
          <t>Remote hands</t>
        </is>
      </c>
      <c r="AD5" t="inlineStr">
        <is>
          <t>hours</t>
        </is>
      </c>
      <c r="AE5" t="inlineStr">
        <is>
          <t>DCGM exporter</t>
        </is>
      </c>
      <c r="AF5" t="inlineStr">
        <is>
          <t>GPU</t>
        </is>
      </c>
      <c r="AP5" t="inlineStr">
        <is>
          <t>Plant room door</t>
        </is>
      </c>
      <c r="AR5" t="inlineStr">
        <is>
          <t>None</t>
        </is>
      </c>
      <c r="AS5" t="inlineStr">
        <is>
          <t>Cooling</t>
        </is>
      </c>
      <c r="AT5" t="inlineStr">
        <is>
          <t>Field technician</t>
        </is>
      </c>
    </row>
    <row r="6">
      <c r="A6" t="inlineStr">
        <is>
          <t>network</t>
        </is>
      </c>
      <c r="F6" t="inlineStr">
        <is>
          <t>Plant room</t>
        </is>
      </c>
      <c r="I6" t="inlineStr">
        <is>
          <t>Compute</t>
        </is>
      </c>
      <c r="S6" t="inlineStr">
        <is>
          <t>Access</t>
        </is>
      </c>
      <c r="W6" t="inlineStr">
        <is>
          <t>Access</t>
        </is>
      </c>
      <c r="X6" t="inlineStr">
        <is>
          <t>LSP</t>
        </is>
      </c>
      <c r="Y6" t="inlineStr">
        <is>
          <t>L40S PCIe 48 GB</t>
        </is>
      </c>
      <c r="AC6" t="inlineStr">
        <is>
          <t>Reserved cluster</t>
        </is>
      </c>
      <c r="AD6" t="inlineStr">
        <is>
          <t>GPU</t>
        </is>
      </c>
      <c r="AE6" t="inlineStr">
        <is>
          <t>Modbus TCP</t>
        </is>
      </c>
      <c r="AP6" t="inlineStr">
        <is>
          <t>Meet-me room door</t>
        </is>
      </c>
      <c r="AS6" t="inlineStr">
        <is>
          <t>CDU</t>
        </is>
      </c>
      <c r="AT6" t="inlineStr">
        <is>
          <t>Duty manager</t>
        </is>
      </c>
    </row>
    <row r="7">
      <c r="F7" t="inlineStr">
        <is>
          <t>UPS room</t>
        </is>
      </c>
      <c r="I7" t="inlineStr">
        <is>
          <t>Storage</t>
        </is>
      </c>
      <c r="S7" t="inlineStr">
        <is>
          <t>Server</t>
        </is>
      </c>
      <c r="Y7" t="inlineStr">
        <is>
          <t>T4 PCIe 16 GB</t>
        </is>
      </c>
      <c r="AC7" t="inlineStr">
        <is>
          <t>On-demand GPUs</t>
        </is>
      </c>
      <c r="AD7" t="inlineStr">
        <is>
          <t>vCPU</t>
        </is>
      </c>
      <c r="AE7" t="inlineStr">
        <is>
          <t>BACnet</t>
        </is>
      </c>
      <c r="AS7" t="inlineStr">
        <is>
          <t>Fire</t>
        </is>
      </c>
      <c r="AT7" t="inlineStr">
        <is>
          <t>AI infrastructure engineer</t>
        </is>
      </c>
    </row>
    <row r="8">
      <c r="F8" t="inlineStr">
        <is>
          <t>Battery room</t>
        </is>
      </c>
      <c r="I8" t="inlineStr">
        <is>
          <t>GPU</t>
        </is>
      </c>
      <c r="S8" t="inlineStr">
        <is>
          <t>Storage</t>
        </is>
      </c>
      <c r="Y8" t="inlineStr">
        <is>
          <t>Gaudi 3 OAM 128 GB</t>
        </is>
      </c>
      <c r="AC8" t="inlineStr">
        <is>
          <t>CPU instances</t>
        </is>
      </c>
      <c r="AD8" t="inlineStr">
        <is>
          <t>TB</t>
        </is>
      </c>
      <c r="AE8" t="inlineStr">
        <is>
          <t>Syslog</t>
        </is>
      </c>
      <c r="AS8" t="inlineStr">
        <is>
          <t>Electrical</t>
        </is>
      </c>
    </row>
    <row r="9">
      <c r="F9" t="inlineStr">
        <is>
          <t>NOC</t>
        </is>
      </c>
      <c r="I9" t="inlineStr">
        <is>
          <t>Tenant</t>
        </is>
      </c>
      <c r="S9" t="inlineStr">
        <is>
          <t>GPU</t>
        </is>
      </c>
      <c r="Y9" t="inlineStr">
        <is>
          <t>Max 1550 OAM 128 GB</t>
        </is>
      </c>
      <c r="AC9" t="inlineStr">
        <is>
          <t>VM</t>
        </is>
      </c>
      <c r="AD9" t="inlineStr">
        <is>
          <t>users</t>
        </is>
      </c>
    </row>
    <row r="10">
      <c r="I10" t="inlineStr">
        <is>
          <t>AI cage</t>
        </is>
      </c>
      <c r="S10" t="inlineStr">
        <is>
          <t>Tenant gear</t>
        </is>
      </c>
      <c r="AC10" t="inlineStr">
        <is>
          <t>Storage volume</t>
        </is>
      </c>
    </row>
    <row r="11">
      <c r="AC11" t="inlineStr">
        <is>
          <t>Managed DB</t>
        </is>
      </c>
    </row>
    <row r="12">
      <c r="AC12" t="inlineStr">
        <is>
          <t>GPU cluster</t>
        </is>
      </c>
    </row>
    <row r="13">
      <c r="AC13" t="inlineStr">
        <is>
          <t>Kubernetes</t>
        </is>
      </c>
    </row>
    <row r="14">
      <c r="AC14" t="inlineStr">
        <is>
          <t>IRV</t>
        </is>
      </c>
    </row>
    <row r="15">
      <c r="AC15" t="inlineStr">
        <is>
          <t>Leased Line</t>
        </is>
      </c>
    </row>
    <row r="16">
      <c r="AC16" t="inlineStr">
        <is>
          <t>L2VPN</t>
        </is>
      </c>
    </row>
    <row r="17">
      <c r="AC17" t="inlineStr">
        <is>
          <t>L3VPN</t>
        </is>
      </c>
    </row>
    <row r="18">
      <c r="AC18" t="inlineStr">
        <is>
          <t>Core application</t>
        </is>
      </c>
    </row>
    <row r="19">
      <c r="AC19" t="inlineStr">
        <is>
          <t>Database</t>
        </is>
      </c>
    </row>
    <row r="20">
      <c r="AC20" t="inlineStr">
        <is>
          <t>Collaboration</t>
        </is>
      </c>
    </row>
    <row r="21">
      <c r="AC21" t="inlineStr">
        <is>
          <t>Analytics</t>
        </is>
      </c>
    </row>
    <row r="22">
      <c r="AC22" t="inlineStr">
        <is>
          <t>Backup &amp; DR</t>
        </is>
      </c>
    </row>
    <row r="23">
      <c r="AC23" t="inlineStr">
        <is>
          <t>AI platform</t>
        </is>
      </c>
    </row>
    <row r="24">
      <c r="AC24"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2026-10-30T12:28:08Z</dcterms:created>
  <dcterms:modified xsi:type="dcterms:W3CDTF">2026-10-30T12:28:08Z</dcterms:modified>
</cp:coreProperties>
</file>